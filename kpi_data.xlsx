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ông thức &amp; Hệ số" sheetId="1" r:id="rId5"/>
    <sheet state="visible" name="Bảng điểm T6" sheetId="2" r:id="rId6"/>
    <sheet state="visible" name="Template tháng mới" sheetId="3" r:id="rId7"/>
    <sheet state="visible" name="Data thô (dán hàng tháng)" sheetId="4" r:id="rId8"/>
    <sheet state="visible" name="Data thô T6" sheetId="5" r:id="rId9"/>
  </sheets>
  <definedNames>
    <definedName name="TRE_TASK">'Công thức &amp; Hệ số'!$B$77</definedName>
    <definedName name="CATALOG_POINTS">'Công thức &amp; Hệ số'!$C$24:$C$50</definedName>
    <definedName name="HS_SEM">'Công thức &amp; Hệ số'!$B$59</definedName>
    <definedName name="OTHER_POINTS">'Công thức &amp; Hệ số'!$C$51</definedName>
    <definedName name="TRE_NGAY">'Công thức &amp; Hệ số'!$B$78</definedName>
    <definedName name="W_BONUS">'Công thức &amp; Hệ số'!$B$13</definedName>
    <definedName name="W_DOKHO">'Công thức &amp; Hệ số'!$B$11</definedName>
    <definedName name="W_SL">'Công thức &amp; Hệ số'!$B$10</definedName>
    <definedName name="HS_PROX5">'Công thức &amp; Hệ số'!$B$56</definedName>
    <definedName name="TASK_TARGET">'Công thức &amp; Hệ số'!$B$19</definedName>
    <definedName name="HS_MAX">'Công thức &amp; Hệ số'!$B$64</definedName>
    <definedName name="HS_MIN">'Công thức &amp; Hệ số'!$B$63</definedName>
    <definedName name="DAILY_POST_POINTS">'Công thức &amp; Hệ số'!$B$90</definedName>
    <definedName name="HS_PROX4">'Công thức &amp; Hệ số'!$B$57</definedName>
    <definedName name="W_CL">'Công thức &amp; Hệ số'!$B$12</definedName>
    <definedName name="HS_SE1">'Công thức &amp; Hệ số'!$B$60</definedName>
    <definedName name="HS_PROX3">'Công thức &amp; Hệ số'!$B$58</definedName>
    <definedName name="CATALOG_BASE">'Công thức &amp; Hệ số'!$D$24:$D$50</definedName>
    <definedName name="CATALOG_TASK">'Công thức &amp; Hệ số'!$B$24:$B$50</definedName>
    <definedName name="HS_DEFAULT">'Công thức &amp; Hệ số'!$B$62</definedName>
    <definedName name="PCT_WARN">'Công thức &amp; Hệ số'!$B$15</definedName>
    <definedName name="HS_E0">'Công thức &amp; Hệ số'!$B$61</definedName>
  </definedNames>
  <calcPr/>
</workbook>
</file>

<file path=xl/sharedStrings.xml><?xml version="1.0" encoding="utf-8"?>
<sst xmlns="http://schemas.openxmlformats.org/spreadsheetml/2006/main" count="9833" uniqueCount="1916">
  <si>
    <t>CÔNG THỨC TÍNH KPI DESIGNER — MAC MEDIA (2 bước, thang điểm 100%)</t>
  </si>
  <si>
    <t>Cập nhật: 01/07/2026  ·  Nguồn điểm/loại task: bảng kpi_catalog trên Supabase (bolt-native-database-67011175)</t>
  </si>
  <si>
    <t>Công thức tổng (2 bước):</t>
  </si>
  <si>
    <t>Bước 1 — Trọng số tổng số task: Tổng điểm thô = Σ (số lượng mỗi loại task × điểm/task loại đó, tra ở mục 3)</t>
  </si>
  <si>
    <t>Bước 2 — Quy đổi % và cộng các điểm khác: TỔNG ĐIỂM KPI (%) = Điểm số lượng + Điểm độ khó + Điểm chất lượng + Điểm bonus/trễ hạn</t>
  </si>
  <si>
    <t>Điểm số lượng = MIN(Tổng điểm thô ÷ Chỉ tiêu, 1) × trọng số Số lượng (mục 1). Task có tên KHÔNG khớp danh mục ở mục 3 sẽ tự tính theo điểm của "[Design] Other (Khác)".</t>
  </si>
  <si>
    <t>1. TRỌNG SỐ THANG ĐIỂM 100%</t>
  </si>
  <si>
    <t>Điểm số lượng — tối đa (%)</t>
  </si>
  <si>
    <t>Điểm độ khó — tối đa (%)</t>
  </si>
  <si>
    <t>Điểm chất lượng — tối đa (%)</t>
  </si>
  <si>
    <t>Điểm bonus — tối đa (%)</t>
  </si>
  <si>
    <t>Tổng kiểm tra (nên = 100)</t>
  </si>
  <si>
    <t>Ngưỡng "Gần đạt" (%)</t>
  </si>
  <si>
    <t>4 trọng số nên cộng lại = 100.</t>
  </si>
  <si>
    <t>2. CHỈ TIÊU ĐIỂM SỐ LƯỢNG (bước 1)</t>
  </si>
  <si>
    <t>Chỉ tiêu điểm số lượng (điểm/tháng)</t>
  </si>
  <si>
    <t>VD: 150 điểm/tháng — tương đương ~75 task loại "Other" (2đ/task), hoặc ít hơn nếu làm nhiều task điểm cao (Video, R&amp;D...).</t>
  </si>
  <si>
    <t>3. DANH MỤC ĐIỂM THEO LOẠI TASK (nguồn: kpi_catalog trên Supabase)</t>
  </si>
  <si>
    <t>Nhóm</t>
  </si>
  <si>
    <t>Loại task</t>
  </si>
  <si>
    <t>Điểm/task</t>
  </si>
  <si>
    <t>Tên gốc (dò khi không khớp tuyệt đối)</t>
  </si>
  <si>
    <t>Branding</t>
  </si>
  <si>
    <t>[Design] Ava - Cover</t>
  </si>
  <si>
    <t>[Design] Logo</t>
  </si>
  <si>
    <t>Company Tasks</t>
  </si>
  <si>
    <t>R&amp;D</t>
  </si>
  <si>
    <t>Task Inhouse</t>
  </si>
  <si>
    <t>Video Inhouse</t>
  </si>
  <si>
    <t>Fix &amp; Other</t>
  </si>
  <si>
    <t>[Design] Fix - Design (Sửa lỗi thiết kế)</t>
  </si>
  <si>
    <t>[Design] Fix - Video (Sửa lỗi video)</t>
  </si>
  <si>
    <t>[Design] Other (Khác)</t>
  </si>
  <si>
    <t>Gift &amp; Promo</t>
  </si>
  <si>
    <t>[Design] Gift Card</t>
  </si>
  <si>
    <t>[Design] Gift Card - Gift Voucher/Coupon</t>
  </si>
  <si>
    <t>[Design] Gift Card - Holder</t>
  </si>
  <si>
    <t>[Design] Promotion</t>
  </si>
  <si>
    <t>Menu</t>
  </si>
  <si>
    <t>[Design] Menu - Book</t>
  </si>
  <si>
    <t>[Design] Menu - Brochure</t>
  </si>
  <si>
    <t>[Design] Menu - TV</t>
  </si>
  <si>
    <t>[Design] Menu - Update</t>
  </si>
  <si>
    <t>[Design] Menu - Waterproof</t>
  </si>
  <si>
    <t>Print</t>
  </si>
  <si>
    <t>[Design] Banner</t>
  </si>
  <si>
    <t>[Design] Print - Business Card</t>
  </si>
  <si>
    <t>[Design] Print - Flyer</t>
  </si>
  <si>
    <t>[Design] Print - Standee</t>
  </si>
  <si>
    <t>[Design] Print - Yard Signs</t>
  </si>
  <si>
    <t>[Design] QR Poster</t>
  </si>
  <si>
    <t>Video</t>
  </si>
  <si>
    <t>[Design] Video - Ads</t>
  </si>
  <si>
    <t>[Design] Video - Holidays</t>
  </si>
  <si>
    <t>[Design] Video - Menu TV</t>
  </si>
  <si>
    <t>[Design] Video - Monthly</t>
  </si>
  <si>
    <t>Điểm mặc định khi task KHÔNG khớp danh mục (= "Other (Khác)")</t>
  </si>
  <si>
    <t>Cập nhật điểm ở đây khi công ty đổi cách tính KPI trên app — toàn bộ bảng tính sẽ tự cập nhật theo. Khớp tên task theo 2 bước: (1) khớp tuyệt đối cột Loại task, (2) nếu không khớp, dò xem tên task có BẮT ĐẦU bằng "Tên gốc" của dòng nào không (bỏ qua phần mô tả trong ngoặc) — không khớp cả hai thì tính theo "Other (Khác)".</t>
  </si>
  <si>
    <t>4. HỆ SỐ ĐỘ KHÓ THEO GÓI DỊCH VỤ (trục riêng — độ phức tạp gói client, không phải loại task)</t>
  </si>
  <si>
    <t>Gói dịch vụ</t>
  </si>
  <si>
    <t>Hệ số điểm/task</t>
  </si>
  <si>
    <t>PROX5</t>
  </si>
  <si>
    <t>PROX4</t>
  </si>
  <si>
    <t>PROX3</t>
  </si>
  <si>
    <t>SEM</t>
  </si>
  <si>
    <t>SE1</t>
  </si>
  <si>
    <t>E0</t>
  </si>
  <si>
    <t>Hệ số mặc định (task chưa rõ gói)</t>
  </si>
  <si>
    <t>Hệ số thấp nhất (tự động)</t>
  </si>
  <si>
    <t>Hệ số cao nhất (tự động)</t>
  </si>
  <si>
    <t>Điểm độ khó = (Hệ số độ khó TB của designer − Hệ số thấp nhất) ÷ (Hệ số cao nhất − Hệ số thấp nhất) × Điểm độ khó tối đa.</t>
  </si>
  <si>
    <t>5. ĐIỂM CHẤT LƯỢNG (theo đánh giá trung bình 1–5 của quản lý)</t>
  </si>
  <si>
    <t>Điểm chất lượng = (Đánh giá TB ÷ 5) × Điểm chất lượng tối đa. Chưa đánh giá → để trống, không tính vào tổng.</t>
  </si>
  <si>
    <t>Đánh giá</t>
  </si>
  <si>
    <t>Điểm quy đổi</t>
  </si>
  <si>
    <t>5 — Xuất sắc</t>
  </si>
  <si>
    <t>4 — Tốt</t>
  </si>
  <si>
    <t>3 — Đạt yêu cầu</t>
  </si>
  <si>
    <t>2 — Cần cải thiện</t>
  </si>
  <si>
    <t>1 — Kém</t>
  </si>
  <si>
    <t>6. ĐIỂM TRỪ TRỄ HẠN</t>
  </si>
  <si>
    <t>Điểm trừ mỗi task trễ hạn</t>
  </si>
  <si>
    <t>Điểm trừ mỗi ngày trễ (cộng dồn)</t>
  </si>
  <si>
    <t>Điểm trừ = (Số task trễ × hệ số/task) + (Tổng số ngày trễ × hệ số/ngày). Không giới hạn dưới.</t>
  </si>
  <si>
    <t>7. ĐIỂM BONUS ĐÓNG GÓP (quản lý chấm tay theo gợi ý)</t>
  </si>
  <si>
    <t>Hạng mục</t>
  </si>
  <si>
    <t>Điểm gợi ý</t>
  </si>
  <si>
    <t>Hỗ trợ đồng nghiệp / nhận task ngoài phân công</t>
  </si>
  <si>
    <t>Nhận task gấp / ngoài giờ</t>
  </si>
  <si>
    <t>Sáng kiến cải tiến quy trình / template</t>
  </si>
  <si>
    <t>Task khó, chất lượng vượt trội hẳn yêu cầu</t>
  </si>
  <si>
    <t>Điểm bonus thực tế bị giới hạn tối đa = Điểm bonus tối đa (mục 1) khi cộng vào Tổng điểm KPI. Chỉ áp dụng công thức cho danh sách Designer chính thức (Media Key + Media CTV).</t>
  </si>
  <si>
    <t>8. QUY TẮC TẠM THỜI — TASK KHÔNG XÁC ĐỊNH LOẠI (bổ sung 01/07/2026)</t>
  </si>
  <si>
    <t>Điểm task "Post Daily" tạm thời (task không khớp bất kỳ loại nào ở mục 3)</t>
  </si>
  <si>
    <t>Áp dụng từ tháng 6/2026: nếu tên task không khớp (tuyệt đối lẫn theo tiền tố) với bất kỳ dòng nào ở mục 3, hệ thống coi đây là task đăng bài hàng ngày (Daily Post) tạm thời và tính = 1 điểm/task, THAY vì dùng điểm "Other (Khác)" (2 điểm) như trước. Đổi số ở ô trên nếu công ty thống nhất mức điểm khác.</t>
  </si>
  <si>
    <t>BẢNG TÍNH ĐIỂM KPI DESIGNER — THÁNG 6/2026 (chỉ dùng file check mới nhất, không lọc status)</t>
  </si>
  <si>
    <t>🏆 BẢNG XẾP HẠNG (tự động, giảm dần theo Tổng điểm KPI)</t>
  </si>
  <si>
    <t>Designer</t>
  </si>
  <si>
    <t>Tổng số task</t>
  </si>
  <si>
    <t>Tổng điểm thô (loại task)</t>
  </si>
  <si>
    <t>Đã phân loại gói</t>
  </si>
  <si>
    <t>Hệ số độ khó TB</t>
  </si>
  <si>
    <t>Điểm số lượng</t>
  </si>
  <si>
    <t>Điểm độ khó</t>
  </si>
  <si>
    <t>Chất lượng TB (1-5)</t>
  </si>
  <si>
    <t>Điểm chất lượng</t>
  </si>
  <si>
    <t>Số task trễ hạn</t>
  </si>
  <si>
    <t>Tổng ngày trễ</t>
  </si>
  <si>
    <t>Điểm bonus</t>
  </si>
  <si>
    <t>Ghi chú bonus</t>
  </si>
  <si>
    <t>Điểm bonus/trễ</t>
  </si>
  <si>
    <t>TỔNG ĐIỂM KPI (%)</t>
  </si>
  <si>
    <t>Xếp hạng</t>
  </si>
  <si>
    <t>Trạng thái</t>
  </si>
  <si>
    <t>Khoá (ẩn)</t>
  </si>
  <si>
    <t>Hạng</t>
  </si>
  <si>
    <t>Tổng điểm (%)</t>
  </si>
  <si>
    <t>Helia</t>
  </si>
  <si>
    <t>Media Key</t>
  </si>
  <si>
    <t>Clara</t>
  </si>
  <si>
    <t>Daniel</t>
  </si>
  <si>
    <t>Heidi</t>
  </si>
  <si>
    <t>Barry</t>
  </si>
  <si>
    <t>Alex</t>
  </si>
  <si>
    <t>Ocean</t>
  </si>
  <si>
    <t>Titus</t>
  </si>
  <si>
    <t>Leon Le</t>
  </si>
  <si>
    <t>Mio</t>
  </si>
  <si>
    <t>Julie</t>
  </si>
  <si>
    <t>My</t>
  </si>
  <si>
    <t>Media CTV</t>
  </si>
  <si>
    <t>Vi</t>
  </si>
  <si>
    <t>Nah</t>
  </si>
  <si>
    <t>Uri</t>
  </si>
  <si>
    <t>Q.Anh</t>
  </si>
  <si>
    <t>Phat</t>
  </si>
  <si>
    <t>Henri</t>
  </si>
  <si>
    <t>Meran</t>
  </si>
  <si>
    <t>Sean</t>
  </si>
  <si>
    <t>Sherry</t>
  </si>
  <si>
    <t>Charlie</t>
  </si>
  <si>
    <t>Nancy</t>
  </si>
  <si>
    <t>Nathan</t>
  </si>
  <si>
    <t>Yollie</t>
  </si>
  <si>
    <t>TỔNG (số lượng) / TRUNG BÌNH (điểm)</t>
  </si>
  <si>
    <t>⚠ Task gán cho AM / Intern / tên không xác định (số lượng nhỏ) — KHÔNG tính vào KPI</t>
  </si>
  <si>
    <t>Tên trong dữ liệu</t>
  </si>
  <si>
    <t>Loại</t>
  </si>
  <si>
    <t>Số task</t>
  </si>
  <si>
    <t>Sonny Nguyen (Intern)</t>
  </si>
  <si>
    <t>Intern</t>
  </si>
  <si>
    <t>Kimmy Le</t>
  </si>
  <si>
    <t>Chưa xác định</t>
  </si>
  <si>
    <t>Anna</t>
  </si>
  <si>
    <t>AM (gán nhầm/kiêm nhiệm?)</t>
  </si>
  <si>
    <t>Elio Nguyen (Intern)</t>
  </si>
  <si>
    <t>Vo Hoang kiet</t>
  </si>
  <si>
    <t>Fury Nguyen</t>
  </si>
  <si>
    <t>Nguồn DUY NHẤT: file "check - Export data - Task Design 6-2026.csv". File không có cột status/deadline nên KHÔNG lọc theo hoàn thành và KHÔNG tự tính trễ hạn (cột Số task trễ hạn / Tổng ngày trễ chuyển lại thành nhập tay). Bỏ qua 28 task không có ai được giao. Phat, Henri, Meran giờ có đủ 80 task/người.</t>
  </si>
  <si>
    <t>TEMPLATE TÍNH ĐIỂM KPI DESIGNER — THÁNG __ /____ (nhân bản sheet này mỗi tháng)</t>
  </si>
  <si>
    <t>Hướng dẫn: 1) Xuất danh sách task tháng mới (Title, Assignee) từ app, dán vào sheet "Data thô (dán hàng tháng)" từ dòng 3. 2) Nhân bản sheet này (right-click tab → Move or Copy → Create a copy), đổi tên theo tháng. 3) Nhập thêm: số task theo gói (PROX5–E0) nếu có, Chất lượng TB (1-5), Số task/ngày trễ hạn, Điểm bonus. Điểm, Xếp hạng và Bảng xếp hạng bên phải tự tính lại.</t>
  </si>
  <si>
    <t>Title</t>
  </si>
  <si>
    <t>Assignee</t>
  </si>
  <si>
    <t>Điểm task</t>
  </si>
  <si>
    <t>← Dán dữ liệu xuất từ app (Title, Assignee) vào đây mỗi tháng, bắt đầu từ dòng 3. Cột "Điểm task" tự tính, kéo công thức xuống hết số dòng đã dán.</t>
  </si>
  <si>
    <t>Project name</t>
  </si>
  <si>
    <t>Gói</t>
  </si>
  <si>
    <t>00000000 Holiday Project</t>
  </si>
  <si>
    <t>[Design] Fix - Design</t>
  </si>
  <si>
    <t>000000S0 Yes Office</t>
  </si>
  <si>
    <t>[Design] Post Promotion</t>
  </si>
  <si>
    <t>00000SE0 T8W0K8 NOIR NAILS BAR</t>
  </si>
  <si>
    <t>01129SE1 PROX3 Beauty Creation Spa</t>
  </si>
  <si>
    <t>014200E0 Aivy Nail Bar</t>
  </si>
  <si>
    <t>[Design] Design Avatar &amp; Cover</t>
  </si>
  <si>
    <t>01540SE1 PROX3 VS NAIL LAB</t>
  </si>
  <si>
    <t>01702SEM PROX4 Nails Bar and Lashes</t>
  </si>
  <si>
    <t>[Design] Fix - Video</t>
  </si>
  <si>
    <t>[Design] QR Preview Poster</t>
  </si>
  <si>
    <t>[Design] Video - Google Ads</t>
  </si>
  <si>
    <t>[Design] Daily Post</t>
  </si>
  <si>
    <t>01760SE1 PROX3 ADORE NAILS AND SPA</t>
  </si>
  <si>
    <t>01760SE1 PROX3 Angela Nails Spa</t>
  </si>
  <si>
    <t>01801SE1 ProX3 Nails Star Spa</t>
  </si>
  <si>
    <t>01803SE1 PROX3 V &amp; V NAILS DESIGN</t>
  </si>
  <si>
    <t>01810SE1 PROX3 Nailluxe</t>
  </si>
  <si>
    <t>01843SE0 PROX3 AngeLuxe Nail Bar</t>
  </si>
  <si>
    <t>01915SEM PROX4 Beverly Day Spa</t>
  </si>
  <si>
    <t>01960FE0 TC Nails &amp; Spa</t>
  </si>
  <si>
    <t>02026SE1 PROX3 Lux Nails &amp; Spa</t>
  </si>
  <si>
    <t>02026SEM PROX4 C SPA</t>
  </si>
  <si>
    <t>02048SEM PROX4 Queen Nails &amp; Beauty Bar</t>
  </si>
  <si>
    <t>02052SE1 PROX3 Bloom Lashes and Head Spa</t>
  </si>
  <si>
    <t>02052SE1 PROX3 Rose Nails</t>
  </si>
  <si>
    <t>020610E0 Euphoria Nails And Spa</t>
  </si>
  <si>
    <t>02062SE1 PROX3 Precious Nails &amp; Spa 2</t>
  </si>
  <si>
    <t>02081SE1 PROX3 AL Nails Lounge</t>
  </si>
  <si>
    <t>02081SE1 PROX3 Walpole Nails &amp; Spa</t>
  </si>
  <si>
    <t>02130SE1 PROX3 Beautiful Nail &amp; Spa</t>
  </si>
  <si>
    <t>02135SE1 PROX3 Nailosophy</t>
  </si>
  <si>
    <t>02140SE1 PROX3 Beauty Nails Cambridge</t>
  </si>
  <si>
    <t>02150SE1 PROX3 Fancy Nails &amp; Spa</t>
  </si>
  <si>
    <t>02169SE1 PROX3 LEO NAIL DESIGN</t>
  </si>
  <si>
    <t>02180SE1 PROX3 NANCY'S NAILS &amp; SPA</t>
  </si>
  <si>
    <t>02190SE1 PROX3 HOLLYWOOD NAILS</t>
  </si>
  <si>
    <t>02191SE1 PROX3 Weymouth Nails And Spa</t>
  </si>
  <si>
    <t>02301SE1 PROX3 Le Nails &amp; Spa</t>
  </si>
  <si>
    <t>02341SE0 PROX3 Hanson Luxury Nail Bar</t>
  </si>
  <si>
    <t>02346SE1 PROX3 Center Nails &amp; Spa</t>
  </si>
  <si>
    <t>02601SE1 PROX3 Secret Nails &amp; Spa</t>
  </si>
  <si>
    <t>02893SE1 PROX3 Lueur Nails &amp; Spa</t>
  </si>
  <si>
    <t>03038SE1 PROX3 Bella Beauty Studio</t>
  </si>
  <si>
    <t>03051FE0 Elegance Nails &amp; Spa</t>
  </si>
  <si>
    <t>03064PEM PROX4 The Nail Lounge</t>
  </si>
  <si>
    <t>03801SE1 PROX3 Herbal Nails</t>
  </si>
  <si>
    <t>03885SE1 PROX3 La Vie Nail Lounge</t>
  </si>
  <si>
    <t>05403SE1 PROX3 BLOSSOM NAIL SALON</t>
  </si>
  <si>
    <t>054040E0 HEAVENLY NAIL SPA</t>
  </si>
  <si>
    <t>06095SE1 PROX3 Hollywood Nails</t>
  </si>
  <si>
    <t>06109SE1 PROX3 NUMBER ONE NAILS</t>
  </si>
  <si>
    <t>06109F00 NUMBER ONE NAILS</t>
  </si>
  <si>
    <t>06514SE1 PROX3 Nail Studio</t>
  </si>
  <si>
    <t>06514F00 Nail Studio</t>
  </si>
  <si>
    <t>07002SE1 PROX3 The Bay Nails Lounge</t>
  </si>
  <si>
    <t>07013SE1 PROX3 Fiina Nail Lounge</t>
  </si>
  <si>
    <t>076010E0 HACKENSACK PERFECT NAIL</t>
  </si>
  <si>
    <t>07748SE1 PROX3 Elite Nails &amp; Spa</t>
  </si>
  <si>
    <t>07836SE1 PROX3 Perfectly Polished Nails &amp; Spa</t>
  </si>
  <si>
    <t>08075FC0 KIM'S NAILS</t>
  </si>
  <si>
    <t>080780E0 K&amp;A Nails Spa</t>
  </si>
  <si>
    <t>08205SE1 PROX3 Cloud 9 Day Spa</t>
  </si>
  <si>
    <t>08234SE1 PROX3 Chi Chi Nails Spa (Gift Card)</t>
  </si>
  <si>
    <t>08234SE1 PROX3 ROUGE SALON &amp; SPA</t>
  </si>
  <si>
    <t>08234SEM PROX4 Jack &amp; Son EHT Nails &amp; Spa</t>
  </si>
  <si>
    <t>08527SEM PROX4 Angel Nails Spa of Jackson</t>
  </si>
  <si>
    <t>08755SE1 PROX3 Deluxe Nails Bar</t>
  </si>
  <si>
    <t>08755SEM PROX4 SAVVY NAILS &amp; SPA</t>
  </si>
  <si>
    <t>08807SE1 PROX3 Be Shine Nails</t>
  </si>
  <si>
    <t>08816SE1 PROX3 Hera Nails &amp; Beauty</t>
  </si>
  <si>
    <t>08822SE0 PROX3 Pro Nails &amp; Spa</t>
  </si>
  <si>
    <t>08859SE1 PROX3 Shadow Nails</t>
  </si>
  <si>
    <t>100010E0 PROX3 Artonus Nail Room</t>
  </si>
  <si>
    <t>104590EM Passion Nail Salon &amp; Spa Inc</t>
  </si>
  <si>
    <t>10704SE1 PROX3 NN NAIL SALON</t>
  </si>
  <si>
    <t>10803000 GLOSS NAILS BAR (GIFT CARD)</t>
  </si>
  <si>
    <t>10954SE1 PROX3 H Nails &amp; Beauty Spa</t>
  </si>
  <si>
    <t>11239SEM PROX4 Gateway Nail Bar &amp; Lash</t>
  </si>
  <si>
    <t>11720SE1 PROX3 Model Nails &amp; Spa</t>
  </si>
  <si>
    <t>12533SEM PROX4 Perfect Nails</t>
  </si>
  <si>
    <t>12590SE1 PROX3 Mansion Nail Lounge</t>
  </si>
  <si>
    <t>140430E0 VP Nail Bar</t>
  </si>
  <si>
    <t>14052PEM PROX4 Varnished Nails</t>
  </si>
  <si>
    <t>15010SE1 PROX3 Diamond Nail Bar</t>
  </si>
  <si>
    <t>15017SE1 PROX3 BELLA EMPIRE NAIL LOUNGE</t>
  </si>
  <si>
    <t>15017SEM PROX4 ROYAL NAILS &amp; SPA</t>
  </si>
  <si>
    <t>15044SE1 PROX3 T1 NAILS</t>
  </si>
  <si>
    <t>15065SEM PROX4 Nail Elegance</t>
  </si>
  <si>
    <t>15122SE1 PROX3 HOTT NAILS</t>
  </si>
  <si>
    <t>[Design] Design Menu</t>
  </si>
  <si>
    <t>[Design] Menu - 1 Page</t>
  </si>
  <si>
    <t>15136SE1 PROX3 3D Nails Spa</t>
  </si>
  <si>
    <t>17257SE1 PROX3 S D Nails</t>
  </si>
  <si>
    <t>17331SE1 PROX3 Happy Nails of Hanover LLC</t>
  </si>
  <si>
    <t>17356FE1 Nails Lounge &amp; Spa</t>
  </si>
  <si>
    <t>17356SE1 PROX3 Yolo Nails &amp; Spa</t>
  </si>
  <si>
    <t>17404SE1 PROX3 Ruby Nails</t>
  </si>
  <si>
    <t>17601SC0 JC Nails &amp; Spa</t>
  </si>
  <si>
    <t>18101SE1 PROX3 7th Studio</t>
  </si>
  <si>
    <t>18101F00 7th Studio</t>
  </si>
  <si>
    <t>18360SE1 PROX3 SERENITY DAY SPA</t>
  </si>
  <si>
    <t>189010E0 Ann Nail Spa</t>
  </si>
  <si>
    <t>19064SE1 PROX3 SPRINGFIELD NAILS &amp; SPA</t>
  </si>
  <si>
    <t>19083FE2 Fiji Nails &amp; Spa - Havertown</t>
  </si>
  <si>
    <t>19122SE1 PROX3 NAIL IMAGE</t>
  </si>
  <si>
    <t>19147PE1 PROC4 Trung Nguyên Legend Coffee World Philly</t>
  </si>
  <si>
    <t>19149SE1 PROX3 Laurel Nail Salon</t>
  </si>
  <si>
    <t>19348SE1 PROX3 T&amp;L Nails And Spa</t>
  </si>
  <si>
    <t>19610SE1 PROX3 La Spa &amp; Nail Bar</t>
  </si>
  <si>
    <t>19966SEM PROX4 4 Seasons Nails &amp; Spa</t>
  </si>
  <si>
    <t>19975SEM PROX4 LA VIE NAILS &amp; SPA</t>
  </si>
  <si>
    <t>20001SEM PROX4 The Nail Loft DC</t>
  </si>
  <si>
    <t>20147SEM PROX4 DN Nail Lounge</t>
  </si>
  <si>
    <t>20164SE0 PROX3 Coco Nails Spa + 250 GC</t>
  </si>
  <si>
    <t>20171FF0 CQ NAILS &amp; SPA</t>
  </si>
  <si>
    <t>20176SE1 PROX3 Intown Nail Design</t>
  </si>
  <si>
    <t>20176SE1 PROX3 Lotus Nail &amp; Spa of Leesburg</t>
  </si>
  <si>
    <t>20186SC0 TK Nails Salon</t>
  </si>
  <si>
    <t>20186SE1 PROX3 AB Nails</t>
  </si>
  <si>
    <t>20190SE1 ProX3 Zen Nails &amp; Day Spa</t>
  </si>
  <si>
    <t>20190F00 Zen Nails &amp; Day Spa</t>
  </si>
  <si>
    <t>20191SE1 PROX3 Katie’s Nail Spa</t>
  </si>
  <si>
    <t>20708SEM PROX4 Vivi Nails</t>
  </si>
  <si>
    <t>20716SE0 Star Nails</t>
  </si>
  <si>
    <t>20716SE1 PROX3 INSTAGLAM NAIL SPA</t>
  </si>
  <si>
    <t>20737PEM PROX4 Bella Lifestyle Nail Salon &amp; Spa</t>
  </si>
  <si>
    <t>20743FC0 Only Nails</t>
  </si>
  <si>
    <t>20746SE1 PROX3 Nailsby Nai</t>
  </si>
  <si>
    <t>20747SEM PROX4 Cosmo Nail Bar</t>
  </si>
  <si>
    <t>20748SE1 PROX3 Artemi Nail Boutique</t>
  </si>
  <si>
    <t>20754SE1 PROX3 You and Me Nails Spa</t>
  </si>
  <si>
    <t>20774SE0 WATKINS PARK NAILS &amp; SPA</t>
  </si>
  <si>
    <t>20910SE1 PROX3 Trendy Nails &amp; Spa</t>
  </si>
  <si>
    <t>21045SE1 PROX3 Luxe Nail Spa</t>
  </si>
  <si>
    <t>21060SEM PROX4 SERENITY NAILS &amp; SPA</t>
  </si>
  <si>
    <t>21136SEM PROX4 Nail Creations Reisterstown</t>
  </si>
  <si>
    <t>211440E0 Nen Be Authentic</t>
  </si>
  <si>
    <t>21202PE1 PROX3 MV Nails and Spa</t>
  </si>
  <si>
    <t>21230PE1 PROX3 N Nails &amp; Spa Lounge</t>
  </si>
  <si>
    <t>21502SE1 PROX3 V Stars Nails &amp; Bar</t>
  </si>
  <si>
    <t>21658SE1 PROX3 Queen's Nails</t>
  </si>
  <si>
    <t>[Design] Promo 1:  FATHER'S DAY</t>
  </si>
  <si>
    <t>21704SE1 PROX3 LA VENDE NAILS SPA</t>
  </si>
  <si>
    <t>[Design] Promo INDEPENDENCE DAY</t>
  </si>
  <si>
    <t>21742SE1 PROX3 Beautiful Nails</t>
  </si>
  <si>
    <t>21788SE1 PROX3 Thurmont Luxe Nails</t>
  </si>
  <si>
    <t>21788F00 Thurmont Luxe Nails</t>
  </si>
  <si>
    <t>21801SE1 PROX3 White Lotus Nails Spa</t>
  </si>
  <si>
    <t>21826SE1 PROX3 Color Me Nails Lashes and Spa</t>
  </si>
  <si>
    <t>21842SE1 PROX3 The Dream Nails</t>
  </si>
  <si>
    <t>22039SE1 PROX3 Golden Nails</t>
  </si>
  <si>
    <t>22044SE1 PROX3 Yêu Beauty Studio</t>
  </si>
  <si>
    <t>22180PE1 PROX3 Fresh Nails &amp; Day Spa</t>
  </si>
  <si>
    <t>22202FF0 Color Touch Hair And Nails Salon</t>
  </si>
  <si>
    <t>22306SE1 PROX3 Skyland Nails Bar</t>
  </si>
  <si>
    <t>22312SE1 PROX3 Fantastic Nails</t>
  </si>
  <si>
    <t>22314SE1 PROX3 21 Nail Lounge</t>
  </si>
  <si>
    <t>22630SE1 PROX3 Royal Custom Nails</t>
  </si>
  <si>
    <t>22911SE1 PROX3 VA Nails</t>
  </si>
  <si>
    <t>22980SE1 PROX3 Paris Nails &amp; Spa</t>
  </si>
  <si>
    <t>[Design] Fix - Ava - Cover</t>
  </si>
  <si>
    <t>23005SE1 PROX3 MAISON NAIL LOUNGE</t>
  </si>
  <si>
    <t>[Design] Template Promotion</t>
  </si>
  <si>
    <t>23111S00 NOIRE NAIL BAR</t>
  </si>
  <si>
    <t>231880E0 Royal Nail</t>
  </si>
  <si>
    <t>23226SEM PROX4 ESCAPE NAILS &amp; SPA</t>
  </si>
  <si>
    <t>23228SEM PROX4 Aurora Nail Bar</t>
  </si>
  <si>
    <t>23320SEM PROX4 Clover Nail Spa</t>
  </si>
  <si>
    <t>23321SE1 PROX3 DB Nail Studio</t>
  </si>
  <si>
    <t>23322SE1 PROX3 Lady Nails</t>
  </si>
  <si>
    <t>23322SE1 PROX3 Nail Theory Studio</t>
  </si>
  <si>
    <t>23434SE1 PROX3 City Nail 2</t>
  </si>
  <si>
    <t>23434SE1 PROX3 TIPS N TOES NAILS SPA</t>
  </si>
  <si>
    <t>23435SE1 PROX3 The Nailery</t>
  </si>
  <si>
    <t>23451SE1 PROX3 DB Nail Studio</t>
  </si>
  <si>
    <t>23452SE1 PROX3 Sky Nail Bar LLC</t>
  </si>
  <si>
    <t>23453FE0 Grace Nails &amp; Day Spa</t>
  </si>
  <si>
    <t>23453SE1 PROX3 Planet Nails</t>
  </si>
  <si>
    <t>23462SE1 PROX3 Noble Nail Bar</t>
  </si>
  <si>
    <t>23464FE0 Phở VIET 1</t>
  </si>
  <si>
    <t>23508SE1 PROX3 DB Nail Studio</t>
  </si>
  <si>
    <t>23602SE1 PROX3 Magic Nails</t>
  </si>
  <si>
    <t>236660E0 Amy's Bánh Mì</t>
  </si>
  <si>
    <t>23666SE1 PROX3 BRILLER NAILS LOUNGE</t>
  </si>
  <si>
    <t>23666SE1 PROX3 MIRACLE NAILS SPA</t>
  </si>
  <si>
    <t>23666SE1 PROX3 Pixie Nail Bar</t>
  </si>
  <si>
    <t>23666SEM PROX4 GT Nails Spa</t>
  </si>
  <si>
    <t>23692SE1 PROX3 Grafton Beauty</t>
  </si>
  <si>
    <t>24502SE1 PROX3 LU 68 Nails &amp; Spa</t>
  </si>
  <si>
    <t>24502SE1 PROX3 LUXE TIPS LOUNGE</t>
  </si>
  <si>
    <t>24592FC0 Rose Nails &amp; Spa</t>
  </si>
  <si>
    <t>25404SEM PROX4 De Lux Nails &amp; Spa</t>
  </si>
  <si>
    <t>25530SE1 PROX3 Ck Spa &amp; Sips</t>
  </si>
  <si>
    <t>255410E0 Big Sale</t>
  </si>
  <si>
    <t>26062SE1 PROX3 Weirton Nails &amp; Spa</t>
  </si>
  <si>
    <t>26062SEM PROX4 Sassy Nails</t>
  </si>
  <si>
    <t>26101SEM PROX4 Love Nails &amp; Spa</t>
  </si>
  <si>
    <t>26187SE1 PROX3 Super Nail Spa</t>
  </si>
  <si>
    <t>27012SEM PROX4 Bellagio Nails Lounge and Head Spa</t>
  </si>
  <si>
    <t>27265SE1 PROX3 Palladium Nail Lounge</t>
  </si>
  <si>
    <t>[Design] Promo 3: Summer</t>
  </si>
  <si>
    <t>27284SE1 PROX3 S&amp;T Nails</t>
  </si>
  <si>
    <t>[Design] Promo 2: Independence Day</t>
  </si>
  <si>
    <t>27410SE1 PROX3 Pink Spa Nails</t>
  </si>
  <si>
    <t>27502SE1 PROX3 VN Nails &amp; Spa</t>
  </si>
  <si>
    <t>27513SE1 PROX3 Soho Nail &amp; Spa</t>
  </si>
  <si>
    <t>27520SE1 PROX3 T Nails</t>
  </si>
  <si>
    <t>27534SE1 PROX3 Manhattan Nail Bar</t>
  </si>
  <si>
    <t>27539SE1 PROX3 AURA NAIL HOUSE</t>
  </si>
  <si>
    <t>27540SE1 PROX3 LAVISH NAILS SPA</t>
  </si>
  <si>
    <t>27540SEM PROX4 Astoria Nail Bar</t>
  </si>
  <si>
    <t>[Design] Video - Meta Ads</t>
  </si>
  <si>
    <t>27545SE3 PROX4 Serenity Day Spa Nails</t>
  </si>
  <si>
    <t>27560SEM PROX4 JC Nail Spa</t>
  </si>
  <si>
    <t>27560SEM PROX4 Top Polish Nails</t>
  </si>
  <si>
    <t>27571SE1 PROX3 Acapella Nail Spa</t>
  </si>
  <si>
    <t>27571SE1 PROX3 Megan Nails</t>
  </si>
  <si>
    <t>27612SE1 PROX3 My Nails</t>
  </si>
  <si>
    <t>27612SEM PROX4 Diva Nails And Spa</t>
  </si>
  <si>
    <t>27616SEM PROX4 Garden Nail Bar</t>
  </si>
  <si>
    <t>27703SEM PROX4 VERNIS Nail Lounge &amp; Lashes</t>
  </si>
  <si>
    <t>27707SE1 PROX3 New York Nail Bar</t>
  </si>
  <si>
    <t>[Design] Video - Template</t>
  </si>
  <si>
    <t>[Design] Fix Promotion</t>
  </si>
  <si>
    <t>27804SE1 PROX3 PD Nails Spa</t>
  </si>
  <si>
    <t>278580E0 Polished Nails &amp; Spa</t>
  </si>
  <si>
    <t>27858SE1 PROX3 Diamonds Nails And Spa</t>
  </si>
  <si>
    <t>28025SE1 PROX3 Nice Nails</t>
  </si>
  <si>
    <t>28079SEM PROX4 Blooming Nails</t>
  </si>
  <si>
    <t>28110SE1 PROX3 Lee Spa Nails</t>
  </si>
  <si>
    <t>28117SE1 PROX3 Nails of America of Mooresville</t>
  </si>
  <si>
    <t>28134FE0 L&amp;D Glamorous Nails</t>
  </si>
  <si>
    <t>28150SE1 PROX3 Our Little Secret Nails &amp; Spa</t>
  </si>
  <si>
    <t>28205SEM PROX4 Dynasty Nails</t>
  </si>
  <si>
    <t>28209SEM PROX4 Nailgo Spa</t>
  </si>
  <si>
    <t>28214SE1 PROX3 Pristine Nails</t>
  </si>
  <si>
    <t>28214SEM PROX4 T.H Nail Spa</t>
  </si>
  <si>
    <t>28227SEM PROX4 Venice Nail Lounge</t>
  </si>
  <si>
    <t>28277SE1 PROX3 Top Q Nails</t>
  </si>
  <si>
    <t>28278SE1 PROX3 Wetpaint Nail Bar</t>
  </si>
  <si>
    <t>28326SE1 PROX3 The Spot Nail Spa</t>
  </si>
  <si>
    <t>28327SE1 PROX3 Crystal Beauty Nail &amp; Spa</t>
  </si>
  <si>
    <t>28358SE1 PROX3 910 Nails</t>
  </si>
  <si>
    <t>28358SE1 PROX3 Queen Nails</t>
  </si>
  <si>
    <t>2840300M ADORE NAILS</t>
  </si>
  <si>
    <t>28403SE1 PROX3 Mimosa Nail Bar</t>
  </si>
  <si>
    <t>28403SE1 PROX3 Palace Nails Bar</t>
  </si>
  <si>
    <t>28412SE1 PROX3 GRAND NAILS SALON</t>
  </si>
  <si>
    <t>28451SE1 PROX3 Lavish Nails</t>
  </si>
  <si>
    <t>28451SEM Beverly Nails</t>
  </si>
  <si>
    <t>28540SE1 PROC4 My Pho Vietnamese Restaurant</t>
  </si>
  <si>
    <t>28546SE1 PROX3 LC NAILS &amp; SPA</t>
  </si>
  <si>
    <t>28590SE1 PROX3 Venice Nail Bar</t>
  </si>
  <si>
    <t>28602SE1 PROX3 Today's Nails</t>
  </si>
  <si>
    <t>28787SC0 Mountain Nails</t>
  </si>
  <si>
    <t>28806SE1 PROX3 Red Nails</t>
  </si>
  <si>
    <t>29072SE1 PROX3 BLUSH &amp; LUXE NAILS LOUNGE</t>
  </si>
  <si>
    <t>29072SE1 PROX3 Onyx Nails</t>
  </si>
  <si>
    <t>29108SE1 PROX3 Newberry Spa &amp; Nails</t>
  </si>
  <si>
    <t>29169SE1 PROX3 Sunset Nails &amp; Spa</t>
  </si>
  <si>
    <t>29209SE1 PROX3 AURA NAILS LOUNGE LLP</t>
  </si>
  <si>
    <t>29301SE1 PROX3 Nail Bar</t>
  </si>
  <si>
    <t>29307SE1 PROX3 Luxury Nail Bar</t>
  </si>
  <si>
    <t>29401SEM PROX4 The Nail Place Of Charleston</t>
  </si>
  <si>
    <t>29402SE1 PROX4 test đổi tên</t>
  </si>
  <si>
    <t>29407SEM PROX4 Victoria Nails</t>
  </si>
  <si>
    <t>29445SEM PROX4 V Nail Bar (Only MKT)</t>
  </si>
  <si>
    <t>29445SEM PROX4 V Nail Bar</t>
  </si>
  <si>
    <t>[Design] Yard Signs</t>
  </si>
  <si>
    <t>[Design] Other</t>
  </si>
  <si>
    <t>294640E0 Sky Nail Spa</t>
  </si>
  <si>
    <t>29486SE1 PROX3 Beauty Nails</t>
  </si>
  <si>
    <t>29486SE1 PROX3 Carnes Nails</t>
  </si>
  <si>
    <t>29526SE1 ProX3 Blossom Nail Spa</t>
  </si>
  <si>
    <t>29526SE1 PROX3 LUMINOUS NAIL SPA LLC</t>
  </si>
  <si>
    <t>29568SE1 PROX3 Glow Nails And Tanning Spa</t>
  </si>
  <si>
    <t>29568SE1 PROX3 Nail Aura</t>
  </si>
  <si>
    <t>29575SEM PROX4 Nails and Head Spa</t>
  </si>
  <si>
    <t>29576SE1 PROX3 Luminous Nail Spa LLC</t>
  </si>
  <si>
    <t>29588SE1 PROX3 Sky Nails</t>
  </si>
  <si>
    <t>29605PE0 AUGUSTA NAILS (QR CODE)</t>
  </si>
  <si>
    <t>29611SE1 PROX3 PINK NAIL &amp; SPA</t>
  </si>
  <si>
    <t>29631SE1 PROX3 Tiger Nails</t>
  </si>
  <si>
    <t>29631F01 Tiger Nails</t>
  </si>
  <si>
    <t>29690SE1 PROX3 Gala Nail &amp; Spa</t>
  </si>
  <si>
    <t>297070EM M Nails Spa</t>
  </si>
  <si>
    <t>29708SE1 PROX3 Coco Nail Lounge</t>
  </si>
  <si>
    <t>29708SE1 PROX3 Color Me Nails</t>
  </si>
  <si>
    <t>29708SE1 PROX3 Divine Nail Bar</t>
  </si>
  <si>
    <t>29732SEM PROX4 Top Nails Lounge &amp; Spa</t>
  </si>
  <si>
    <t>29841SE1 PROX3 DaVi Nails</t>
  </si>
  <si>
    <t>29907SE1 PROX3 TIFFANY NAILS &amp; SPA</t>
  </si>
  <si>
    <t>29910SE1 PROX3 Parlour Nails</t>
  </si>
  <si>
    <t>30004SE1 PROX3 GA Nails &amp; Spa</t>
  </si>
  <si>
    <t>30011SEM PROX4 LISA NAILS</t>
  </si>
  <si>
    <t>30013F0M Forever Nails</t>
  </si>
  <si>
    <t>30019SEM PROX4 Modern Nails</t>
  </si>
  <si>
    <t>30022SE1 PROX3 Alpha Nail Spa</t>
  </si>
  <si>
    <t>30024SE1 PROX3 Pink Cactus Nail Boutique</t>
  </si>
  <si>
    <t>30028SE1 PROX3 Shape Nail &amp; Spa</t>
  </si>
  <si>
    <t>30040FEM I Love Nails</t>
  </si>
  <si>
    <t>30041SE1 PROX3 Hollywood Nail Bar</t>
  </si>
  <si>
    <t>30044FE0 Nail Fervour</t>
  </si>
  <si>
    <t>30044SEM PROX4 Posh Nails Salon &amp; Spa in Sugarloaf</t>
  </si>
  <si>
    <t>30067SE1 PROX3 TLC Nails</t>
  </si>
  <si>
    <t>30068PE1 PROX3 Nail Eagle</t>
  </si>
  <si>
    <t>30071SE1 PROX3 VN Spa Nails &amp; Lashes</t>
  </si>
  <si>
    <t>30075SEM PROX4 Phoenix Nails &amp; Spa LLC</t>
  </si>
  <si>
    <t>30093PEM PROX4 Lume Head Spa</t>
  </si>
  <si>
    <t>30097FC0 MJ Nail Lounge</t>
  </si>
  <si>
    <t>30101FE0 Marchio Nail Spa</t>
  </si>
  <si>
    <t>30101FEM PROX4 Phoenix Nails &amp; Spa Acworth</t>
  </si>
  <si>
    <t>30106SE1 PROX3 The Nail Place</t>
  </si>
  <si>
    <t>30106SEM PROX4 Phoenix Nail Spa Austell</t>
  </si>
  <si>
    <t>30117SE1 PROX3 Westga Nails Salon &amp; Spa</t>
  </si>
  <si>
    <t>30135SE1 PROX3 Luxury Nails &amp; Spa</t>
  </si>
  <si>
    <t>30144SE1 PROX3 Coco Nail Bar Salon</t>
  </si>
  <si>
    <t>30144SE1 PROX3 Santorini Nail Lounge</t>
  </si>
  <si>
    <t>30152SE1 PROX3 DREAM NAILS</t>
  </si>
  <si>
    <t>30161SE1 PROX3 A&amp;T Nails Salon</t>
  </si>
  <si>
    <t>30188SE1 PROX3 Sugar Nail Polish Bar Woodstock</t>
  </si>
  <si>
    <t>30189SEM PROX4 AVA Nails Spa</t>
  </si>
  <si>
    <t>30214SE1 Amor Nails &amp; Spa</t>
  </si>
  <si>
    <t>30228SE1 PROX3 Jenny's Nails</t>
  </si>
  <si>
    <t>302330E0 Toplite Nails</t>
  </si>
  <si>
    <t>30253SE1 PROX3 Lush Nail Bar</t>
  </si>
  <si>
    <t>30260SE1 PROX3 NAILS PROS</t>
  </si>
  <si>
    <t>30265SE1 PROX3 Couture Nail Spa</t>
  </si>
  <si>
    <t>30265SE1 PROX3 T Nails &amp; Spa</t>
  </si>
  <si>
    <t>302690E0 Peachtree Nails</t>
  </si>
  <si>
    <t>30281SE1 PROX3 The Nail Bar</t>
  </si>
  <si>
    <t>[Design] Promo 1: Father Day</t>
  </si>
  <si>
    <t>30291SE1 PROX3 ASCEND NAIL SPA</t>
  </si>
  <si>
    <t>30308SEM PROX4 Nail Talk &amp; Tan (Piedmont)</t>
  </si>
  <si>
    <t>30319SE1 PROX3 2V Nail Lounge</t>
  </si>
  <si>
    <t>30328SE1 PROX3 Lush Nail Bar by De'Soul</t>
  </si>
  <si>
    <t>30329SE1 PROX3 Pink and Polished</t>
  </si>
  <si>
    <t>30331SCM PROX5 Butner Spa Nails</t>
  </si>
  <si>
    <t>30458SEM PROX4 Ultralux Nails Lounge</t>
  </si>
  <si>
    <t>30501SE1 PROX3 Apollo Nails &amp; Spa</t>
  </si>
  <si>
    <t>30531SE0 Aloha Nails &amp; Spa</t>
  </si>
  <si>
    <t>30542SE1 PROX3 Luxe Nail Lab</t>
  </si>
  <si>
    <t>30601SE1 PROX3 Express Nails And Head Spa</t>
  </si>
  <si>
    <t>30606SE0 American Nails</t>
  </si>
  <si>
    <t>30606SEM PROX4 City Nails</t>
  </si>
  <si>
    <t>30742SE1 PROX3 L&amp;N NAILS</t>
  </si>
  <si>
    <t>[Design] Promo 1: Father day</t>
  </si>
  <si>
    <t>30813SE1 PROX3 EXQUISITE NAILS</t>
  </si>
  <si>
    <t>30830SE1PROX3 Nail Time Salon &amp; Spa</t>
  </si>
  <si>
    <t>30907SE1 PROX3 Venus Nails</t>
  </si>
  <si>
    <t>30909SE1 PROX3 2H Nails</t>
  </si>
  <si>
    <t>30909SE1 PROX3 Halo Nails &amp; Spa</t>
  </si>
  <si>
    <t>30909SE1 PROX3 Kingdom Nails and Spa</t>
  </si>
  <si>
    <t>31015SE1 PROX3 Roxy Nails &amp; Spa</t>
  </si>
  <si>
    <t>31028FEM Color Nails &amp; Spa</t>
  </si>
  <si>
    <t>31064SE1 PROX3 NAILS BY VIVIAN</t>
  </si>
  <si>
    <t>31069PEM PROX4 Creative &amp; Cute Nails Spa</t>
  </si>
  <si>
    <t>31088SE1 PROX3 Luxe Nail Spa</t>
  </si>
  <si>
    <t>31093SE1 PROX3 Exquisite Nails</t>
  </si>
  <si>
    <t>31093SE1 PROX3 KIM NAILS</t>
  </si>
  <si>
    <t>31093SE1 PROX3 RELAX NAIL SPA</t>
  </si>
  <si>
    <t>31093SE1 PROX3 VN Nails And Spa</t>
  </si>
  <si>
    <t>31313SE1 PROX3 Stella Nail Lounge</t>
  </si>
  <si>
    <t>31322SE0 Pro Nails Salon In Pooler</t>
  </si>
  <si>
    <t>31322SE1 PROX3 Me Luxe' Nail Lounge</t>
  </si>
  <si>
    <t>31405SE1 PROX3 Glossy Nails Lounge</t>
  </si>
  <si>
    <t>31406SE0 Princess lashes and brows Savannah</t>
  </si>
  <si>
    <t>31525SE1 PROX3 Diamond Nails and Spa</t>
  </si>
  <si>
    <t>31533SE1 PROX3 Organic Nails &amp; Spa</t>
  </si>
  <si>
    <t>31533SE1 PROX3 Organic Nails &amp; Spa #3</t>
  </si>
  <si>
    <t>31548SE1 PROX3 NAIL BOUTIQUE &amp; SPA</t>
  </si>
  <si>
    <t>31601SE1 PROC4 SAIGON CORNER</t>
  </si>
  <si>
    <t>31602SE0 PROX3 Nail Expressions &amp; Spas</t>
  </si>
  <si>
    <t>31620SE1 PROX3 Organic Nails &amp; Spa #2</t>
  </si>
  <si>
    <t>31620SE1 PROX3 V Nails &amp; Spa</t>
  </si>
  <si>
    <t>31757SE1 PROX3 Nail Art By Anna</t>
  </si>
  <si>
    <t>31794FE0 Elegant Nails Of Tifton</t>
  </si>
  <si>
    <t>318200E0 VY SPA &amp; NAILS</t>
  </si>
  <si>
    <t>31820SE1M PROX3 Zodiac Nail &amp; Spa (EXTRA 1 MONTH FREE)</t>
  </si>
  <si>
    <t>31907SE1 PROX3 O P NAILS</t>
  </si>
  <si>
    <t>31909SE1 PROX3 A'vie Nail Lounge</t>
  </si>
  <si>
    <t>320810E0 M&amp;K nail Spa</t>
  </si>
  <si>
    <t>32092SE1 PROX3 Gladgirl Nails</t>
  </si>
  <si>
    <t>32092SE1 PROX3 HAPPY NAILS BAR</t>
  </si>
  <si>
    <t>321140E0 DIVA NAILS</t>
  </si>
  <si>
    <t>32127SE1 PROX3 Zen Nails</t>
  </si>
  <si>
    <t>321590E0 Luxe Nails &amp; Spa</t>
  </si>
  <si>
    <t>32174SE1 PROX3 Deluxe Nails &amp; Spa</t>
  </si>
  <si>
    <t>32174SE1 PROX3 Vnails &amp; Spa</t>
  </si>
  <si>
    <t>32221SEM PROX4 Cali Nails</t>
  </si>
  <si>
    <t>32222PC0 KING PALACE NAILS</t>
  </si>
  <si>
    <t>32223SE1 PROX3 Beyond Nails and Spa</t>
  </si>
  <si>
    <t>32225SEM PROX4 Orchid Nails Spa</t>
  </si>
  <si>
    <t>32246SEM PROX4 Royal Essence Nails</t>
  </si>
  <si>
    <t>32257SE1 PROX3 ORGANIC NAILS</t>
  </si>
  <si>
    <t>32259SE0 PROX3 5th Nail Lounge</t>
  </si>
  <si>
    <t>32312SE1 PROX3 Image Nail Spa and Salon</t>
  </si>
  <si>
    <t>32327SE1 PROX3 T-Nails Spa</t>
  </si>
  <si>
    <t>32405FE0 LV Nail Spa</t>
  </si>
  <si>
    <t>32435SE1 PROX3 Fancy Nails</t>
  </si>
  <si>
    <t>32439SE1 PROX3 Peony Nails &amp; Spa</t>
  </si>
  <si>
    <t>32439S00 Peony Nails &amp; Spa</t>
  </si>
  <si>
    <t>32506SE1 PROX3 Nail Boutique Spa</t>
  </si>
  <si>
    <t>32507SEM PROX4 J R Nails Spa</t>
  </si>
  <si>
    <t>32541SE1 PROX3 VT Luxury Nails</t>
  </si>
  <si>
    <t>32550SE1 PROX3 Jenny’s Nail Bar</t>
  </si>
  <si>
    <t>32561SEM PROX4 Naillounge</t>
  </si>
  <si>
    <t>32561FEM PROX4 Naillounge</t>
  </si>
  <si>
    <t>32563SE0 Diva Nails &amp; Spa</t>
  </si>
  <si>
    <t>32571SE1 PROX3 THE NAIL HUB</t>
  </si>
  <si>
    <t>32607SE1 PROX3 CLASSY NAILS &amp; SPA</t>
  </si>
  <si>
    <t>32608SEM PROX4 Maison Nails &amp; Spa</t>
  </si>
  <si>
    <t>32669SE1 PROX3 Encore Nails</t>
  </si>
  <si>
    <t>32703SE1 PROX3 CT Nails Of Apopka</t>
  </si>
  <si>
    <t>32707SE1 PROX3 CASSELBERRY NAILS AND SPA</t>
  </si>
  <si>
    <t>32708SE1 PROX3 Unique Spring Nails</t>
  </si>
  <si>
    <t>32720FE0 Super Nails</t>
  </si>
  <si>
    <t>32730SE1 PROX3 Zenn Nails And Spa</t>
  </si>
  <si>
    <t>32765SE1 PROX3 Casabella Nails &amp; Spa</t>
  </si>
  <si>
    <t>32765SEM PROX4 Prestige Nails &amp; Co.</t>
  </si>
  <si>
    <t>32771SE1 PROX3 Noire The Nail Bar</t>
  </si>
  <si>
    <t>32809SEM PROX4 Best Nails Salon Spa Orlando</t>
  </si>
  <si>
    <t>32814SE1 PROX3 Baldwin Nails &amp; Spa</t>
  </si>
  <si>
    <t>32817SE1 PROX3 MJ Nail Lounge</t>
  </si>
  <si>
    <t>32818SE1 PROX3 LVT Nails Salon</t>
  </si>
  <si>
    <t>32820SE1 PROX3 Rose Nail Salon</t>
  </si>
  <si>
    <t>32827SE1 PROX3 Nail Garden</t>
  </si>
  <si>
    <t>32832SE1 PROX3 Fifth Nail Lounge</t>
  </si>
  <si>
    <t>32837SEM PROX4 Sunshine Nails and Spa</t>
  </si>
  <si>
    <t>32903SE1 PROX3 UNI NAILS SPA</t>
  </si>
  <si>
    <t>32904SE0 PROX3 Envy Nails Salon Melbourne FL</t>
  </si>
  <si>
    <t>32905SE1 PROX3 B&amp;B Nails Spa</t>
  </si>
  <si>
    <t>32905SE1 PROX3 Kat Nails &amp; Spa</t>
  </si>
  <si>
    <t>32935FE0 Banh Mi Saigon Baguette</t>
  </si>
  <si>
    <t>32935SE1 PROX3 JJJ HAIR AND NAIL SALON</t>
  </si>
  <si>
    <t>32940SE1 PROX3 Encore Nails Spa</t>
  </si>
  <si>
    <t>32966SE1 PROX3 Lux Nail Bar</t>
  </si>
  <si>
    <t>32966SE1 PROX3 Posh Nail Lounge</t>
  </si>
  <si>
    <t>32976SE1 PROX3 PINK&amp;WHITE NAILS SPA</t>
  </si>
  <si>
    <t>33012SE1 PROX3 Lani Nails Spa</t>
  </si>
  <si>
    <t>33015SE1 PROX3 Noire Nails Bar Miami Gardens</t>
  </si>
  <si>
    <t>33021SE1 PROX3 Paradise Nails and Spa</t>
  </si>
  <si>
    <t>33026SE1 PROX3 G Nail Pines</t>
  </si>
  <si>
    <t>33026F00 G Nail Pines</t>
  </si>
  <si>
    <t>33055F00 Nails Amour</t>
  </si>
  <si>
    <t>33055SEM PROX4 Nails Amour</t>
  </si>
  <si>
    <t>33062SEM PROX4 Victoria Nails,Wax,Lashes</t>
  </si>
  <si>
    <t>33145FE0 Venetian Nail Spa Coral Way</t>
  </si>
  <si>
    <t>33162SE1 PROX3 DIAMOND NAILS</t>
  </si>
  <si>
    <t>33169SEM PROX4 Milady Nails &amp; Spa</t>
  </si>
  <si>
    <t>33180S01 PROX3 Lux Nail Spa By 21</t>
  </si>
  <si>
    <t>33181SE1 PROX3 MODERNE NAIL SPA</t>
  </si>
  <si>
    <t>33311SE1 PROX3 Lovely Nails</t>
  </si>
  <si>
    <t>33313SE1 PROX3 Davi Nails</t>
  </si>
  <si>
    <t>33317SE1 PROX3 Nail Passion</t>
  </si>
  <si>
    <t>33321SE1 PROX3 Lotus Lash &amp; Nail Spa</t>
  </si>
  <si>
    <t>33322SE1 PROX3 Lamia Nails Plantation</t>
  </si>
  <si>
    <t>33324SE1 PROX3 Premier Nails</t>
  </si>
  <si>
    <t>334040EO Allure Nail &amp; Spa</t>
  </si>
  <si>
    <t>33409SEM PROX4 KING NAILS</t>
  </si>
  <si>
    <t>334100EM PROX4 Tipsy Salon Bar</t>
  </si>
  <si>
    <t>33413SE1 PROX3 Golden Nails &amp; Spa</t>
  </si>
  <si>
    <t>33442FEM PROX3 TN Nails Spa</t>
  </si>
  <si>
    <t>33442SEM PROX4 Milano Nail Spa Deerfield Beach</t>
  </si>
  <si>
    <t>33445SEM PROX4 B.A.B.Y. Nail Bar</t>
  </si>
  <si>
    <t>33544SE1 PROX3 BELLA NAILS WESLEY CHAPEL</t>
  </si>
  <si>
    <t>33544SE1 PROX3 Kay Nail Spa</t>
  </si>
  <si>
    <t>33545SC0 Ann’s Spa &amp; Nails at Lagoon</t>
  </si>
  <si>
    <t>33545SE1 PROX3 Watergrass Nail Bar</t>
  </si>
  <si>
    <t>33547SE1 PROX3 Bliss Nail Lounge</t>
  </si>
  <si>
    <t>33548SE1 PROX3 LUX NAILS &amp; LASHES</t>
  </si>
  <si>
    <t>33559SE1 ProX3 Ann’s Spa &amp; Nails Lounge Wesley Chapel</t>
  </si>
  <si>
    <t>33596SE1 PROX3 Golden Nail Lounge</t>
  </si>
  <si>
    <t>33598SE1 PROX3 SUNSHINE NAILS &amp; SPA</t>
  </si>
  <si>
    <t>336140E0 LV Nails &amp; Spa (QR Code Review)</t>
  </si>
  <si>
    <t>36140E0 LV Nails &amp; Spa (QR Code Review)</t>
  </si>
  <si>
    <t>33617SE1 PROX3 Busch Nails and Lashes</t>
  </si>
  <si>
    <t>33617F00 Busch Nails and Lashes</t>
  </si>
  <si>
    <t>33617SEM PROX4 TT Nails</t>
  </si>
  <si>
    <t>33625SE1 PROX3 KST NAIL LOUNGE</t>
  </si>
  <si>
    <t>33625SE1 PROX3 Luxx Nails N Beyond</t>
  </si>
  <si>
    <t>[Design] Fix - Gift Card</t>
  </si>
  <si>
    <t>33626SE1 PROX3 Love Nails &amp; Spa FL</t>
  </si>
  <si>
    <t>33647SE1 PROX3 SOLÉ NAILS LOUNGE</t>
  </si>
  <si>
    <t>33710SEM PROX4 BMT Nails and Spa</t>
  </si>
  <si>
    <t>33710F00 BMT Nails and Spa</t>
  </si>
  <si>
    <t>[Design] Redesign Avt - Cover</t>
  </si>
  <si>
    <t>33713SE1 PROX3 MUSE NAIL LOUNGE</t>
  </si>
  <si>
    <t>33759SE1 PROX3 Aura Nails Clearwater</t>
  </si>
  <si>
    <t>33761SE1 PROX3 NAIL SPA</t>
  </si>
  <si>
    <t>33764SE1 PROX3 Lavie Nails &amp; Spa</t>
  </si>
  <si>
    <t>33772SE1 PROX3 Lecharm Nails And Spa</t>
  </si>
  <si>
    <t>33781SE1 PROC4 Phở Hà Tiên</t>
  </si>
  <si>
    <t>33810SE1 PROX3 Aura Nail House</t>
  </si>
  <si>
    <t>338130E0 Magnolia Nails &amp; Spa</t>
  </si>
  <si>
    <t>33823SE1 PROX3 Ann's Spa &amp; Nails Lounge Auburndale</t>
  </si>
  <si>
    <t>33844SE1 PROX3 Basic Nails</t>
  </si>
  <si>
    <t>338970EM PROX4 Instyle Nails &amp; Spa Inc</t>
  </si>
  <si>
    <t>33897SE1 PROX3 Ann's Spa &amp; Nails Lounge Davenport</t>
  </si>
  <si>
    <t>33909SEM PROX4 Tipsy Nail Bar</t>
  </si>
  <si>
    <t>33913SE1 PROX3 Noire The Nail Bar Alico Roads</t>
  </si>
  <si>
    <t>33913SE1 PROX3 The Nail Love Lounge</t>
  </si>
  <si>
    <t>33914SE1 PROX3 Nail Art &amp; Day Spa</t>
  </si>
  <si>
    <t>33919SEM PROX4 V NAIL BAR</t>
  </si>
  <si>
    <t>33928SE3 PROX4 Vip Nails &amp; Spa</t>
  </si>
  <si>
    <t>33928SEM PROX4 CoCo Nail Bar Ben Hill Griffin</t>
  </si>
  <si>
    <t>33948SE1 PROX3 Best Nails Port Charlotte</t>
  </si>
  <si>
    <t>33980SE1 PROX3 NOIRE THE NAIL BAR</t>
  </si>
  <si>
    <t>33982SE1 PROX3 Boujee Nail Bar</t>
  </si>
  <si>
    <t>33991SEM PROX4 Luminous Nail Studio</t>
  </si>
  <si>
    <t>34104SE1 PROX3 Lux Nails</t>
  </si>
  <si>
    <t>34108SEM PROX4 Nexus Nail Studio</t>
  </si>
  <si>
    <t>34109SE1 PROX3 TLC Nails &amp; Spa</t>
  </si>
  <si>
    <t>34110SE1 PROX3 Nova Nails &amp; Spa</t>
  </si>
  <si>
    <t>34119SE1 PROX3 LG NAILS</t>
  </si>
  <si>
    <t>34119SE1 PROX3 Secret Nail and Spa</t>
  </si>
  <si>
    <t>34202SE1 PROX3 Ann’s Spa &amp; Nails Lounge Bradenton</t>
  </si>
  <si>
    <t>34202SE1 PROX3 Deluxe Nails &amp; Spa</t>
  </si>
  <si>
    <t>34203SE1 PROX3 H&amp;M NAILS</t>
  </si>
  <si>
    <t>34207SE1 PROX3 Passion Nails And Spa</t>
  </si>
  <si>
    <t>34211SE1 PROX3 Allstar Nails</t>
  </si>
  <si>
    <t>34219SE1 PROX3 Ann's Spa &amp; Nails Lounge</t>
  </si>
  <si>
    <t>34231SE1 PROX3 COCO NAIL 5</t>
  </si>
  <si>
    <t>34232SE1 PROX3 Luxurious Nails &amp; Spa</t>
  </si>
  <si>
    <t>34285SE1 PROX3 Lashes Nails &amp; Spa</t>
  </si>
  <si>
    <t>34474SE1 PROX3 Classy Nails &amp; Spa</t>
  </si>
  <si>
    <t>34607SE1 PROX3 Spa 1 Nails LLC</t>
  </si>
  <si>
    <t>34608F00 La Nails</t>
  </si>
  <si>
    <t>34609SE1 PROX3 NAILS SO HAPPY</t>
  </si>
  <si>
    <t>34711SE1 PROX3 LA VELA NAIL LOUNGE LLC</t>
  </si>
  <si>
    <t>34711SE1 PROX3 Pinky's Nail Spa</t>
  </si>
  <si>
    <t>34741SE1 PROX3 Lemon Nails &amp; Spa</t>
  </si>
  <si>
    <t>34744SE1 PROX3 Honey Nail Bar</t>
  </si>
  <si>
    <t>34746SE1 PROX3 Cutie Nails And Spa</t>
  </si>
  <si>
    <t>34748SE1 PROX3 Chic Nail</t>
  </si>
  <si>
    <t>34748SE1 PROX3 J Nails &amp; Spa</t>
  </si>
  <si>
    <t>34761SE1 PROX3 LVT Nails And Spa 2</t>
  </si>
  <si>
    <t>34761SE1 PROX3 Sns Exclusive Salon</t>
  </si>
  <si>
    <t>34772SE1 PROX3 Lee Nail &amp; Days Spa</t>
  </si>
  <si>
    <t>34785SE1 PROX3 BB Nail Bar</t>
  </si>
  <si>
    <t>34786SE1 PROX3 Twinkle Nail Spa</t>
  </si>
  <si>
    <t>34787SE1 PROX3 Glo Nail Lash Bar</t>
  </si>
  <si>
    <t>34787SE1 PROX3 Royal Nails and Day Spa</t>
  </si>
  <si>
    <t>34952SE1 PROX3 SUNSET NAILS &amp; LASHES</t>
  </si>
  <si>
    <t>35007SEM PROX4 Classic Nail Spa</t>
  </si>
  <si>
    <t>35173SE1 PROX3 Pearl Nails</t>
  </si>
  <si>
    <t>35173SE1 PROX3 Trussville Nail Spa</t>
  </si>
  <si>
    <t>35244SE1 PRO-X3 Touch and Glow Nails Spa</t>
  </si>
  <si>
    <t>35501SEM PROX4 Nails By LA</t>
  </si>
  <si>
    <t>35611SE1 PROX3 Rose Nails</t>
  </si>
  <si>
    <t>35613SE1 PROX3 Solar Nail &amp; Spa</t>
  </si>
  <si>
    <t>35758SE1 PROX3 Primp &amp; Posh Nail Bar</t>
  </si>
  <si>
    <t>35759SE1 PROX3 Nail Boutique &amp; Spa</t>
  </si>
  <si>
    <t>35801SEM PROX4 VSL Nail Spa</t>
  </si>
  <si>
    <t>35802SEM PROX4 CLASSY NAILS</t>
  </si>
  <si>
    <t>35806SEM PROX4 Fusion Nail &amp; Spa</t>
  </si>
  <si>
    <t>36027SE1 PROX3 Envy Nails</t>
  </si>
  <si>
    <t>36064SE0 Royal Nail Spa</t>
  </si>
  <si>
    <t>36081SE1 PROX3 Nails Boutique Spa</t>
  </si>
  <si>
    <t>36081SE1 PROX3 Pamper Nail Spa</t>
  </si>
  <si>
    <t>36106SE1 PROX3 NAIL STUDIO &amp; SPA</t>
  </si>
  <si>
    <t>361160E0 Royal Nail Spa</t>
  </si>
  <si>
    <t>36117SE1 PROX3 SIAM NAILS</t>
  </si>
  <si>
    <t>36203SE1 PROX3 Exquisite Nails Salon</t>
  </si>
  <si>
    <t>36301SE1 PROX3 Nice Nails &amp; Spa</t>
  </si>
  <si>
    <t>36502SE1 PROX3 ATMORE NAILS</t>
  </si>
  <si>
    <t>36502F00 ATMORE NAILS</t>
  </si>
  <si>
    <t>36527SE1 PROX3 Luxury Nails</t>
  </si>
  <si>
    <t>36535SEM PROX4 Aura Nail Lounge</t>
  </si>
  <si>
    <t>36801SE1 PROX3 A Nail &amp; Spa</t>
  </si>
  <si>
    <t>36801SE1 PROX3 Lee Spa Nails</t>
  </si>
  <si>
    <t>36830SE1 PROX3 Blissful Nails &amp; Brows</t>
  </si>
  <si>
    <t>36830SE1 PROX3 Posh Nails &amp; Lash Lounge (Gift card)</t>
  </si>
  <si>
    <t>36830SE1 PROX3 The Lua Spot Nails Boutique</t>
  </si>
  <si>
    <t>37013FE0 Noire The Nail Bar At Tanger Outlets</t>
  </si>
  <si>
    <t>37042FF0 Nail City (QR code menu &amp; review)</t>
  </si>
  <si>
    <t>37042SE1 PROX3 Nail City 2</t>
  </si>
  <si>
    <t>37043SEM PROX4 LV NAILS BAR</t>
  </si>
  <si>
    <t>37064SE1 PROX3 RUBY'S NAILS AND SPA</t>
  </si>
  <si>
    <t>37064SE1 PROX3 Sahara Nail Spa</t>
  </si>
  <si>
    <t>37067SEM PROX4 Noire Nail Bar Meridian</t>
  </si>
  <si>
    <t>37075SE1 PROX3 11TH NAIL SPA HENDERSONVILLE</t>
  </si>
  <si>
    <t>37075SE1 PROX3 SOLACE NAILS &amp; SPA</t>
  </si>
  <si>
    <t>37122000 ARIA NAILS (Gift Card)</t>
  </si>
  <si>
    <t>37122SE1 PROX3 Mt Juliet Nails</t>
  </si>
  <si>
    <t>37127SE1 PROX3 Perfect Nail</t>
  </si>
  <si>
    <t>37135SE1 PROX3 Nailvibe Nolen</t>
  </si>
  <si>
    <t>37160SE1 PROX3 Queen Nails</t>
  </si>
  <si>
    <t>37206SEM PROX4 SOLIE NAIL BAR</t>
  </si>
  <si>
    <t>37215SE1 PROX3 Paris Nail Spa</t>
  </si>
  <si>
    <t>37221SE0 PROX3 Social Grace Nail &amp; Bar</t>
  </si>
  <si>
    <t>37221SE1 PROX3 DT Nail Spa</t>
  </si>
  <si>
    <t>37312SEM PROX4 Nails Of America</t>
  </si>
  <si>
    <t>37379SE1 PROX3 Top Nails</t>
  </si>
  <si>
    <t>37601SE1 PROX3 KIM NAILS</t>
  </si>
  <si>
    <t>37620SEM PROX4 Le Posh Nail Bar</t>
  </si>
  <si>
    <t>37748FC0 429 Nails &amp; Lashes</t>
  </si>
  <si>
    <t>37760SE1 PROX3 Jefferson Nail Bar</t>
  </si>
  <si>
    <t>37771SE1 PROX3 IP Nails And Spa</t>
  </si>
  <si>
    <t>37830SE1 PROX3 Prema Nails and Lashes</t>
  </si>
  <si>
    <t>37882FF0 MOUNTAIN NAIL &amp; SPA</t>
  </si>
  <si>
    <t>37922SE1 PROX3 COCO Nails &amp; Lashes</t>
  </si>
  <si>
    <t>37934FE0 Nail Bakery &amp; Spa</t>
  </si>
  <si>
    <t>38002SE0 Liberty Nails &amp; Spa</t>
  </si>
  <si>
    <t>38016SEM PROX4 Gloss Nails Lounge</t>
  </si>
  <si>
    <t>38017SEM PROX4 The Nail Parlor Collierville (Tiệm 2)</t>
  </si>
  <si>
    <t>38117SEM PROX4 The Nail Parlor - Eastgate</t>
  </si>
  <si>
    <t>38464SE1 PROX3 1ST NAIL BAR</t>
  </si>
  <si>
    <t>38671SEM PROX4 U.S Nails &amp; Spa</t>
  </si>
  <si>
    <t>38672SE1 PROX3 2 Cute Nail Spa</t>
  </si>
  <si>
    <t>38801SE1 PROX3 Cute Nails &amp; Spa</t>
  </si>
  <si>
    <t>38801SE1 PROX3 Lee's Nail &amp; Spa</t>
  </si>
  <si>
    <t>38804SE1 PROX3 Lux Nails</t>
  </si>
  <si>
    <t>39047SE1 PROX3 Deluxe Spa &amp; Nails</t>
  </si>
  <si>
    <t>39047SE1 PROX3 DoHo Nail Lounge</t>
  </si>
  <si>
    <t>39110SE1 PROX3 Sang Nail Spa</t>
  </si>
  <si>
    <t>39110SE1 PROX3 Soles Nail Bar &amp; Brows</t>
  </si>
  <si>
    <t>39272SE1 PROX3 Luxe Nails</t>
  </si>
  <si>
    <t>39428SE1 PROX3 K&amp;T NAILS</t>
  </si>
  <si>
    <t>39465SE1 PROX3 Daisy Nails</t>
  </si>
  <si>
    <t>39470SE1 PROX3 Merci Nails Spa</t>
  </si>
  <si>
    <t>39470F00 Merci Nails Spa</t>
  </si>
  <si>
    <t>39503SE1 PROX3 CK NAILS AND SPA</t>
  </si>
  <si>
    <t>39705SE1 PROX3 T Nails &amp; Spa</t>
  </si>
  <si>
    <t>40047SE1 PROX3 Serenity Nails and Spa</t>
  </si>
  <si>
    <t>40165SE1 PROX3 Vella Nails</t>
  </si>
  <si>
    <t>40207SE1 Urban Nails And Spa</t>
  </si>
  <si>
    <t>40291SE1 PROX3 Polish Perfection</t>
  </si>
  <si>
    <t>41017SEM PROX4 PEARL NAILS LOUNGE</t>
  </si>
  <si>
    <t>41030SE1 PROX3 Modern Nail</t>
  </si>
  <si>
    <t>43015SEM PROX4 Edina Nails Spa</t>
  </si>
  <si>
    <t>43026SE1 PROX3 Lovely Nail Spa_OH</t>
  </si>
  <si>
    <t>43065SE1 PROX3 Elaine Nail Spa</t>
  </si>
  <si>
    <t>43081PE1 PROX3 Happy Nails</t>
  </si>
  <si>
    <t>43123SCM PROX5 TC Nails &amp; Spa + 250 GC</t>
  </si>
  <si>
    <t>431250E0 Sunny's Nails &amp; Spa</t>
  </si>
  <si>
    <t>43130SE1 PROX3 LANCASTER NAIL &amp; SPA</t>
  </si>
  <si>
    <t>43130SE1 PROX3 Luxury Nails &amp; Spa</t>
  </si>
  <si>
    <t>43228SE1 PROX3 TRACY NAILS</t>
  </si>
  <si>
    <t>43230SE1 PROX3 Polish Nail Bar</t>
  </si>
  <si>
    <t>43235SEM PROX4 REJUVENATE NAIL SPA</t>
  </si>
  <si>
    <t>43615SE1 PROX3 NAILS NOW SPA</t>
  </si>
  <si>
    <t>44017SE1 PROX3 Win's Nail &amp; Head Spa</t>
  </si>
  <si>
    <t>44070SE1 PROX3 Top Star Nails</t>
  </si>
  <si>
    <t>44111SE1 PROX3 City Star Nails</t>
  </si>
  <si>
    <t>44121SEM PROX4 Square One Nails &amp; Spa</t>
  </si>
  <si>
    <t>44256PE1 PROX3 Best Nails &amp; Spa</t>
  </si>
  <si>
    <t>44446SE1 PROX3 Allure Nails &amp; Spa</t>
  </si>
  <si>
    <t>44685SE1 PROX3 Ultra Nails &amp; Spa</t>
  </si>
  <si>
    <t>45069SE1 PROX3 Aura Nails &amp; Spa 1 (Wetherington)</t>
  </si>
  <si>
    <t>45069SE1 PROX3 Serene Nail Spa</t>
  </si>
  <si>
    <t>45069SEM PROX4 Aura Nails &amp; Spa</t>
  </si>
  <si>
    <t>45140FE0 D Best Nails &amp; Spa</t>
  </si>
  <si>
    <t>451500E0 Beautique 2 Nails &amp; Spa</t>
  </si>
  <si>
    <t>451500E0 Beautique Nails &amp; Spa</t>
  </si>
  <si>
    <t>45371SE1 PROX3 TIPP NAILS &amp; SPA</t>
  </si>
  <si>
    <t>45373PE0 Q Nail And Skin Care</t>
  </si>
  <si>
    <t>45414SEM PROX4 Luxury Nail Spa</t>
  </si>
  <si>
    <t>45424SE1 PROX3 Vivie Nail Spa</t>
  </si>
  <si>
    <t>45440SE0 Cleopatra’s Paradise Nail Spa</t>
  </si>
  <si>
    <t>45440SE1 PROX3 Classy Nails &amp; Spa</t>
  </si>
  <si>
    <t>45459SEM PROX4 Luxury Nail Spa 1</t>
  </si>
  <si>
    <t>458950E0 Moon Nails And Spa</t>
  </si>
  <si>
    <t>46037SE1 PROX3 Olio Nail &amp; Spa</t>
  </si>
  <si>
    <t>46038SE0 PROX3 LG NAILS</t>
  </si>
  <si>
    <t>46060SE1 PROX3 D'or Nail Lounge</t>
  </si>
  <si>
    <t>46060F00 D'or Nail Lounge</t>
  </si>
  <si>
    <t>46060SE1 PROX3 Anthony Vince Nail Spa</t>
  </si>
  <si>
    <t>46123SE1 PROX3 Kelly Nails</t>
  </si>
  <si>
    <t>46123SE1 PROX3 V Nails</t>
  </si>
  <si>
    <t>46143SEM PROX4 Camellia Nails Lounge</t>
  </si>
  <si>
    <t>46168FC0 QT Nails</t>
  </si>
  <si>
    <t>46216FE0 Haven Nails Lounge (+QR Code)</t>
  </si>
  <si>
    <t>46224SE1 PROX3 KT Nails 2</t>
  </si>
  <si>
    <t>46227SE0 PROX3 Lovely Nails</t>
  </si>
  <si>
    <t>46236SE1 PROX3 K'S NAILS</t>
  </si>
  <si>
    <t>46240SE1 PROX3 Mi Nail Salon</t>
  </si>
  <si>
    <t>46254SE1 PROX3 Diamond Nails</t>
  </si>
  <si>
    <t>46268SE1 PROX3 Pro Spa Nails LLC</t>
  </si>
  <si>
    <t>46307SE1 PROX3 ANN NAILS &amp; SPA</t>
  </si>
  <si>
    <t>46321SE1 PROX3 SONNY'S NAILS</t>
  </si>
  <si>
    <t>46322SE1 PROX3 Nail Lab 219</t>
  </si>
  <si>
    <t>46373FE0 Top Nails</t>
  </si>
  <si>
    <t>46375SE1 PROX3 H2O Tanning &amp; Nails</t>
  </si>
  <si>
    <t>46383SE1 PROX3 Cosmo Spa Nail</t>
  </si>
  <si>
    <t>46614FCM Luxury Nails &amp; Spa</t>
  </si>
  <si>
    <t>46804SE1 PROX3 M. Vince Nail Spa</t>
  </si>
  <si>
    <t>46902SE1 PROX3 A ANGEL NAIL</t>
  </si>
  <si>
    <t>46902SE1 PROX3 A Nails LLC</t>
  </si>
  <si>
    <t>47303SE1 PROX3 RUBY NAILS &amp; SPA</t>
  </si>
  <si>
    <t>47905SE1 PROX3 Lafayette Nail Spa</t>
  </si>
  <si>
    <t>47905SE1 PROX3 Studio Nails</t>
  </si>
  <si>
    <t>48015SE1 PROX3 S&amp;N Nails And Spa</t>
  </si>
  <si>
    <t>48026SE1 PROX3 Star Nails 7 II</t>
  </si>
  <si>
    <t>48026G00 PROX3 Star Nails 7 II</t>
  </si>
  <si>
    <t>48033SE1 PROX3 N&amp;S Nails</t>
  </si>
  <si>
    <t>48034SE1 PROX3 Golden Nail Bar</t>
  </si>
  <si>
    <t>48035PEM PROX4 AMOUR NAIL LOUNGE</t>
  </si>
  <si>
    <t>48035SE1 PROX3 Inspire Nails &amp; Spa</t>
  </si>
  <si>
    <t>48036SE1 PROX3 Lucky Nails &amp; Spa</t>
  </si>
  <si>
    <t>48036SE1 PROX3 LUXE NAIL SPA</t>
  </si>
  <si>
    <t>48038SE1 PROX3 The Nail Lounge</t>
  </si>
  <si>
    <t>48044SE1 PROX3 Noire Nail Bar</t>
  </si>
  <si>
    <t>48044SEM PROX4 Glimmery Nails &amp; Spa</t>
  </si>
  <si>
    <t>48048SEM PROX4 OMG Nail Lounge</t>
  </si>
  <si>
    <t>48051SE1 PROX3 Elite Nail Bar</t>
  </si>
  <si>
    <t>48066SE1 PROX3 RED NAIL SPA</t>
  </si>
  <si>
    <t>48066SEM PROX4 BH NAILS SPA ROSEVILLE</t>
  </si>
  <si>
    <t>48075SE1 PROX3 Kool Nails &amp; Spa</t>
  </si>
  <si>
    <t>48076SE1 PROX3 H &amp; M NAILS &amp; SPA</t>
  </si>
  <si>
    <t>48084SEM PROX4 Bloomfield Nails and Spa of Troy</t>
  </si>
  <si>
    <t>48089SE1 PROX3 BH NAILS &amp; SPA</t>
  </si>
  <si>
    <t>[Design] Promotion - Father day</t>
  </si>
  <si>
    <t>48098SEM PROX4 BB NAILS &amp; SPA</t>
  </si>
  <si>
    <t>[Design] Promotion - July 4th</t>
  </si>
  <si>
    <t>[Design] Promotion - Father day open</t>
  </si>
  <si>
    <t>48111SEM PROX4 Ly Nails Lounge</t>
  </si>
  <si>
    <t>48150SE1 PROX3 N.K.Nails</t>
  </si>
  <si>
    <t>481540E0 Miss Nails &amp; Spa</t>
  </si>
  <si>
    <t>48154SE1 PROX3 Great Lakes Nails</t>
  </si>
  <si>
    <t>48162F00 Bloom Nail &amp; Spa</t>
  </si>
  <si>
    <t>[Desgin] Print - Business Card</t>
  </si>
  <si>
    <t>48178SE1 PROX3 TJ NAILS SPA</t>
  </si>
  <si>
    <t>48185SE1 PROX3 Royal People Nails</t>
  </si>
  <si>
    <t>48220SE1 PROX3 Bling Nails &amp; Spa</t>
  </si>
  <si>
    <t>48220F00 Bling Nails &amp; Spa</t>
  </si>
  <si>
    <t>48236SE1 PROX3 MY NAILS</t>
  </si>
  <si>
    <t>48236SEM PROX3 Blue Nails &amp; Spa</t>
  </si>
  <si>
    <t>48236SEM PROX4 M.Le Nails Spa Lash</t>
  </si>
  <si>
    <t>48237SE1 PROX3 Nails Today</t>
  </si>
  <si>
    <t>48302FE0 BEBE NAIL SPA LLC</t>
  </si>
  <si>
    <t>483090C0 BLOOMFIELD NAILS &amp; SPA</t>
  </si>
  <si>
    <t>48313SE1 PROX3 ORGANIC NAILS &amp; SPA</t>
  </si>
  <si>
    <t>48315SE1 PROX3 VT Nails &amp; Spa</t>
  </si>
  <si>
    <t>48316SE1 PROX3 Forever Nails</t>
  </si>
  <si>
    <t>48320SE1 PROX3 Polish'd Nails &amp; Spa</t>
  </si>
  <si>
    <t>48326SE1 PROX3 Bloom Nail And Spa of Auburn Hills</t>
  </si>
  <si>
    <t>48348SEM PROX4 M. Star Nail Spa</t>
  </si>
  <si>
    <t>48346SEM PROX4 M. Star Nail Spa</t>
  </si>
  <si>
    <t>48359SE1 PROX3 MI Nails &amp; Spa</t>
  </si>
  <si>
    <t>48381SE1 PROX3 Milford Nail Spa</t>
  </si>
  <si>
    <t>48382SE1 PROX3 LY NAILS &amp; SPA</t>
  </si>
  <si>
    <t>48390SE1 PROX3 Calista Nails &amp; Spa</t>
  </si>
  <si>
    <t>48430SE1 PROX3 Golden Nails</t>
  </si>
  <si>
    <t>48439SEM PROX4 GRAND BLANC NAILS &amp; SPA</t>
  </si>
  <si>
    <t>48642SE1 PROX3 TOP NAILS &amp; SPA</t>
  </si>
  <si>
    <t>48823SEM PROX4 Elegant Nails Salon</t>
  </si>
  <si>
    <t>48917SE1 PROX3 Vip Nail &amp; Spa</t>
  </si>
  <si>
    <t>49002SEM PROX4 Luxx Nails &amp; Spa</t>
  </si>
  <si>
    <t>49202SE1 PROX3 BLOOM NAILS AND SPA OF JACKSON</t>
  </si>
  <si>
    <t>49316SE1 PROX3 LA Nails &amp; Spa Van Place</t>
  </si>
  <si>
    <t>49418SEM PROX4 SWAN NAILS SPA GRANDVILLE LLC</t>
  </si>
  <si>
    <t>49424SE1 PROX3 Dior Nail Bar</t>
  </si>
  <si>
    <t>49512SE0 PROX3 Honey Nail Bar</t>
  </si>
  <si>
    <t>49512SEM PROX4 DELUXE NAILS &amp; SPA</t>
  </si>
  <si>
    <t>495250E0 Touch Nails Spa</t>
  </si>
  <si>
    <t>49525SE1 PROX3 D'LUX NAILS LLC</t>
  </si>
  <si>
    <t>49546SE1 PROX3 Crystal Nails And Spa N.N</t>
  </si>
  <si>
    <t>52241SE1 PROX3 Nailville Salon</t>
  </si>
  <si>
    <t>52402SE1 PROX3 M Nails</t>
  </si>
  <si>
    <t>52807SE1 PROX3 DL NAILS AND SPA</t>
  </si>
  <si>
    <t>52807SEM PROX4 ROYAL NAILS DAVENPORT</t>
  </si>
  <si>
    <t>53027SE1 PROX3 Pearl Nails</t>
  </si>
  <si>
    <t>53045SCM PROMAX5 Ly Ly Nails &amp; Spa</t>
  </si>
  <si>
    <t>53154PE1 PROX3 Nola Nails &amp; Spa</t>
  </si>
  <si>
    <t>532020E0 BELLA NAIL SPA</t>
  </si>
  <si>
    <t>53202SEM PROX4 Polished Nail Bar</t>
  </si>
  <si>
    <t>53217SEM PROX4 Nailistic</t>
  </si>
  <si>
    <t>53545SE1 PROX3 Nails By Anna Vo</t>
  </si>
  <si>
    <t>53715FE0 Galaxy Nail Spa</t>
  </si>
  <si>
    <t>54011SE1 PROX3 Polished Nail Salon</t>
  </si>
  <si>
    <t>54401SE1 PROX3 Bella Nails Lounge</t>
  </si>
  <si>
    <t>54476SE1 PROX3 Aura Nails &amp; Barber</t>
  </si>
  <si>
    <t>54751SE0 PROX3 Best Nails</t>
  </si>
  <si>
    <t>55044SE1 PROX3 Kimmi Spa Nails</t>
  </si>
  <si>
    <t>55082F00 La’Noir Nail Bar - Stillwater</t>
  </si>
  <si>
    <t>55116SE1 PROX3 Prestige Nails &amp; Spa</t>
  </si>
  <si>
    <t>55125SE1 PROX3 Tam's Nails</t>
  </si>
  <si>
    <t>55125SEM PROX4 Miley Nails &amp; Pedicures</t>
  </si>
  <si>
    <t>55337SE1 PROX3 KIMMI SPA NAILS</t>
  </si>
  <si>
    <t>55362SE1 PROX3 Lux Nails</t>
  </si>
  <si>
    <t>55406SE1 PROX3 Daisy Nail</t>
  </si>
  <si>
    <t>55410PEM1 BeeQ Nails and Spa LLC (QR Code Menu &amp; Review + 300 gift card 03A + QR CODE</t>
  </si>
  <si>
    <t>55428SE1 PROX3 Alitas Lashes and Nails</t>
  </si>
  <si>
    <t>56301SE1 PROX3 Magic Nails</t>
  </si>
  <si>
    <t>57106SE0 Envy Nails &amp; Spa West</t>
  </si>
  <si>
    <t>57106SE1 PROX3 Glamour Nails &amp; Spa</t>
  </si>
  <si>
    <t>57106SE1 PROX3 SKY NAIL SPA</t>
  </si>
  <si>
    <t>57701SE1 PROX3 Classic Nails</t>
  </si>
  <si>
    <t>57783SE1 PROX3 Spearfish Nails and Beauty House</t>
  </si>
  <si>
    <t>58201SE1 PROX3 JULIE'S NAIL BAR</t>
  </si>
  <si>
    <t>58201SE1 PROX3 LOVELY NAILS &amp; SPA</t>
  </si>
  <si>
    <t>58703SE1 PROX3 Bella Nails</t>
  </si>
  <si>
    <t>59474SE1 PROX3 Strawberry Nails Lounge</t>
  </si>
  <si>
    <t>59808SEM PROX4 Reserve Nails &amp; Spa Inc</t>
  </si>
  <si>
    <t>60014SCM PROX5 LT NAIL LOUNGE</t>
  </si>
  <si>
    <t>60025SE1 PROX3 La Mode Nails Spa</t>
  </si>
  <si>
    <t>60025SE1 PROX3 M.Y Nails Studio</t>
  </si>
  <si>
    <t>60031PE1 PROX3 Gurnee Nails And Spa</t>
  </si>
  <si>
    <t>60031S00 Gurnee Nails And Spa</t>
  </si>
  <si>
    <t>60047SE1 PROX3 NV Nails Spa</t>
  </si>
  <si>
    <t>60061SE1 PROX3 Graphic Nails</t>
  </si>
  <si>
    <t>60077SE1 PROX3 Xpression Nail Spa</t>
  </si>
  <si>
    <t>60102SCM PROX5 VENICE NAIL BAR</t>
  </si>
  <si>
    <t>60104SE1 PROX3 Red Nails LLC</t>
  </si>
  <si>
    <t>60119SE1 PROX3 M’Lamour Nail Spa</t>
  </si>
  <si>
    <t>60123SE1 PROX3 Nail Art &amp; Spa</t>
  </si>
  <si>
    <t>60126SE1 PROX3 SYDNEY NAIL</t>
  </si>
  <si>
    <t>60137SE1 PROX3 Originail Salon &amp; Spa</t>
  </si>
  <si>
    <t>60137SE1 PROX3 ORIGINAIL SALON &amp; SPA MAIN STREET</t>
  </si>
  <si>
    <t>60142SE1 PROX3 Posh Nail Bar</t>
  </si>
  <si>
    <t>60169SE1 PROX3 Marshalls Nails &amp; Spa</t>
  </si>
  <si>
    <t>60173SCM PROX5 VENICE NAIL BAR SCHAUMBURG</t>
  </si>
  <si>
    <t>60173SE1 PROX3 Empire Nails Lounge</t>
  </si>
  <si>
    <t>60174SCM PROX4 Gossip of St Charles Nails and Spa</t>
  </si>
  <si>
    <t>60174SEM PROX4 Gossip of St Charles Nails and Spa</t>
  </si>
  <si>
    <t>60174SEM PROX4 Sachi Nail Bar</t>
  </si>
  <si>
    <t>60181SCM Magic-Oakbrook Terrace</t>
  </si>
  <si>
    <t>60181SE1 PROX3 LA Nails &amp; Spa</t>
  </si>
  <si>
    <t>60185SE1 PROX3 DE ANGEL NAILS SPA</t>
  </si>
  <si>
    <t>60189SE1 PROX3 Grand Nails Spa</t>
  </si>
  <si>
    <t>60415SE1 PROX3 Nail Tek</t>
  </si>
  <si>
    <t>60453SEM PROX4 Jacquelyn Nails &amp; Spa</t>
  </si>
  <si>
    <t>60453F00 Jacquelyn Nails &amp; Spa</t>
  </si>
  <si>
    <t>60453FC0 Pink Nails</t>
  </si>
  <si>
    <t>60462SE1 PROX3 Urban Nails</t>
  </si>
  <si>
    <t>60462SEM PROX4 Verone Nails Spa</t>
  </si>
  <si>
    <t>60467SE1 PROX3 NAIL ATELIER</t>
  </si>
  <si>
    <t>60477SEM PROX4 De Legend Nail Bar</t>
  </si>
  <si>
    <t>60487SE1 PROX3 Cici Nail &amp; Spa</t>
  </si>
  <si>
    <t>60515SCM PROX4 Venezia Nail Spa</t>
  </si>
  <si>
    <t>60523SE1 PROX3 La' Vogue Nails &amp; Spa</t>
  </si>
  <si>
    <t>60523SE1 PROX3 Magic Nails</t>
  </si>
  <si>
    <t>60543SEM PROX4 Bravia Nail Spa</t>
  </si>
  <si>
    <t>60544SE1 PROX3 D'VINE NAILS</t>
  </si>
  <si>
    <t>60546SE1 PROX3 River Nail Lounge</t>
  </si>
  <si>
    <t>60605SCM PROX5 ARIA NAIL SPA</t>
  </si>
  <si>
    <t>60605SEM PROX4 123 NAIL SALON</t>
  </si>
  <si>
    <t>60614SE1 PROX3 Colorway Nail Salon</t>
  </si>
  <si>
    <t>60614SE1 PROX3 Fullerton Nail Spa</t>
  </si>
  <si>
    <t>60615SE1 PROX3 Nikki Nails</t>
  </si>
  <si>
    <t>606200E0 Classic Nails Salon</t>
  </si>
  <si>
    <t>60623SEM PROX4 Design #1 Nails</t>
  </si>
  <si>
    <t>60632SE1 PROX3 Sava Nail &amp; Spa</t>
  </si>
  <si>
    <t>60639SE1 PROX3 DIVERSEY NAIL SPA</t>
  </si>
  <si>
    <t>60654SEM PROX4 ATLANTIS NAILS &amp; SPA</t>
  </si>
  <si>
    <t>60659SE1 PROC4 VIET FUSION</t>
  </si>
  <si>
    <t>60804SC0 Lynn Nails Beauty Lounge</t>
  </si>
  <si>
    <t>60805FE0 Classy Nails &amp; Spa</t>
  </si>
  <si>
    <t>60827SE1 PROX3 Lee Nail Lounge</t>
  </si>
  <si>
    <t>61107000 GLOSS NAIL (GIFT CARD)</t>
  </si>
  <si>
    <t>61108000 ESSENCE NAILS (GIFT CARD)</t>
  </si>
  <si>
    <t>61111SE1 PROX3 L.A.Nails</t>
  </si>
  <si>
    <t>61115FC0 Glow Head Spa &amp; Nails</t>
  </si>
  <si>
    <t>61761SEM PROX4 Kim's Pro Nails &amp; Spa LLC</t>
  </si>
  <si>
    <t>61822SE1 PROX3 BAYTOWNE NAILS</t>
  </si>
  <si>
    <t>61856SEM PROX4 Noble Nails</t>
  </si>
  <si>
    <t>61938SE1 PROX3 AVON NAILS</t>
  </si>
  <si>
    <t>62223SE1 PROX3 Star Nails</t>
  </si>
  <si>
    <t>62226SE1 PROX3 Mi Nail</t>
  </si>
  <si>
    <t>62301SE1 PROX3 Magic Nails</t>
  </si>
  <si>
    <t>62526SE1 PROX3 Chic Nail Lounge</t>
  </si>
  <si>
    <t>62650SE1 PROX3 Lovely Nails</t>
  </si>
  <si>
    <t>62959SE1 PROX3 Marion Nail Spa LLC</t>
  </si>
  <si>
    <t>63005SEM PROX4 Isle Nail Bar</t>
  </si>
  <si>
    <t>63010SE1 PROX3 T Nails</t>
  </si>
  <si>
    <t>63011SE1 PROX3 Limitless Nails and More</t>
  </si>
  <si>
    <t>63017SE1 PROX3 NAILS PRO</t>
  </si>
  <si>
    <t>63025000 IMAGINE SERENITY NAIL &amp; SPA ( Gift Card)</t>
  </si>
  <si>
    <t>63031SE1 PROX3 Nikki Nails And Spa</t>
  </si>
  <si>
    <t>63044SE1 PROX3 BB NAILS</t>
  </si>
  <si>
    <t>63108SE1 PROX3 T Nail Spa</t>
  </si>
  <si>
    <t>63117SE1 PROX3 Ladue Nails &amp; Spa</t>
  </si>
  <si>
    <t>63117SE1 PROX3 Olivia &amp; Oliver Nail Lounge</t>
  </si>
  <si>
    <t>631220E0 Cee Cee Nail &amp; Spa</t>
  </si>
  <si>
    <t>63141SE1 PROX3 La Luna Nails And Spa</t>
  </si>
  <si>
    <t>63376SE1 PROX3 SunRise Nail &amp; Spa</t>
  </si>
  <si>
    <t>63376F00 SunRise Nail &amp; Spa</t>
  </si>
  <si>
    <t>63801SE1 PROX3 ENVY NAIL</t>
  </si>
  <si>
    <t>63901SE1 PROX3 DYLAN'S NAILS</t>
  </si>
  <si>
    <t>64081SEM PROX4 BLOOM NAILS &amp; SPA LLC</t>
  </si>
  <si>
    <t>64083SE1 PROX3 Gallery Nails</t>
  </si>
  <si>
    <t>64089SE1 PROX3 Earth and Polish</t>
  </si>
  <si>
    <t>64111SE1 PROX3 Solar Nails</t>
  </si>
  <si>
    <t>64119SE1 PROX3 Best Nails and Spa</t>
  </si>
  <si>
    <t>64151SE1 PROX3 Ethereal Nails &amp; Spa</t>
  </si>
  <si>
    <t>64154FC0 Tiffany's Pink &amp; White Nails</t>
  </si>
  <si>
    <t>64155SE1 PROX3 Ruby Nail Spa</t>
  </si>
  <si>
    <t>64155SEM PROX4 BLOOM NAILS &amp; SPA NORTH LLC</t>
  </si>
  <si>
    <t>64157SE1 PROX3 XO Nails</t>
  </si>
  <si>
    <t>64506SE1 PROX3 Daisy Nails &amp; Spa</t>
  </si>
  <si>
    <t>65020SE1 PROX3 A&amp;E Nails Spa LLC</t>
  </si>
  <si>
    <t>65065SE1 PROX3 Ozarks Nails</t>
  </si>
  <si>
    <t>65109SE1 PROX3 TOP NAILS</t>
  </si>
  <si>
    <t>65203SE1 PROX3 Magic Nails</t>
  </si>
  <si>
    <t>65270SE0 PROX3 Angelcyna Nails</t>
  </si>
  <si>
    <t>65301SE1 PROX3 LUXI Nail Bar</t>
  </si>
  <si>
    <t>65714SE1 PROX3 Nixa Nails</t>
  </si>
  <si>
    <t>65807S00 Royal Nails</t>
  </si>
  <si>
    <t>65807SE1 PROX3 Rainbow Nails</t>
  </si>
  <si>
    <t>65807S0M Rainbow Nails</t>
  </si>
  <si>
    <t>66061SE1 PROX3 Awesome Nails</t>
  </si>
  <si>
    <t>66213SE1 PROX3 Flex Nail Bar</t>
  </si>
  <si>
    <t>66213SE1 PROX3 Rose Nails</t>
  </si>
  <si>
    <t>66221SE1 PROX3 Ritz Nails</t>
  </si>
  <si>
    <t>66223SE1 PROX3 J. Coco Nail Spa</t>
  </si>
  <si>
    <t>66223SE1 Soleil Nails</t>
  </si>
  <si>
    <t>66502SE1 PROX3 Kre8tion Nails</t>
  </si>
  <si>
    <t>66762SE1 PROX3 PITTSBURG NAIL SPA</t>
  </si>
  <si>
    <t>67002SEM PROX4 URBAN NAILS ANDOVER</t>
  </si>
  <si>
    <t>67208SE1 PROX3 Unik Nail Bar LLC</t>
  </si>
  <si>
    <t>67212SE1 PROC4 NGUYEN Kitchen</t>
  </si>
  <si>
    <t>67401SE1 PROX3 Lucky Nails</t>
  </si>
  <si>
    <t>68116SE1 PROC4 Aroma Phở</t>
  </si>
  <si>
    <t>68131SE1 PROX3 Gel Nails</t>
  </si>
  <si>
    <t>68131F00 Gel Nails</t>
  </si>
  <si>
    <t>68505SE1 PROX3 HEAVEN NAILS</t>
  </si>
  <si>
    <t>68512SE1 PROX3 Zen Nails Spa</t>
  </si>
  <si>
    <t>68521SE1 PROX3 Sunny Nails</t>
  </si>
  <si>
    <t>70002SE1 PROX3 Nemo Nail Spa</t>
  </si>
  <si>
    <t>70047SE1 PROX3 AMBER NAIL SPA</t>
  </si>
  <si>
    <t>70058PEM PROX4 Palace Nail Spa LLC</t>
  </si>
  <si>
    <t>70058SE1 PROX3 La Vang Solar Nails</t>
  </si>
  <si>
    <t>70122SE1 PROX3 Queen Nails</t>
  </si>
  <si>
    <t>70123SE1 PROX3 PureLuxe Nail Bar</t>
  </si>
  <si>
    <t>70130SE1 PROX3 Lotus Head Spa</t>
  </si>
  <si>
    <t>70401SE1 PROX3 Lux Nails Spa</t>
  </si>
  <si>
    <t>70403SE1 PROX3 Sky Nails &amp; Spa</t>
  </si>
  <si>
    <t>70448SEM PROX4 DEVIBE NAIL LOUNGE &amp; SALON</t>
  </si>
  <si>
    <t>70458SE1 PROX3 Happy Nails</t>
  </si>
  <si>
    <t>70471SE1 PROX3 L&amp;J Nails Salon</t>
  </si>
  <si>
    <t>705080E0 McKay Nails And Spa</t>
  </si>
  <si>
    <t>70518SE0 PROX3 ROYAL NAILS SPA</t>
  </si>
  <si>
    <t>70526SE1 PROX3 Lux Nails Bar</t>
  </si>
  <si>
    <t>70592SE1 PROX3 Aqua Nails</t>
  </si>
  <si>
    <t>70592SE1 PROX3 Nails Venue</t>
  </si>
  <si>
    <t>70592SEM PROX4 Charis Nails Lounge</t>
  </si>
  <si>
    <t>706050E0 Mandalay Nail Bar</t>
  </si>
  <si>
    <t>70809SEM Adore Nails</t>
  </si>
  <si>
    <t>[Design] Video - AI</t>
  </si>
  <si>
    <t>711110S0 Serenity Spa &amp; Nails</t>
  </si>
  <si>
    <t>71111PS0 KV Nail Spa</t>
  </si>
  <si>
    <t>71118SE1 PROX3 Opal Nail Bar</t>
  </si>
  <si>
    <t>71913PE1 Posh Nail - Hot Springs</t>
  </si>
  <si>
    <t>720220E0 VN Nails Spa</t>
  </si>
  <si>
    <t>72032SE1 PROX3 2nd Nail Bar</t>
  </si>
  <si>
    <t>72120SE0 PROX3 Kayla Nails And Spa</t>
  </si>
  <si>
    <t>72207SE1 PROX3 Top Nail</t>
  </si>
  <si>
    <t>72207SEM PROX4 Ethereal Spa</t>
  </si>
  <si>
    <t>72223SE1 PROX3 LR Nail Bar</t>
  </si>
  <si>
    <t>72227SE1 LUV Nails &amp; Spa</t>
  </si>
  <si>
    <t>72758SE1 PROX3 Uptown Nail Spa</t>
  </si>
  <si>
    <t>72923SE1 PROX3 Sans-Souci Nails &amp; Head Spa</t>
  </si>
  <si>
    <t>[Design] Promotion Father day</t>
  </si>
  <si>
    <t>73012SE1 PROX3 GEM Nail Lash &amp; Beauty Spa</t>
  </si>
  <si>
    <t>73012SE1 PROX3 Nails Society And Lashes</t>
  </si>
  <si>
    <t>73034SEO PROX3 Mi Nails</t>
  </si>
  <si>
    <t>73065SE1 PROX3 Viery Nail Bar</t>
  </si>
  <si>
    <t>73069SE1 PROX3 KS Luxe Nails &amp; Bar</t>
  </si>
  <si>
    <t>73071SS0 Noir Nail Studio</t>
  </si>
  <si>
    <t>73099SE1 PROX3 Heaven Nails and Head Spa</t>
  </si>
  <si>
    <t>73099SEM PROX4 District Nails Bar</t>
  </si>
  <si>
    <t>73110SE1 PROX3 Anton Nails And Spa</t>
  </si>
  <si>
    <t>73112SE1 PROX3 AM Nails &amp; Spa</t>
  </si>
  <si>
    <t>73112SE1 PROX3 TY Nails &amp; Spa</t>
  </si>
  <si>
    <t>73115SE1 PROX3 AL Nails</t>
  </si>
  <si>
    <t>73134SE1 PROX3 Liana Nails Spa</t>
  </si>
  <si>
    <t>73134SE1 PROX3 Nails by Helen</t>
  </si>
  <si>
    <t>73139SEM Shine Nails Spa</t>
  </si>
  <si>
    <t>73142SE1 PROX3 Nail Concepts &amp; Spa</t>
  </si>
  <si>
    <t>73159SE1 PROX3 Siren Nail Bar</t>
  </si>
  <si>
    <t>73159S00 Siren Nail Bar</t>
  </si>
  <si>
    <t>73162PE12 PROX3 H&amp;H Nails Spa</t>
  </si>
  <si>
    <t>73505SE1 PROX3 Lux Nail Bar</t>
  </si>
  <si>
    <t>73521SE1 PROX3 Krystal Nails</t>
  </si>
  <si>
    <t>73601FE0 Zen Nail Studio</t>
  </si>
  <si>
    <t>73703SE1 Coco Nail Bar</t>
  </si>
  <si>
    <t>74008000 FRESH NAILS (500 Gift Cards)</t>
  </si>
  <si>
    <t>74008SE1 PROX3 Aroma Nails &amp; Spa</t>
  </si>
  <si>
    <t>74008F0M Aroma Nails &amp; Spa</t>
  </si>
  <si>
    <t>74011SE0 PROX3 VIP NAILS BAR</t>
  </si>
  <si>
    <t>74012SE1 PROX3 Luxe Nails &amp; Head Spa</t>
  </si>
  <si>
    <t>74014SE1 PROX3 AMOUR NAIL AND SPA</t>
  </si>
  <si>
    <t>74017SE1 PROX3 Signature Nail Bar</t>
  </si>
  <si>
    <t>74037SE1 PROX3 Vogue Nails and Day Spa</t>
  </si>
  <si>
    <t>[Design] Fix - Video Run Ads</t>
  </si>
  <si>
    <t>74055SC0 ULUX NAILS SPA</t>
  </si>
  <si>
    <t>74055SEM PROX4 Owasso Nail Bar</t>
  </si>
  <si>
    <t>74066SE1 PROX3 Enchanteur Nails Room</t>
  </si>
  <si>
    <t>74105SEM PROX4 Odette Nail Bar</t>
  </si>
  <si>
    <t>74133000 Kawaii Nails And Spa (250 Gift Card)</t>
  </si>
  <si>
    <t>74133SE1 PROX3 Logic Nails</t>
  </si>
  <si>
    <t>74133SE1 PROX3 The CT Nail Lounge</t>
  </si>
  <si>
    <t>74145SE1 PROC4 Angie's Fish &amp; Wings</t>
  </si>
  <si>
    <t>74145G00 Angie's Fish &amp; Wings</t>
  </si>
  <si>
    <t>74145SE1 PROX3 Glo Nail &amp; Spa</t>
  </si>
  <si>
    <t>74701SE1 PROX3 Nexgen Nails And Lashes</t>
  </si>
  <si>
    <t>75002SE1 PROX3 Charm &amp; Chic Nail Bar</t>
  </si>
  <si>
    <t>75009SEM PROX4 WILLOW NAIL LOUNGE</t>
  </si>
  <si>
    <t>75013SE0 Ruby Nail Bar</t>
  </si>
  <si>
    <t>75013SE1 PROX3 KT Nails &amp; Spa</t>
  </si>
  <si>
    <t>75013SE1 PROX3 NAIL BOX SALON ALLEN</t>
  </si>
  <si>
    <t>[Design] Fix - QR Code</t>
  </si>
  <si>
    <t>75022SE1 PRO-X3 FIORE NAIL BAR</t>
  </si>
  <si>
    <t>[Desgin] Print - Flyer</t>
  </si>
  <si>
    <t>75028PS0 Milano Nail Spa Flower Mound</t>
  </si>
  <si>
    <t>75028SE1 PROX3 Texas Nail Lounge</t>
  </si>
  <si>
    <t>75033SE1 PROX3 Willow Nail Lounge</t>
  </si>
  <si>
    <t>75034SE1 PROX3 BIJOU NAIL BAR</t>
  </si>
  <si>
    <t>75034SEM PROX4 LCS Nails Frisco</t>
  </si>
  <si>
    <t>75034SEM PROX4 Paris Nail Bar Frisco</t>
  </si>
  <si>
    <t>750350EM D&amp;N Nail Bar &amp; Lashes</t>
  </si>
  <si>
    <t>75035SE1 PROX3 Rich &amp; Famous Nail Spa</t>
  </si>
  <si>
    <t>75035SE1 PROX3 Universal Nail &amp; Spa</t>
  </si>
  <si>
    <t>75051SE1 PROX3 Majestic Nail Bar</t>
  </si>
  <si>
    <t>75052SC0 Organic Nail Bar</t>
  </si>
  <si>
    <t>75052SE1 PROX3 Aria Nail Bar</t>
  </si>
  <si>
    <t>75052SE1 PROX3 Collective Haus of Hair &amp; Nails</t>
  </si>
  <si>
    <t>75052SE1 PROX3 Diva Nail Bar</t>
  </si>
  <si>
    <t>75052SE1 PROX3 Qsky Nails</t>
  </si>
  <si>
    <t>75052SE1 PROX3 Skyhigh Nails Spa</t>
  </si>
  <si>
    <t>75062SE1 PROX3 Caesars nail bar</t>
  </si>
  <si>
    <t>75065SEM PROX4 Avenir Nail Lounge</t>
  </si>
  <si>
    <t>75067SE1 PROX3 An's Nails &amp; Spa</t>
  </si>
  <si>
    <t>75068SE1 PROX3 Blanc Nails Lounge</t>
  </si>
  <si>
    <t>75068SE1 PROX3 Jacques Couture Nail &amp; Beauty Salon</t>
  </si>
  <si>
    <t>750701E0 Signature Nail &amp; Spa</t>
  </si>
  <si>
    <t>75071FC0 Hibiscus Nail Bar INC</t>
  </si>
  <si>
    <t>75071SE1 PROX3 Pop Of Polish Nail Lounge</t>
  </si>
  <si>
    <t>75071SE1 PROX3 Resort Nail Spa_TX</t>
  </si>
  <si>
    <t>75071SE1 PROX3 Resort Nail Spa</t>
  </si>
  <si>
    <t>75071SEM PROX4 Princess Nail And Lash Spa</t>
  </si>
  <si>
    <t>75077SE1 PROX3 COSMO NAIL LOUNGE</t>
  </si>
  <si>
    <t>75078000 DORADO NAIL BAR (GIFTCARD &amp; BUSINESS CARD)</t>
  </si>
  <si>
    <t>75078SE1 PROX3 Artisan Nail Bar</t>
  </si>
  <si>
    <t>75078SE1 PROX3 Blue Agave Nail Lounge</t>
  </si>
  <si>
    <t>75078SE1 PROX3 Felix Lash Studio</t>
  </si>
  <si>
    <t>75078SE1 PROX3 Mango Nail Bar</t>
  </si>
  <si>
    <t>75080S0M Sweet Nail Bar</t>
  </si>
  <si>
    <t>75081SE0 Savannah Spa ( 500 gift card )</t>
  </si>
  <si>
    <t>75081SE1 PROX3 Nail Love</t>
  </si>
  <si>
    <t>75081SE1 PROX3 POSHE NAIL &amp; SPA</t>
  </si>
  <si>
    <t>75087SE1 PROX3 Clover Nail Lounge</t>
  </si>
  <si>
    <t>75088SEM PROX4 Victory Nail Lounge</t>
  </si>
  <si>
    <t>75090SE1 PROX3 Diamond Nails &amp; Spa</t>
  </si>
  <si>
    <t>75092SCM PROX5 B Nail Bar</t>
  </si>
  <si>
    <t>75093SEM PROX4 The Nail Company</t>
  </si>
  <si>
    <t>75094SEM PROX4 Murphy Lavender Nails</t>
  </si>
  <si>
    <t>75098SE1 PROX3 Dazzle Nail Spa</t>
  </si>
  <si>
    <t>75098SEM PROX4 COSMO NAIL &amp; SPA</t>
  </si>
  <si>
    <t>75104SC0 American Nail Bar - Cedar Hill</t>
  </si>
  <si>
    <t>75104SCM PROX5 Deluxe Nail Salon</t>
  </si>
  <si>
    <t>75115SE1 PROX3 ROSE GOLD NAIL BAR</t>
  </si>
  <si>
    <t>75126SE1 PROX3 ARTISAN NAIL BAR</t>
  </si>
  <si>
    <t>75126SEM PROX4 Aura Nails Bar</t>
  </si>
  <si>
    <t>75150SE1 PROX3 Red Nail</t>
  </si>
  <si>
    <t>75156SE1 PROX3 TN Nails &amp; Spa</t>
  </si>
  <si>
    <t>75160SEM PROX4 Terrell Nails Bar</t>
  </si>
  <si>
    <t>75165SE1 PROX3 77 Nail Lounge</t>
  </si>
  <si>
    <t>75182PCM PROX5 Peace Nail Spa Sunnyvale</t>
  </si>
  <si>
    <t>75205SE1 PROX3 KNOX SAPPHIRE NAIL LOUNGE</t>
  </si>
  <si>
    <t>75205SEM PROX4 Knox Heights Nail Spa</t>
  </si>
  <si>
    <t>75214SS0 She Nail Bar</t>
  </si>
  <si>
    <t>75218SE1 PROX3 NAILS STAR</t>
  </si>
  <si>
    <t>75219SE0 High Five Nail Bar</t>
  </si>
  <si>
    <t>75220FC0 Oscar Nails &amp; Spa</t>
  </si>
  <si>
    <t>75229SE1 PROX3 Luxury Nail Bar</t>
  </si>
  <si>
    <t>75231SE1 PROX3 #1 Polished Nails &amp; Spa</t>
  </si>
  <si>
    <t>754070C0 Paris Nails</t>
  </si>
  <si>
    <t>75407SE1 PROX3 Paris Nails</t>
  </si>
  <si>
    <t>75407SE1 PROX3 Artisan Nails and Spa</t>
  </si>
  <si>
    <t>75454PCM PROX5 Amaze Nail Bar</t>
  </si>
  <si>
    <t>75604SE1 PROX3 Pine Tree Nails &amp; Hair</t>
  </si>
  <si>
    <t>756050E0 Boba Cutea</t>
  </si>
  <si>
    <t>75605SE1 PROX3 Kathy's Nail</t>
  </si>
  <si>
    <t>75605SE1 PROX3 Lash Nail Bar</t>
  </si>
  <si>
    <t>75605SEM PROX4 Tam NailArt &amp; Spa</t>
  </si>
  <si>
    <t>75647SE1 PROX3 GLADEWATER NAILS &amp; SPA</t>
  </si>
  <si>
    <t>75647SE1 PROX3 Hi Nails</t>
  </si>
  <si>
    <t>75654SE1 PROX3 Us Nails</t>
  </si>
  <si>
    <t>75791SE1 PROX3 Elite Nail &amp; Spa</t>
  </si>
  <si>
    <t>75831000 Diva Nails (Gift Card)</t>
  </si>
  <si>
    <t>75965SE1 PROX3 Nail 4 You</t>
  </si>
  <si>
    <t>76010SE1 PROC4 H&amp;T COFFEE - TEA</t>
  </si>
  <si>
    <t>76013SE1 PROC4 Vogue Beauty Supply</t>
  </si>
  <si>
    <t>76014SE1 PROX3 TOPTEK NAIL SPA</t>
  </si>
  <si>
    <t>76015SEM PROMAX4 AMAZING NAIL BAR</t>
  </si>
  <si>
    <t>76016SE1 PROX3 Palace Nail &amp; Spa</t>
  </si>
  <si>
    <t>76021SE1 PROX3 De'Lavis Nail Boutique and Spa</t>
  </si>
  <si>
    <t>76028SE1 Amazing Nail Bar</t>
  </si>
  <si>
    <t>76028SE1 PROX3 MARTINI NAIL LOUNGE</t>
  </si>
  <si>
    <t>76028SEM LUXX Nail Salon</t>
  </si>
  <si>
    <t>76033SE1 PROX3 VIP Nails &amp; Spa</t>
  </si>
  <si>
    <t>76039SE1 PROX3 Park Village Nails Euless</t>
  </si>
  <si>
    <t>76039SEM PROX4 Grand Nail Spa</t>
  </si>
  <si>
    <t>76051SE1 PROX3 Creative Nails &amp; Spa</t>
  </si>
  <si>
    <t>76051SE1 PROX3 Grapevine Nails &amp; Spa</t>
  </si>
  <si>
    <t>76054SE1 PROX3 NAIL LOUNGE &amp; SPA</t>
  </si>
  <si>
    <t>76054SE1 PROX3 V Star Nail &amp; Spa</t>
  </si>
  <si>
    <t>76063SE1 PROX3 American Nail Bar</t>
  </si>
  <si>
    <t>76063SEM Deluxe Nail Bar</t>
  </si>
  <si>
    <t>76092SE1 PROX3 Park Village Nails Southlake</t>
  </si>
  <si>
    <t>76109SEM PROX4 Resort Nail &amp; Spa</t>
  </si>
  <si>
    <t>76123SE1 PROX3 Bellini Nail Bar</t>
  </si>
  <si>
    <t>76126SE1 PROX3 Benbrook Nail Bar</t>
  </si>
  <si>
    <t>761310E0 HASLET JUNK REMOVAL LLC</t>
  </si>
  <si>
    <t>76131SE1 PROX3 Park Village Nails Fort Worth</t>
  </si>
  <si>
    <t>76131SEM PROX4 Solay Nail Boutique and Spa</t>
  </si>
  <si>
    <t>76132SE1 PROX3 Jasmine Nails Bar</t>
  </si>
  <si>
    <t>76132SE1 PROX3 Venus Nail Spa</t>
  </si>
  <si>
    <t>76135SE1 PROX3 Upscale Nails Bar</t>
  </si>
  <si>
    <t>76148SC0 Angel Nails And Spa</t>
  </si>
  <si>
    <t>76148SE1 PROX3 Leslie Nails</t>
  </si>
  <si>
    <t>76177SE1 PROX3 Hollywood Spa &amp; Nails</t>
  </si>
  <si>
    <t>76177SEM PROX4 Onyx Nail Bar Alliance</t>
  </si>
  <si>
    <t>76179SEM PROX4 Victory Nail Lounge</t>
  </si>
  <si>
    <t>76180SE1 PROX3 Chloe Nail Bar</t>
  </si>
  <si>
    <t>76201SE1 PROX3 Deluxe Nails &amp; Spa</t>
  </si>
  <si>
    <t>76210SE1 PROX3 Bella Nail Bar</t>
  </si>
  <si>
    <t>76210SEM PROX4 Shine Nails &amp; Spa</t>
  </si>
  <si>
    <t>76226SE1 PROX3 GEN NAIL SALON</t>
  </si>
  <si>
    <t>76227SE1 PROX3 The One Nail Bar</t>
  </si>
  <si>
    <t>76227SE1 PROX3 VS Nail &amp; Spa</t>
  </si>
  <si>
    <t>76227SEM PROX4 Galaxy Nails &amp; Spa</t>
  </si>
  <si>
    <t>76240FE0 Adore Nails and Lashes</t>
  </si>
  <si>
    <t>76244SE1 PROX3 Veneto Nail Bar</t>
  </si>
  <si>
    <t>76248SEM PROX4 Nail Bar One</t>
  </si>
  <si>
    <t>76308SE1 PROX3 Perfect Nail &amp; Spa</t>
  </si>
  <si>
    <t>76310SE1 PROX3 Urban Nail Bar</t>
  </si>
  <si>
    <t>76401SE1 PROX3 VIP Nails Spa</t>
  </si>
  <si>
    <t>76502SE1 PROX3 Highland Nails &amp; Head Spa</t>
  </si>
  <si>
    <t>76504SE1 PROX3 Luxe Nails &amp; Spa</t>
  </si>
  <si>
    <t>76504SEM PROX4 KING NAIL &amp; SPA</t>
  </si>
  <si>
    <t>76548SE1 PROX3 Nail Passion Spa</t>
  </si>
  <si>
    <t>76571SE1 ProX3 Star Nails &amp; Spa</t>
  </si>
  <si>
    <t>76574SE1 PROX3 Modern Nails</t>
  </si>
  <si>
    <t>76574SE1 PROX3 Sky Nails</t>
  </si>
  <si>
    <t>76904SE1 PROX3 Fancy Nails</t>
  </si>
  <si>
    <t>76904SE1 PROX3 VIP Nail Spa</t>
  </si>
  <si>
    <t>77005SE1 PROX3 Luvish Nails Lounge</t>
  </si>
  <si>
    <t>77007SE1 PROX3 Citris Nail Spa - The Heights</t>
  </si>
  <si>
    <t>77018SE1 PROX3 Aura Nail Spa</t>
  </si>
  <si>
    <t>770220E0 Nails Club &amp; Spa</t>
  </si>
  <si>
    <t>77022SE1 PROX3 Modena Nails Spa</t>
  </si>
  <si>
    <t>77024SE1 PROX3 Paradise Nails Spa (Gift Card 500 Cái)</t>
  </si>
  <si>
    <t>77047SE1 PROX3 Nail Tek' Niqs II by Snow</t>
  </si>
  <si>
    <t>77049FC0 Oasis Nails &amp; Spa</t>
  </si>
  <si>
    <t>77049SE1 PROX3 Ben's Nails &amp; Spa</t>
  </si>
  <si>
    <t>77054SC0 Linh's Luxe Nails</t>
  </si>
  <si>
    <t>77057SE1 PROX3 NAILS OF AMERICA TANGLEWOOD</t>
  </si>
  <si>
    <t>77058SE1 PROX3 Valentino Nail Bar</t>
  </si>
  <si>
    <t>77063SE0 PROX3 Q Nails &amp; Lashes</t>
  </si>
  <si>
    <t>77064SE1 PROX3 QT Nail Bar</t>
  </si>
  <si>
    <t>77065SE1 PROX3 Advanced Beauty Services</t>
  </si>
  <si>
    <t>77065SE1 PROX3 Princess &amp; Diva Nails Spa</t>
  </si>
  <si>
    <t>77066SCM PROX5 La Belle Vie Nail Spa</t>
  </si>
  <si>
    <t>77069SEM PROX4 Odyssey Nails &amp; Lashes</t>
  </si>
  <si>
    <t>77070SEM PROX4 Top Touch Nail Salon</t>
  </si>
  <si>
    <t>77072SE1 PROC4 4 Seasons Lounge</t>
  </si>
  <si>
    <t>770770C0 Milano Eldridge Parkway</t>
  </si>
  <si>
    <t>77082SE0 PROX3 Iconic Nail Bar &amp; Head Spa</t>
  </si>
  <si>
    <t>77084SE1 PROX3 CITY NAILS</t>
  </si>
  <si>
    <t>77089SE1 PROX3 Q Lash and Brow</t>
  </si>
  <si>
    <t>77090SE1 PROX3 Spring Nails Spa</t>
  </si>
  <si>
    <t>77095SE1 PROX3 NAIL SPA TEXAS</t>
  </si>
  <si>
    <t>77095SE1 PROX3 Rumors Nails &amp; Spa</t>
  </si>
  <si>
    <t>77096SCM PROX5 Nail of America Meyerland</t>
  </si>
  <si>
    <t>77304SE1 PROX3 QB NAILS &amp; LOUNGE (2)</t>
  </si>
  <si>
    <t>77304SE3 PROX3 Tender Touch III Pedi-Spa</t>
  </si>
  <si>
    <t>77339SE1 PROX3 Milano Nail Spa Northpark</t>
  </si>
  <si>
    <t>77339SE1 PROX3 VIP Nails &amp; Spa Kingwood</t>
  </si>
  <si>
    <t>77346SE1 PROX3 Allure Nails &amp; Spa</t>
  </si>
  <si>
    <t>77346SE1 PROX3 VIP Nails &amp; Spa</t>
  </si>
  <si>
    <t>77356SE1 PROX3 Bliss Nails &amp; Lash</t>
  </si>
  <si>
    <t>77375GCM PROX5 La Dolce Nail Spa Tomball</t>
  </si>
  <si>
    <t>77375SCM PROX5 La Dolce Nail Spa Tomball</t>
  </si>
  <si>
    <t>77375SE1 PROX3 Nail Of America CreekSide</t>
  </si>
  <si>
    <t>77375SE1 PROX3 QB NAILS &amp; LOUNGE (1)</t>
  </si>
  <si>
    <t>77377SE1 PROX3 Lakewood Nails</t>
  </si>
  <si>
    <t>77378000 Milano Nail Spa Willis (250 Gift Cards)</t>
  </si>
  <si>
    <t>77378SCM PROX5 La Dolce Nail Spa Willis</t>
  </si>
  <si>
    <t>77379SE0 PROX3 The Nail Parlor</t>
  </si>
  <si>
    <t>77379SEM PROX4 DRIFT AWAY NAIL LOUNGE</t>
  </si>
  <si>
    <t>77382SEM PROX4 NAILS &amp; SPA TODAY</t>
  </si>
  <si>
    <t>77384SEM PROX4 Shatiff Nails &amp; Spa</t>
  </si>
  <si>
    <t>77385SE1 PROX3 Bellacio Nails &amp; Spa</t>
  </si>
  <si>
    <t>77385SEM PROX4 The Nail Kitchen 2.0</t>
  </si>
  <si>
    <t>77386G0M Milano Nail Spa Spring</t>
  </si>
  <si>
    <t>77386SE1 PROX3 Bellagio Nails Spa</t>
  </si>
  <si>
    <t>77388SCM PROX5 La Dolce Nail Spa Spring</t>
  </si>
  <si>
    <t>77388SE1 PROX3 Aura Nails Spa</t>
  </si>
  <si>
    <t>77389SEM PROX4 VIE NAILS &amp; SPA</t>
  </si>
  <si>
    <t>77396SCM PROX5 LA DOLCE NAIL SPA HUMBLE</t>
  </si>
  <si>
    <t>77396SE1 PROX3 Nina Nails &amp; Spa</t>
  </si>
  <si>
    <t>77396SE1 PROX3 SERENITY NAILS SPA</t>
  </si>
  <si>
    <t>77396SEM Apple Nails Lounge</t>
  </si>
  <si>
    <t>77406SE1 PROX3 N&amp;D Nails SPA</t>
  </si>
  <si>
    <t>77423SC0 Monaco Nails &amp; Spa</t>
  </si>
  <si>
    <t>77429SE1 PROX3 USA SALON</t>
  </si>
  <si>
    <t>FIX LOGO</t>
  </si>
  <si>
    <t>77429SEM PROX4 Gossip &amp; Co Nails Spa</t>
  </si>
  <si>
    <t>77429SSM Milano Nail Spa Grant</t>
  </si>
  <si>
    <t>77433FEM Milano Nail Spa Cypress ( QR code review )</t>
  </si>
  <si>
    <t>77433SE1 PROX3 Nails of America Bridgeland</t>
  </si>
  <si>
    <t>77433SE1 PROX3 NV Beauty Nails</t>
  </si>
  <si>
    <t>77433SEM PROX4 Twinkle Nail Bar</t>
  </si>
  <si>
    <t>77447SE1 PROX3 Foxy Nail Bar</t>
  </si>
  <si>
    <t>77449SE1 PROX3 All Days Nails &amp; Spa</t>
  </si>
  <si>
    <t>77449SE1 PROX3 Coco Nails &amp; Lashes</t>
  </si>
  <si>
    <t>77450SE1 PROX3 Super Nails</t>
  </si>
  <si>
    <t>77459SE1 PROX3 Posh Nails Bar</t>
  </si>
  <si>
    <t>77459SE1 PROX3 Tipsy Nails &amp; Spa</t>
  </si>
  <si>
    <t>77459SEM Missouri Nails &amp; Lashes</t>
  </si>
  <si>
    <t>77459SEM PROX4 Dorado Nail Bar Sienna</t>
  </si>
  <si>
    <t>77469SE1 PROX3 Oasis Med Spa &amp; Nails</t>
  </si>
  <si>
    <t>77479SE1 PROX3 Nails of America First Colony Sugarland</t>
  </si>
  <si>
    <t>77486SE1 PROX3 LANI NAILS</t>
  </si>
  <si>
    <t>77493SE1 PROX3 Lakehouse Nails &amp; Spa</t>
  </si>
  <si>
    <t>77493F00 Lakehouse Nails &amp; Spa</t>
  </si>
  <si>
    <t>77493SE1 PROX3 The Venetian Nail Salon and Lashes</t>
  </si>
  <si>
    <t>77494SE3 PROX3 Ambiance Nail Bar</t>
  </si>
  <si>
    <t>77494SEM PROX4 Marlen's Nail Bar</t>
  </si>
  <si>
    <t>77494SEM PROX4 NOBEL NAILS BAR</t>
  </si>
  <si>
    <t>77504SEM PROX4 Milano Nail Spa Pasendena</t>
  </si>
  <si>
    <t>77510FC0 Vi Nails And Spa</t>
  </si>
  <si>
    <t>77515SE1 PROX3 T&amp;T Vip Nail Spa</t>
  </si>
  <si>
    <t>77515F00 T&amp;T Vip Nail Spa</t>
  </si>
  <si>
    <t>77515SEM PROX4 Miss Forever Nails Spa</t>
  </si>
  <si>
    <t>77521FEM PROX3 Design Nails Baytown</t>
  </si>
  <si>
    <t>77535SE1 PROX3 C - T Nails</t>
  </si>
  <si>
    <t>775460CM Aura Lash</t>
  </si>
  <si>
    <t>77546FC0 Extreme Lash and Brows</t>
  </si>
  <si>
    <t>77551SCM PROX5 Nail &amp; Spa of Texas</t>
  </si>
  <si>
    <t>77566SE1 PROX3 SUN HUT NAILS #2</t>
  </si>
  <si>
    <t>[Design] Promotion 1: Father day</t>
  </si>
  <si>
    <t>77573SE1 PROX3 AMC Nails League City</t>
  </si>
  <si>
    <t>77573F00 AMC Nails League City</t>
  </si>
  <si>
    <t>77573SE1 PROX3 DD Creative Nails &amp; Spa LLC</t>
  </si>
  <si>
    <t>77573SE1 PROX3 Nail Hut &amp; Spa</t>
  </si>
  <si>
    <t>77573SE1 PROX3 Nail Of America South Shore</t>
  </si>
  <si>
    <t>77573SE1 PROX3 Victory Nails &amp; Spa</t>
  </si>
  <si>
    <t>775840E0 Breezy Home Ventilation</t>
  </si>
  <si>
    <t>77584SE1 PROX3 DISCOVERY NAILS &amp; SPA</t>
  </si>
  <si>
    <t>77584SEM PROX4 L'envie Nails &amp; Spa</t>
  </si>
  <si>
    <t>77586SE1 PROX3 Creative Nails 2</t>
  </si>
  <si>
    <t>77598SEM PROX4 Nail Of America Baybrook</t>
  </si>
  <si>
    <t>77706SE1 PROX3 Zen Nail &amp; Spa</t>
  </si>
  <si>
    <t>77706SEM PROX4 Dream Nails Day Spa</t>
  </si>
  <si>
    <t>77708SE1 PROX3 Dream Nails &amp; Day Spa</t>
  </si>
  <si>
    <t>77713SE1 PROX3 LOTUS NAILS &amp; SPA</t>
  </si>
  <si>
    <t>77802SE1 PROX3 Bryan Nails</t>
  </si>
  <si>
    <t>77833SE1 PROX3 Super Nails &amp; Hair</t>
  </si>
  <si>
    <t>77840SEM PROX4 NAIL SOUL</t>
  </si>
  <si>
    <t>779040E0 Posh Nails</t>
  </si>
  <si>
    <t>77957SE1 PROX3 JAZMINE NAILS &amp; SPA</t>
  </si>
  <si>
    <t>78070SE1 PROX3 Beautiful Nails &amp; Spa</t>
  </si>
  <si>
    <t>78070SEM PROX4 VILLAGIO NAILS LOUNGE</t>
  </si>
  <si>
    <t>78121SE1 PROX3 Lavie Nail Spa</t>
  </si>
  <si>
    <t>781300E0 Renaissance Nails Spa</t>
  </si>
  <si>
    <t>78130SE1 PROX3 Onyxia Nails</t>
  </si>
  <si>
    <t>78130SE1 PROX3 SHAPES NAILS</t>
  </si>
  <si>
    <t>78130SEM PROX4 Milano Nail Spa New Braunfels</t>
  </si>
  <si>
    <t>78155SE1 PROX3 Fancy Nails &amp; Spa</t>
  </si>
  <si>
    <t>78209SE1 PROX3 Nail Society Studio</t>
  </si>
  <si>
    <t>78209SE1 PROX3 She's Nails Spa</t>
  </si>
  <si>
    <t>78211SE1 PROX3 Nail Tini</t>
  </si>
  <si>
    <t>78223SE1 PROX3 H Nails Bar</t>
  </si>
  <si>
    <t>78223SE1 PROX3 Jolly Nails &amp; Spa</t>
  </si>
  <si>
    <t>78227SEM PROX4 S.A Nail Spa</t>
  </si>
  <si>
    <t>78232SE0 Pinky'S Nail &amp; Spa</t>
  </si>
  <si>
    <t>78232SEM PROX4 Veneto Nails 281</t>
  </si>
  <si>
    <t>78233SE1 PROX3 Bliss Nails &amp; Spa</t>
  </si>
  <si>
    <t>78233SE1 PROX3 O'Connor Nail &amp; Spa</t>
  </si>
  <si>
    <t>78238SE1 PROX3 Leon Nails</t>
  </si>
  <si>
    <t>[Design] Promotion Update</t>
  </si>
  <si>
    <t>78238SE1 PROX3 LUXURY NAILS &amp; SPA</t>
  </si>
  <si>
    <t>78240SC1 PROX4 Hair Salon by Mojan</t>
  </si>
  <si>
    <t>78240SCM PROX4 Hair Salon by Mojan</t>
  </si>
  <si>
    <t>78240SEM PROX4 Fancy Nails Boutique</t>
  </si>
  <si>
    <t>78245SEM PROX4 LUCKEY NAIL &amp; SPA</t>
  </si>
  <si>
    <t>78245SEM PROX4 TV Nail</t>
  </si>
  <si>
    <t>78247SE1 PROX3 HD NAILS FOR YOU</t>
  </si>
  <si>
    <t>78247SEM PROX4 Yvonne Nails &amp; Spa</t>
  </si>
  <si>
    <t>78249SE1 PROX3 Enchanted Nail &amp; Spa_TX</t>
  </si>
  <si>
    <t>78249SEM PROX4 Siena Nails</t>
  </si>
  <si>
    <t>78249SEM PROX4 Veneto Nails</t>
  </si>
  <si>
    <t>78250PEM PLT NAIL BAR</t>
  </si>
  <si>
    <t>78250PE0 PLT NAIL BAR</t>
  </si>
  <si>
    <t>78250SE1 PROX3 BELLA VISTA NAILS AND SPA</t>
  </si>
  <si>
    <t>78251FE0 Glamour Nails &amp; Spa</t>
  </si>
  <si>
    <t>78251SE0 Klassy Nails</t>
  </si>
  <si>
    <t>78251SE1 PROX3 KR Nails And Spa (New Owner)</t>
  </si>
  <si>
    <t>78251SE1 PROX3 Mix Nails &amp; Spa</t>
  </si>
  <si>
    <t>78251SEM PROC5 CHILLATO</t>
  </si>
  <si>
    <t>78251SEM PROX4 Valencia Nails Spa - Potranco</t>
  </si>
  <si>
    <t>78252SE1 PROX3 KS NAILS &amp; SPA</t>
  </si>
  <si>
    <t>78253SE1 PROX3 Luxe Nail Bar 2</t>
  </si>
  <si>
    <t>78253F00 Luxe Nail Bar 2</t>
  </si>
  <si>
    <t>78253SE1 PROX3 Milan Nail Lounge</t>
  </si>
  <si>
    <t>78253F00 Milan Nail Lounge</t>
  </si>
  <si>
    <t>78253SE1 PROX3 24K Luxury Nail Bar</t>
  </si>
  <si>
    <t>78253SE1 PROX3 D'Lano Nail Lounge</t>
  </si>
  <si>
    <t>78253SE1 PROX3 Velvet Nail Bar</t>
  </si>
  <si>
    <t>78253SE3 PROX4 Euphoria Nails Lounge</t>
  </si>
  <si>
    <t>78253SEM PROX4 Valencia Nails Spa - Culebra</t>
  </si>
  <si>
    <t>78257000 ALO NAIL BAR - EVENT PACKAGE</t>
  </si>
  <si>
    <t>782570E0 Luxe Nails Lounge</t>
  </si>
  <si>
    <t>78257SEM PROX4 Venice Nails Spa</t>
  </si>
  <si>
    <t>78258SE1 PROX3 Aura Nail Lounge Stone Oak</t>
  </si>
  <si>
    <t>78258SEM PROX4 Lush Nails &amp; Spa</t>
  </si>
  <si>
    <t>78258SEM PROX4 Majestic Nail Lounge</t>
  </si>
  <si>
    <t>78258SEM PROX4 MOON NAILS &amp; LASHES</t>
  </si>
  <si>
    <t>78332SE1 PROX3 Mary Nails &amp; Spa</t>
  </si>
  <si>
    <t>78410SE1 PROX3 The Corner Nail Bar</t>
  </si>
  <si>
    <t>78411SEM PROX4 Posh Nail Spa</t>
  </si>
  <si>
    <t>78413SE1 PROX3 MK Spa &amp; Nails</t>
  </si>
  <si>
    <t>78516SE1 PROX3 NAIL SPA</t>
  </si>
  <si>
    <t>78602SE1 LabC Food Kitchen</t>
  </si>
  <si>
    <t>78602SE1 PROX3 Trendy Nail Lounge</t>
  </si>
  <si>
    <t>78602SE1 Tea Valley</t>
  </si>
  <si>
    <t>78605SE1 PROX3 Bertram Nail Salon</t>
  </si>
  <si>
    <t>78613PE1 PROX3 Imperial Nail Lounge</t>
  </si>
  <si>
    <t>78613SE1 PROX3 Adorn Elite Nails Lounge</t>
  </si>
  <si>
    <t>78613SE1 PROX3 E'Lare Nail Spa</t>
  </si>
  <si>
    <t>78613SE1 PROX3 Halo Nails</t>
  </si>
  <si>
    <t>78613SE1 PROX3 Spa Pro Nails</t>
  </si>
  <si>
    <t>78640SEM PROX4 SQUARE NAILS</t>
  </si>
  <si>
    <t>[Design] Promo 2: INDEPENDENCE DAY</t>
  </si>
  <si>
    <t>78640SEM PROX4 Venice Nails Spa</t>
  </si>
  <si>
    <t>[Design] Promo 3: SUMMER SPECIAL</t>
  </si>
  <si>
    <t>[Design] Promo 1: FATHER'S DAY</t>
  </si>
  <si>
    <t>78640SEM PROX4 WONDR NAIL LOUNGE</t>
  </si>
  <si>
    <t>78644SE1 PROX3 MIMI HAIR &amp; NAILS</t>
  </si>
  <si>
    <t>78660SE1 PROX3 Dore Nails</t>
  </si>
  <si>
    <t>78664SE1 PROX3 Galaxy Nails</t>
  </si>
  <si>
    <t>78665SE3M SIGNATURE SPA &amp; NAILS</t>
  </si>
  <si>
    <t>78666SE1 PROX3 B Nails</t>
  </si>
  <si>
    <t>78666SE1 PROX3 San Marcos Nails</t>
  </si>
  <si>
    <t>78666SEM PROX4 Q Nails And Spa</t>
  </si>
  <si>
    <t>787040C0 Ocean Blue Lamar</t>
  </si>
  <si>
    <t>78704SCM PROMAX-5 Vdara Nails Lounge</t>
  </si>
  <si>
    <t>78704SE1 PROX3 SOCO NAILS SPA</t>
  </si>
  <si>
    <t>78729SE1 PROX3 MOO:H Nails Bar</t>
  </si>
  <si>
    <t>78748PCM PROX5 Ruvé Nail Spa</t>
  </si>
  <si>
    <t>78749SE1 PROX3 Expert Nails &amp; Spa</t>
  </si>
  <si>
    <t>78753SE1 PROX3 VMC Spa Pro Nails</t>
  </si>
  <si>
    <t>78759SE1 PROX3 E'Shee Nail Spa</t>
  </si>
  <si>
    <t>79106PC0 Posh Nails &amp; Spa</t>
  </si>
  <si>
    <t>79110FE0 V Nails &amp; Spa</t>
  </si>
  <si>
    <t>79119SE1 PROX3 Zen Nails &amp; Spa</t>
  </si>
  <si>
    <t>79124FCM Bellagio Nails &amp; Spa</t>
  </si>
  <si>
    <t>79424SE1 PROX3 Glory Nail &amp; Spa</t>
  </si>
  <si>
    <t>79424SE1 PROX3 Signature Nails &amp; Spa</t>
  </si>
  <si>
    <t>79601SE1 PROX3 Hot Nails &amp; Spa</t>
  </si>
  <si>
    <t>79606SE1 PROX3 Castle Nails &amp; Spa</t>
  </si>
  <si>
    <t>79707SE1 PROX3 Gravity Nails Lashes &amp; Spa</t>
  </si>
  <si>
    <t>79765GC0 Ventura Nail Spa</t>
  </si>
  <si>
    <t>79765SE1 PROX3 Golden Nail Bar</t>
  </si>
  <si>
    <t>79765SE1 PROX3 Z Nail Bar</t>
  </si>
  <si>
    <t>79765SEM PROX4 Nail Spa Of America</t>
  </si>
  <si>
    <t>79906SE1 PROX3 BLISS DAY SPA</t>
  </si>
  <si>
    <t>79912SE1 PROX3 BU Nail Studio</t>
  </si>
  <si>
    <t>80012SE1 PROX3 Charming Nails &amp; Spa 2</t>
  </si>
  <si>
    <t>80012SE1 PROX3 Friendly Nails &amp; Lashes</t>
  </si>
  <si>
    <t>80013SE1 PROX3 Trendy Nails &amp; Spa</t>
  </si>
  <si>
    <t>80016SE1 PROX3 Blue Sky Nails Aurora</t>
  </si>
  <si>
    <t>80016SE1 PROX3 Miraculous Nails &amp; Lash</t>
  </si>
  <si>
    <t>80104SE1 PROX3 Pamper Nails &amp; Lashes</t>
  </si>
  <si>
    <t>80111SE1 PROX3 Paris Nails 15</t>
  </si>
  <si>
    <t>80112SE1 PROX3 AV Nail Bar</t>
  </si>
  <si>
    <t>80113PE1 PROX3 Blue Sky Nails &amp; Lash Cherry Hills</t>
  </si>
  <si>
    <t>80120SE1 PROX3 Littleton Nails &amp; Spa</t>
  </si>
  <si>
    <t>80123SEM PROX4 EXTREME NAILS &amp; SPA</t>
  </si>
  <si>
    <t>80123SEM PROX4 S&amp;K Nails</t>
  </si>
  <si>
    <t>80129FE0 Magic Nails</t>
  </si>
  <si>
    <t>80134SE1 PROX3 BELLA V NAILS &amp; SPA</t>
  </si>
  <si>
    <t>80487SE1 PROX3 GLOW NAIL BOUTIQUE</t>
  </si>
  <si>
    <t>804980E0 Summit Spa Nails</t>
  </si>
  <si>
    <t>80524FE0 Sky Nails</t>
  </si>
  <si>
    <t>80524F00 Sky Nails</t>
  </si>
  <si>
    <t>805380C0 Mon Cheri Nails And Lashes</t>
  </si>
  <si>
    <t>80538SE1 PROX3 5 Star Nails</t>
  </si>
  <si>
    <t>80550SE1 PROX3 B B Nails &amp; Spa</t>
  </si>
  <si>
    <t>80920SE1 PROX3 Nails Design &amp; Spa</t>
  </si>
  <si>
    <t>80922SEM PROX4 Eric &amp; Mia Nail Spa</t>
  </si>
  <si>
    <t>81007SE1 PROX3 Posh Nail Lounge</t>
  </si>
  <si>
    <t>836460E0 Blossom Nail &amp; Spa</t>
  </si>
  <si>
    <t>83646SEM PROX4 Joy Nails &amp; Spa</t>
  </si>
  <si>
    <t>83651SE1 PROX3 #1 NAILS AND SPA</t>
  </si>
  <si>
    <t>83687GE0 Beau-T Nails Spa</t>
  </si>
  <si>
    <t>83687SE1 PROX3 DIAMOND NAILS AND SPA</t>
  </si>
  <si>
    <t>83709SE1 PROX3 5 Nails &amp; Spa</t>
  </si>
  <si>
    <t>84010SE1 PROX3 LUCKY NAILS</t>
  </si>
  <si>
    <t>84010SE1 PROX3 Tiffany’s Nails &amp; Spa</t>
  </si>
  <si>
    <t>84015SE1 PROX3 TJ Nails Spa And Lashes</t>
  </si>
  <si>
    <t>84020SE1 PROX3 Dream Nails</t>
  </si>
  <si>
    <t>84032PEM PROX4 Heber Nail Spa</t>
  </si>
  <si>
    <t>84032PEM PROX4 London Nail Bar</t>
  </si>
  <si>
    <t>84041SE1 PROX3 Zen Spa &amp; Nails</t>
  </si>
  <si>
    <t>84045SE1 PROX3 Lavish Nail Bar</t>
  </si>
  <si>
    <t>84060SE0 PC Pho</t>
  </si>
  <si>
    <t>84065SE1 PROX3 199X Nails And Spa LLC</t>
  </si>
  <si>
    <t>84065SE1 PROX3 Zen Nails And Spa</t>
  </si>
  <si>
    <t>84067SE1 PROX3 Roy Nails &amp; Spa</t>
  </si>
  <si>
    <t>84074PEM PROX3 Tooele Nails &amp; Head Spa</t>
  </si>
  <si>
    <t>840750E0 99Nails</t>
  </si>
  <si>
    <t>84096PEM Polish Nails Bar 1 - Riverton</t>
  </si>
  <si>
    <t>84096PE0 Polish Nails Bar 1 - Riverton</t>
  </si>
  <si>
    <t>84096SE1 PROX3 TD Nails</t>
  </si>
  <si>
    <t>84119SE1 PROX3 Lala Nails</t>
  </si>
  <si>
    <t>84123SE1 PROX3 L7 Salon Hair &amp; Nails</t>
  </si>
  <si>
    <t>84660SC0 Sunset Nails</t>
  </si>
  <si>
    <t>84780SE3 PROX4 World Nails &amp; Spa</t>
  </si>
  <si>
    <t>84780SEM PROX4 Dior Nails Spa</t>
  </si>
  <si>
    <t>84790SE1 PROX3 THE BEE NAIL</t>
  </si>
  <si>
    <t>85021SE1 PROX3 Image Hair Nails</t>
  </si>
  <si>
    <t>85032SEM PROX4 Pretty Nail Bar</t>
  </si>
  <si>
    <t>85053SE0 Queen Nails &amp; Spa</t>
  </si>
  <si>
    <t>85202SE1 PROX3 Dior Nail Bar</t>
  </si>
  <si>
    <t>85209SEM PROX4 Cuccio Nails Spa</t>
  </si>
  <si>
    <t>85212SEM PROX4 Top Nail Lounge</t>
  </si>
  <si>
    <t>852260E0 LUX NAIL BAR</t>
  </si>
  <si>
    <t>85233SE1 PROX3 Élan Nails &amp; Spa</t>
  </si>
  <si>
    <t>85249SE1 PROX3 D'Moonlight Nails &amp; Spa Chandler</t>
  </si>
  <si>
    <t>85250SEM PROX4 Lush Nails Spa</t>
  </si>
  <si>
    <t>85255SE1 PROX3 Prestige Nails</t>
  </si>
  <si>
    <t>852600E0 Villagio Nail Spa</t>
  </si>
  <si>
    <t>85296SEM PROX4 Artist Nails Lounge Val Vista Gilbert</t>
  </si>
  <si>
    <t>85304SE1 PROX3 Nails By Andy</t>
  </si>
  <si>
    <t>85308SE1 PROX3 NATURAL NAILS AND LASHES</t>
  </si>
  <si>
    <t>85308SE1 PROX3 Sunburst Nails &amp; Spa</t>
  </si>
  <si>
    <t>85326SE1 PROX3 Imperial Nail Bar</t>
  </si>
  <si>
    <t>85338PE1 PROX3 Venice Nails By Johnny</t>
  </si>
  <si>
    <t>85353SE1 PROX3 Zara Nails &amp; Spa</t>
  </si>
  <si>
    <t>85364SE1 PROX3 Hello Nails &amp; Spa</t>
  </si>
  <si>
    <t>85374SE1 PROX3 Venetian Nail Lounge</t>
  </si>
  <si>
    <t>85383SC0 Goldust Nails Bar LLC</t>
  </si>
  <si>
    <t>85387SE1 PROX3 Noble nails &amp; Spa</t>
  </si>
  <si>
    <t>85388SEM PROX4 Elite Nails Gallery</t>
  </si>
  <si>
    <t>85392SE0 Haus of Nails</t>
  </si>
  <si>
    <t>85395SE0 JENNY 3D BROWS</t>
  </si>
  <si>
    <t>85705SEM PROX4 Liam's Nail Lounge</t>
  </si>
  <si>
    <t>85706SEM PROX4 The Glam Nails</t>
  </si>
  <si>
    <t>85711SE1 PROX3 Paris Nail Bar</t>
  </si>
  <si>
    <t>85713SE1 PROX3 The Nail Loft</t>
  </si>
  <si>
    <t>85737SE1 PROX3 Tipsy Nails</t>
  </si>
  <si>
    <t>85743SE1 PROX3 Pink &amp; White Nail Spa</t>
  </si>
  <si>
    <t>87120SEM PROX4 Joy Spa &amp; Nails</t>
  </si>
  <si>
    <t>87501SE1 PROX3 Elegant Nails</t>
  </si>
  <si>
    <t>88310SE1 PROX3 Art Nails</t>
  </si>
  <si>
    <t>88310SE1 PROX3 Q NAILS</t>
  </si>
  <si>
    <t>89014SE1 PROX3 Expression Nails &amp; Spa</t>
  </si>
  <si>
    <t>89052SE1 PROX3 HBC Nails and Spa</t>
  </si>
  <si>
    <t>89052SEM PROX4 Viva Nails</t>
  </si>
  <si>
    <t>89107SE1 PROX3 Linda Nails &amp; Lashes - Las Vegas</t>
  </si>
  <si>
    <t>89109SE1 PROX3 Diamond Nail Lounge</t>
  </si>
  <si>
    <t>89117SE0 PROX3 Slaime Salon</t>
  </si>
  <si>
    <t>89117F00 Slaime Salon</t>
  </si>
  <si>
    <t>89117SE0 PROX3 VT Nail Spa</t>
  </si>
  <si>
    <t>89117SE1 PROX3 Allure Nails</t>
  </si>
  <si>
    <t>891180E0 The Nail Affair</t>
  </si>
  <si>
    <t>89120SE1 PROX3 Pinky Polished Nails &amp; Spa</t>
  </si>
  <si>
    <t>89139SE1 PROX3 TN Nail Lounge</t>
  </si>
  <si>
    <t>89146SE1 PROX3 J Nails and Spa</t>
  </si>
  <si>
    <t>89146SE1 PROX3 Savoni Skinistry</t>
  </si>
  <si>
    <t>891480E0 LV Nails &amp; Lashes</t>
  </si>
  <si>
    <t>89183SE1 PROX3 BIRKIN NAILS</t>
  </si>
  <si>
    <t>89502SEM PROX4 Casabella Nail Salon</t>
  </si>
  <si>
    <t>89511SE1 PROX3 Mount Rose Nail Lounge</t>
  </si>
  <si>
    <t>89511SE1 PROX3 Oasis Nail Lounge</t>
  </si>
  <si>
    <t>89511SE1 PROX3 T&amp;T Nails Spa</t>
  </si>
  <si>
    <t>900150E0 Catholic Charities of Los Angeles Immigration &amp; Refugee Services</t>
  </si>
  <si>
    <t>900260EM Heidi Vips Spa</t>
  </si>
  <si>
    <t>90026FC0 Twin Nails &amp; Spa</t>
  </si>
  <si>
    <t>90026SEM PROX4 Twin Nails &amp; Spa</t>
  </si>
  <si>
    <t>90045SEM PROX4 First Class Nails &amp; Spa II</t>
  </si>
  <si>
    <t>90049SE1 PROX3 INSTABEAUTY</t>
  </si>
  <si>
    <t>90049SE1 PROX3 Zumani Nail &amp; Hair Spa</t>
  </si>
  <si>
    <t>90064SEM PROX4 Avatar Nails &amp; Spa</t>
  </si>
  <si>
    <t>90094SE1 PROX3 Glamicure</t>
  </si>
  <si>
    <t>90094SE1 PROX3 Varnish Lab</t>
  </si>
  <si>
    <t>902400E0 Stylette Nails &amp; Spa</t>
  </si>
  <si>
    <t>90254SE1 PROX3 B'Lu Nail Lounge</t>
  </si>
  <si>
    <t>90277SE1 PROX3 PRECIOUS PEARL NAILS &amp; SPA</t>
  </si>
  <si>
    <t>90505SE1 PROX3 NaiLAX</t>
  </si>
  <si>
    <t>90605SE1 PROX3 Natalie Nails</t>
  </si>
  <si>
    <t>90631FE0 Mindy Nail Bar La Habra</t>
  </si>
  <si>
    <t>90631SE1 PROX3 Lux Nails Spa by Emily</t>
  </si>
  <si>
    <t>90638SE1 PROX3 3D BELLA NAILS</t>
  </si>
  <si>
    <t>906800E0 Angel Spa</t>
  </si>
  <si>
    <t>90706SE1 PROX3 Chic Nails Bar</t>
  </si>
  <si>
    <t>90712SEM PROX5 SHAPE NAIL LOUNGE</t>
  </si>
  <si>
    <t>90723SE1 PROX3 Queen Nails &amp; Spa</t>
  </si>
  <si>
    <t>90745SEM PROX4 Queen Nails And Lash</t>
  </si>
  <si>
    <t>90746SE1 PROX3 BEAUTY LOUNGE SPA</t>
  </si>
  <si>
    <t>90746SE1 PROX3 Brow Lash Studio</t>
  </si>
  <si>
    <t>90805SE1 PROX3 No 1 Nails Spa</t>
  </si>
  <si>
    <t>90807SE1 ProX3 Star Luxury Nails</t>
  </si>
  <si>
    <t>90815SEM ProX4 Queen Nails And Lashes</t>
  </si>
  <si>
    <t>91006SE1 PROX3 JOLIE'S NAIL</t>
  </si>
  <si>
    <t>910111E0 Soak Nail Bar</t>
  </si>
  <si>
    <t>91016PE0 PROX3 Urbane Nail Care</t>
  </si>
  <si>
    <t>91303SE1 PROX3 Hot Nail Salon</t>
  </si>
  <si>
    <t>91311SE1 PROX3 LUMERA NAIL SPA</t>
  </si>
  <si>
    <t>91316SEM PROX4 VY Nail &amp; Lash</t>
  </si>
  <si>
    <t>91324SE1 PROX3 SOQ NAILS</t>
  </si>
  <si>
    <t>91350SE1 PROX3 Dalat Hills Nails Spa (Thiết kế LOGO trước)</t>
  </si>
  <si>
    <t>91364SE1 PROX3 ATN Nails</t>
  </si>
  <si>
    <t>913670E0 CQ Nails</t>
  </si>
  <si>
    <t>914031C0 ZEN NAIL BAR</t>
  </si>
  <si>
    <t>91602SEM PROX4 Star Nails Spa</t>
  </si>
  <si>
    <t>916040E0 Natural Nail &amp; Spa</t>
  </si>
  <si>
    <t>91709SE1 PROX3 GLOWZY NAIL BAR</t>
  </si>
  <si>
    <t>91710SEM PROX4 VIVA NAILS &amp; SPA</t>
  </si>
  <si>
    <t>917230E0 J &amp; N Nail Lounge</t>
  </si>
  <si>
    <t>91739SEM PROX4 Lavish Nails &amp; Spa</t>
  </si>
  <si>
    <t>91739SE3 PROX4 Lavish Nails &amp; Spa</t>
  </si>
  <si>
    <t>91739SEM PROX4 AX NAILS</t>
  </si>
  <si>
    <t>917400E0 Polished Nail &amp; Spa</t>
  </si>
  <si>
    <t>91750SE1 PROX3 Liz Nails &amp; Beauty</t>
  </si>
  <si>
    <t>91761SE1 PROX3 DENNY NAIL LOUNGE</t>
  </si>
  <si>
    <t>91766SE1 PROX3 GLAM NAIL BAR SALON</t>
  </si>
  <si>
    <t>91786SE1 PROX3 VENUS NAIL LOUNGE</t>
  </si>
  <si>
    <t>92008SE1 PROX3 Popular Nails Salon</t>
  </si>
  <si>
    <t>92009SEM PROX4 Happiness Nails and Spa</t>
  </si>
  <si>
    <t>92020FC0 JN Nails &amp; Spa</t>
  </si>
  <si>
    <t>92024SE1 PROX3 101 Nail Lounge</t>
  </si>
  <si>
    <t>92024SE1 PROX3 Bellagio Nail Spa</t>
  </si>
  <si>
    <t>92027SE1 PROX3 All Seasons Nails, Hair &amp; Wax</t>
  </si>
  <si>
    <t>92027SE1 PROX3 J'adore Nail Lounge</t>
  </si>
  <si>
    <t>92027SEM PROX4 J'adore Nail Lounge</t>
  </si>
  <si>
    <t>92037SE1 PROX3 Healthy Nails Lounge &amp; Spa</t>
  </si>
  <si>
    <t>92057SCM PROMAX5 Happiness Nails &amp; Spa</t>
  </si>
  <si>
    <t>92057SE1 PROX3 Art Nails &amp; Spa</t>
  </si>
  <si>
    <t>92064SE1 PROX3 Sophia Nails &amp; Spa</t>
  </si>
  <si>
    <t>92071SE1 PROX3 Cutie-Cle Nails And Spa</t>
  </si>
  <si>
    <t>920780E0 Phở San Marcos</t>
  </si>
  <si>
    <t>92101SEM PROX4 ITALY NAILS &amp; SPA</t>
  </si>
  <si>
    <t>92103SE1 PROX3 K &amp; K Nails &amp; Spa</t>
  </si>
  <si>
    <t>92108SE1 PROX3 Mission Luxe Nails Lounge</t>
  </si>
  <si>
    <t>92109SEM PROX4 Sky Nails &amp; Spa</t>
  </si>
  <si>
    <t>92110SE1 PROX3 O’leisure Nail and Waxing</t>
  </si>
  <si>
    <t>92123SE0 Mirano Nail Lounge</t>
  </si>
  <si>
    <t>92130SE1 PROX3 Lulu Nails</t>
  </si>
  <si>
    <t>922530E0 Wellness By Tiffany</t>
  </si>
  <si>
    <t>92253SE1 PROX3 Nails World</t>
  </si>
  <si>
    <t>92260SE1 PROX3 Glossy Nails &amp; Spa</t>
  </si>
  <si>
    <t>923010E0 Harmony Nails &amp; Spa</t>
  </si>
  <si>
    <t>92308SE1 PROX3 WORLD LUXURY NAILS AND SPA TECH</t>
  </si>
  <si>
    <t>92311SE1 PROX3 Happiness Nails &amp; Spa</t>
  </si>
  <si>
    <t>92311SE1 PROX3 Leyna's Salon</t>
  </si>
  <si>
    <t>92345SE1 PROX3 MIO Nail Spa 2</t>
  </si>
  <si>
    <t>92345SE1 PROX3 Paris Nails &amp; Spa</t>
  </si>
  <si>
    <t>925060E0 Chichi Nail Spa</t>
  </si>
  <si>
    <t>92506SE1 PROX3 Butterfly Nails &amp; Spa</t>
  </si>
  <si>
    <t>92508SE1 PROX3 Bee Nails And Spa</t>
  </si>
  <si>
    <t>92509SEM PROX4 London Nail Bar</t>
  </si>
  <si>
    <t>92553SEM PROX4 Venetian Nail Lounge</t>
  </si>
  <si>
    <t>92563SE1 PROX3 Vicky's Nails &amp; Spa</t>
  </si>
  <si>
    <t>92563SEM PROX4 Rose Nails and Spa</t>
  </si>
  <si>
    <t>92563SEM PROX4 Sunlux Nail Spa</t>
  </si>
  <si>
    <t>92571SEM PROX4 Organic Nail Lounge</t>
  </si>
  <si>
    <t>92591SE1 PROX3 IVY'S NAILS &amp; SPA</t>
  </si>
  <si>
    <t>92591SE1 PROX3 Nails Now &amp; Spa</t>
  </si>
  <si>
    <t>92591SEM PROX4 D'or Nail Lounge</t>
  </si>
  <si>
    <t>92592SE1 PROX3 Fancy Nails &amp; Spa</t>
  </si>
  <si>
    <t>92592SEM PROX4 D'or Nail Lounge</t>
  </si>
  <si>
    <t>92595SEM PROX4 Luxury Nails</t>
  </si>
  <si>
    <t>92606SE1 PROX3 NINA &amp; CO. NAIL SALON</t>
  </si>
  <si>
    <t>92610SE1 PROX3 GT Nails &amp; Spa</t>
  </si>
  <si>
    <t>92627SE1 PROX3 KV Nails and Spa</t>
  </si>
  <si>
    <t>92629SE0 PROX3 PARADISE NAILS</t>
  </si>
  <si>
    <t>92651SE1 PROX3 Luxe Elle Nail Boutique</t>
  </si>
  <si>
    <t>92651SE1 ProX3 Modern Nails Studio</t>
  </si>
  <si>
    <t>92672SEM PROX4 XO Nails &amp; Spa</t>
  </si>
  <si>
    <t>92673SEM Professionail &amp; Spa</t>
  </si>
  <si>
    <t>92673SEM PROX4 Vdara Nails Lounge</t>
  </si>
  <si>
    <t>92683SE1 PROC4 Morning Drip Coffee And Dining</t>
  </si>
  <si>
    <t>92683SE1 PROX3 M Nail lounge</t>
  </si>
  <si>
    <t>92683SE1 PROX3 Su Beauty Skincare (+ 50 Google Reviews)</t>
  </si>
  <si>
    <t>92691SE1 PROX3 Green Nail Bar</t>
  </si>
  <si>
    <t>92691SE1 PROX3 Mission Nail Bar</t>
  </si>
  <si>
    <t>92694SE1 PROX3 FINEST NAILS &amp; SPA</t>
  </si>
  <si>
    <t>92704SE1 PROX3 Heavenly Nails Spa</t>
  </si>
  <si>
    <t>92705SEM PROX4 Sassy Nails Spa Center</t>
  </si>
  <si>
    <t>92801SE1 PROX3 Mộc Salon &amp; Spa</t>
  </si>
  <si>
    <t>92804FE0 Mindy Nails Bar Anaheim</t>
  </si>
  <si>
    <t>92804SE1 PROX3 V Nails &amp; Spa</t>
  </si>
  <si>
    <t>92821SE1 PROX3 JT Nails &amp; Spa</t>
  </si>
  <si>
    <t>928430E0 Snow White Hair &amp; Nails</t>
  </si>
  <si>
    <t>92843SE1 PROC4 Lala Kitchen</t>
  </si>
  <si>
    <t>928440E0 N10shop</t>
  </si>
  <si>
    <t>92844SE1 PROX3 BLUSH NAIL BAR</t>
  </si>
  <si>
    <t>92845SE1 PROX3 T4 NAIL BAR</t>
  </si>
  <si>
    <t>92865SE1 PROX3 Demure Nails &amp; Spa</t>
  </si>
  <si>
    <t>92867SE1 PROX3 Peony Nails Lounge</t>
  </si>
  <si>
    <t>92867SE1 PROX3 PERLE NAILS</t>
  </si>
  <si>
    <t>92867SEM PROX4 Fine Nails &amp; Spa</t>
  </si>
  <si>
    <t>93003SE1 PROX3 NBK Nails Spa</t>
  </si>
  <si>
    <t>93003SE1 PROX3 Neon Nails &amp; Spa</t>
  </si>
  <si>
    <t>93012SE1 PROX3 T&amp;T Nail and Spa</t>
  </si>
  <si>
    <t>93060SE1 PROX3 Forever Nails</t>
  </si>
  <si>
    <t>93063SE1 PROX3 SEASON NAILS STUDIO</t>
  </si>
  <si>
    <t>93065SE1 PROX3 DT NAILS</t>
  </si>
  <si>
    <t>93257SEM PROX4 Happiness Nails &amp; Spa</t>
  </si>
  <si>
    <t>93274SE1 PROX3 B.A.B.Y Nails &amp; Spa</t>
  </si>
  <si>
    <t>93274SE1 PROX3 Tulare Nail Lounge</t>
  </si>
  <si>
    <t>93277FE0 MGM Nails &amp; Spa (1000 GC)</t>
  </si>
  <si>
    <t>93277SCM PROX5 Wendy Nails &amp; Spa</t>
  </si>
  <si>
    <t>93277SE1 PROC4 Pho Lotus</t>
  </si>
  <si>
    <t>93277SE1 PROC4 Pho Savor</t>
  </si>
  <si>
    <t>93291SE1 PROC4 Pho Wynn Vietnamese Restaurant</t>
  </si>
  <si>
    <t>933060E0 Golden Nail Lounge</t>
  </si>
  <si>
    <t>93313SE1 PROX3 Nova Nails Bar</t>
  </si>
  <si>
    <t>934010CM Day Nails &amp; Spa</t>
  </si>
  <si>
    <t>9340500M @ Nails tiệm 2</t>
  </si>
  <si>
    <t>93446SE0 Blue Salon</t>
  </si>
  <si>
    <t>93534SE1 PROX3 Spring Nails</t>
  </si>
  <si>
    <t>93555FE0 Luxury Nails</t>
  </si>
  <si>
    <t>93555SE1 PROX3 Urban Nail Lounge</t>
  </si>
  <si>
    <t>93560SE1 PROX3 Rosamond Nails &amp; Spa</t>
  </si>
  <si>
    <t>93654SCM PROX5 Aura Nails Lounge</t>
  </si>
  <si>
    <t>93657SEM PROX4 Perfect Nails &amp; Spa</t>
  </si>
  <si>
    <t>93720SE1 PROX3 Faith Nails &amp; Spa</t>
  </si>
  <si>
    <t>93923SE1 PROX3 Polished By The Sea</t>
  </si>
  <si>
    <t>94061SEM PROX4 Jason Nail Bar</t>
  </si>
  <si>
    <t>94123SE1 PROX3 Neva's Beauty</t>
  </si>
  <si>
    <t>94403SE1 PROX3 TRANQUIL NAIL SPA</t>
  </si>
  <si>
    <t>94501SE1 PROX3 iNail Spa</t>
  </si>
  <si>
    <t>94513SE1 PROX3 Umee Nails &amp; Spa</t>
  </si>
  <si>
    <t>94536SE1 PROX3 Ibeauty Nails Spa</t>
  </si>
  <si>
    <t>94541SE1 PROX3 SISTER AURA NAIL AND SPA</t>
  </si>
  <si>
    <t>94547SE1 PROX3 BT Nails and Spa ,Inc</t>
  </si>
  <si>
    <t>94550SE1 PROX3 Galaxy Nails and Spa</t>
  </si>
  <si>
    <t>94551SE1 PROX3 Tony's Nails</t>
  </si>
  <si>
    <t>94558SE1 PROX3 Lavender Nails &amp; Spa</t>
  </si>
  <si>
    <t>94561SEM PROX4 Gaia Nails Organic Beauty</t>
  </si>
  <si>
    <t>94566SE0 Orchidee Nail Spa</t>
  </si>
  <si>
    <t>945680E0 ALLGLASS GLOBAL</t>
  </si>
  <si>
    <t>94578SE1 PROX3 Diamond Hands Nails Spa</t>
  </si>
  <si>
    <t>94578SEM PROX4 Beauty Salon &amp; Day Spa</t>
  </si>
  <si>
    <t>94583SE1 PROX3 Avatar Nails and Spa</t>
  </si>
  <si>
    <t>94587SE1 PROX3 Golden Nail Bar</t>
  </si>
  <si>
    <t>94587SE1 PROX3 M'JENN NAILS &amp; SPA</t>
  </si>
  <si>
    <t>94954SE1 PROX3 BEAUTY ZONE NAIL SPA</t>
  </si>
  <si>
    <t>95032SE1 PROX3 Tipsy Nail Bar</t>
  </si>
  <si>
    <t>95035SE0 PROX3 Fate Nail Bar</t>
  </si>
  <si>
    <t>95035SE1 PROX3 K3 Nails &amp; Spa</t>
  </si>
  <si>
    <t>95112FF3 Sky Dental Implant Center</t>
  </si>
  <si>
    <t>95122SE1 PROX3 MH BEAUTY &amp; SPA</t>
  </si>
  <si>
    <t>95122SEM PROX4 King Haircuts Salon</t>
  </si>
  <si>
    <t>95123FE0 TJ Nail Spa (QR CODE)</t>
  </si>
  <si>
    <t>95123SEM PROX4 Nailtones</t>
  </si>
  <si>
    <t>95124SE1 PROX3 Moon Nail Boutique</t>
  </si>
  <si>
    <t>95125SE1 PROX3 EVONNE'S NAILS &amp; HAIR</t>
  </si>
  <si>
    <t>95129SE1 PROX3 Moonlight Beauty Salon</t>
  </si>
  <si>
    <t>95133F00 La Belle Nails</t>
  </si>
  <si>
    <t>[Design] Promo 1: Father's Day</t>
  </si>
  <si>
    <t>95133SE1 PROX3 AEON NAILS SPA &amp; HAIR</t>
  </si>
  <si>
    <t>95350SEM PROX4 Luxe Nails and spa</t>
  </si>
  <si>
    <t>95422SE1 PROX3 FINEST NAILS</t>
  </si>
  <si>
    <t>95472SE1 PROX3 Bella Capela Salon &amp; Spa</t>
  </si>
  <si>
    <t>95608SE1 PROX3 Tiktok Nails</t>
  </si>
  <si>
    <t>95661SEM PROX4 S Lounge Nails And Spa</t>
  </si>
  <si>
    <t>95678SE1 PROX3 Diamond Nails</t>
  </si>
  <si>
    <t>95688FC0 Top Coat Nail Salon &amp; Spa</t>
  </si>
  <si>
    <t>95691SE1 PROX3 Luxury Nails</t>
  </si>
  <si>
    <t>95746SC0 Cabernet Nails And Spa</t>
  </si>
  <si>
    <t>95747SE1 PROX3 LAVISH NAIL ROSEVILLE</t>
  </si>
  <si>
    <t>95758SEM PROX4 Paris Nail Lounge</t>
  </si>
  <si>
    <t>95758F00 Paris Nail Lounge</t>
  </si>
  <si>
    <t>95758SEM PROX4 PL Day Spa</t>
  </si>
  <si>
    <t>957650EM Adora Beauty Lounge</t>
  </si>
  <si>
    <t>95765FC0 Prive Nail Bar</t>
  </si>
  <si>
    <t>958220E0 Paris Spa</t>
  </si>
  <si>
    <t>95826SE1 PROX3 Passion Nails</t>
  </si>
  <si>
    <t>95835SE1 PROX3 Creative Nails &amp; Spa</t>
  </si>
  <si>
    <t>95843SE0 PROX3 Ava Nails &amp; Spa</t>
  </si>
  <si>
    <t>95843SE1 PROX3 Ava Nails &amp; Spa</t>
  </si>
  <si>
    <t>95926SE1 PROX3 Angels Nails and Spa</t>
  </si>
  <si>
    <t>95991SE1 PROX3 Jas Nail Spa</t>
  </si>
  <si>
    <t>96704SE0 CAPTAIN COOK SALON</t>
  </si>
  <si>
    <t>96720SE1 PROX3 King's Nails &amp; Beauty</t>
  </si>
  <si>
    <t>96732FEM Classy Nails And Spa</t>
  </si>
  <si>
    <t>96753SE1 PROX3 Vip Nails &amp; Spa</t>
  </si>
  <si>
    <t>967610E0 Kahana Nails and Spa</t>
  </si>
  <si>
    <t>96782SE1 PROX3 Pearl Nails and Salon</t>
  </si>
  <si>
    <t>96826SE1 PROC4 IRON PAN</t>
  </si>
  <si>
    <t>97030SE1 PROX3 Snazzy Nails &amp; Spa</t>
  </si>
  <si>
    <t>970550E0 Dazzle Nails</t>
  </si>
  <si>
    <t>97078SE1 PROX3 Demure Nails &amp; Spa</t>
  </si>
  <si>
    <t>970800E0 Gresham Nails</t>
  </si>
  <si>
    <t>97116SE1 PROX3 VIP Nail Spa</t>
  </si>
  <si>
    <t>97132SE1 PROX3 Colors Nail Spa</t>
  </si>
  <si>
    <t>97140SE1 PROX3 Colors Nail Spa (Tiệm 2 - Sherwood)</t>
  </si>
  <si>
    <t>97140SE1 PROX3 Luna Nails &amp; Spa</t>
  </si>
  <si>
    <t>97141SE1 PROX3 Nail Lab Tillamook</t>
  </si>
  <si>
    <t>97204SE1 PROX3 THE NATURAL NAIL</t>
  </si>
  <si>
    <t>97209SE1 PROX3 Mimosa Nails &amp; Spa</t>
  </si>
  <si>
    <t>97219SEM PROX4 Spring Nails</t>
  </si>
  <si>
    <t>97229FF0 Van Nails &amp; Spa</t>
  </si>
  <si>
    <t>97402SE1 PROX3 ICONIC NAIL LOUNGE LASHES &amp; BROWS</t>
  </si>
  <si>
    <t>98004PE1 PROX3 Organic Nail Bar</t>
  </si>
  <si>
    <t>98005SE1 PROX3 Jemk Nail Lounge</t>
  </si>
  <si>
    <t>98008SE1 PROX3 Simply Nails Bellevue</t>
  </si>
  <si>
    <t>98037SE1 PROX3 AMELIA HAIR &amp; NAIL SPA</t>
  </si>
  <si>
    <t>98042SE1 PROX3 Covington Nails</t>
  </si>
  <si>
    <t>98052SE1 PROX3 Comfort Nail &amp; Spa</t>
  </si>
  <si>
    <t>98056SEM PROX4 Perfect Ten Nail Spa</t>
  </si>
  <si>
    <t>98087SE1 PROX3 Aura Nails</t>
  </si>
  <si>
    <t>98087SE1 PROX3 PRITI NAILS</t>
  </si>
  <si>
    <t>98103SE1 PROX3 Jenny Nails Salon</t>
  </si>
  <si>
    <t>98115SE1 PROX3 Kim Studio Nails</t>
  </si>
  <si>
    <t>98122SEM PROX4 Little Nail Room</t>
  </si>
  <si>
    <t>98146SEM PROX4 Tiffany Nail Salon</t>
  </si>
  <si>
    <t>981770EM Nee Lashes</t>
  </si>
  <si>
    <t>98198SE1 PROX3 Polish Nails Spa</t>
  </si>
  <si>
    <t>98226SE1 PROX3 Diamond Nails &amp; Spa LLC</t>
  </si>
  <si>
    <t>98226SE1 PROX3 HKT Nail &amp; Spa</t>
  </si>
  <si>
    <t>98226SE1 PROX3 Royal Nails Lounge</t>
  </si>
  <si>
    <t>98270SEM PROX4 Sparkle Nails &amp; Spa</t>
  </si>
  <si>
    <t>98290SE1 PROX3 TN Nails Lounge</t>
  </si>
  <si>
    <t>98335SE1 PROX3 Bella Nails &amp; Spa</t>
  </si>
  <si>
    <t>98335SE1 PROX3 Olympic Nails Spa LLC</t>
  </si>
  <si>
    <t>98338SE1 PROX3 Aera Lashes And Nails House</t>
  </si>
  <si>
    <t>98338SE1 PROX3 Amazon Nails Bar</t>
  </si>
  <si>
    <t>98338SE1 PROX3 Top Valley Nails &amp; Spa</t>
  </si>
  <si>
    <t>98373SE1 PROX3 A&amp;S Nails Spa</t>
  </si>
  <si>
    <t>98375SE1 PROX3 Skyline Nails &amp; Spa</t>
  </si>
  <si>
    <t>98375SEM PROX4 Jennifer Nails Spa</t>
  </si>
  <si>
    <t>98403PEM Coco Nail Lounge</t>
  </si>
  <si>
    <t>98405SE1 PROX3 Krystal Nails &amp; Spa</t>
  </si>
  <si>
    <t>98446SE1 PROX3 United Lashes &amp; Nails Bar</t>
  </si>
  <si>
    <t>98466SE1 PROX3 VIET NAILS</t>
  </si>
  <si>
    <t>98498SE1 PROX3 Easy Cuts &amp; Color</t>
  </si>
  <si>
    <t>98499SE1 PROX3 Lynk Nails &amp; Spa</t>
  </si>
  <si>
    <t>98512SE1 PROX3 Legacy Nails &amp; Spa</t>
  </si>
  <si>
    <t>98597SE1 PROX3 QT Spa Nails</t>
  </si>
  <si>
    <t>98632SE1 PROX3 US Nails</t>
  </si>
  <si>
    <t>98632F00 US Nails</t>
  </si>
  <si>
    <t>98662SE1 PROX3 SUPER NAILS AND SPA</t>
  </si>
  <si>
    <t>98665SE1 PROX3 Zora Nail Care Hazel Dell</t>
  </si>
  <si>
    <t>99216PEM PROX4 New World Nails Lounge &amp; Spa</t>
  </si>
  <si>
    <t>99216PEM PROX4 Venetian Nails &amp; Spa</t>
  </si>
  <si>
    <t>99218PEM PROX4 7 Wonders Beauty (Only MKT)</t>
  </si>
  <si>
    <t>99503SE1 ARTISTIC NAIL &amp; SPA (QR CODE MENU REVIEW)</t>
  </si>
  <si>
    <t>Nguồn DUY NHẤT: file "check - Export data - Task Design 6-2026.csv" (3204 dòng). File này không có cột status/deadline/completed_at nên KHÔNG lọc theo trạng thái hoàn thành và KHÔNG tự tính trễ hạn — tất cả 3176 dòng có assignee đều được tính (bỏ qua 28 dòng không có ai được giao). Assignee lấy từ cột Media, bỏ nhãn "Group: ...". Gói dịch vụ (PROX5–E0) tự nhận diện từ tên dự án (project_name), theo đúng logic extractGoi trong app gốc — dự án không chứa mã gói nào sẽ để trống, tính theo hệ số mặc định.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</si>
</sst>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4.0"/>
      <color rgb="FFFFFFFF"/>
      <name val="Arial"/>
    </font>
    <font/>
    <font>
      <sz val="11.0"/>
      <color theme="1"/>
      <name val="Calibri"/>
    </font>
    <font>
      <i/>
      <sz val="9.0"/>
      <color rgb="FF808080"/>
      <name val="Arial"/>
    </font>
    <font>
      <b/>
      <sz val="11.0"/>
      <color theme="1"/>
      <name val="Arial"/>
    </font>
    <font>
      <b/>
      <sz val="11.0"/>
      <color rgb="FF1F2937"/>
      <name val="Arial"/>
    </font>
    <font>
      <i/>
      <sz val="9.0"/>
      <color rgb="FF595959"/>
      <name val="Arial"/>
    </font>
    <font>
      <b/>
      <sz val="11.0"/>
      <color rgb="FFFFFFFF"/>
      <name val="Arial"/>
    </font>
    <font>
      <sz val="11.0"/>
      <color rgb="FF000000"/>
      <name val="Arial"/>
    </font>
    <font>
      <b/>
      <sz val="11.0"/>
      <color rgb="FF0000FF"/>
      <name val="Arial"/>
    </font>
    <font>
      <sz val="11.0"/>
      <color rgb="FF0000FF"/>
      <name val="Arial"/>
    </font>
    <font>
      <sz val="11.0"/>
      <color rgb="FF008000"/>
      <name val="Arial"/>
    </font>
    <font>
      <b/>
      <sz val="11.0"/>
      <color rgb="FF92400E"/>
      <name val="Arial"/>
    </font>
    <font>
      <b/>
      <sz val="11.0"/>
      <color rgb="FFB91C1C"/>
      <name val="Arial"/>
    </font>
  </fonts>
  <fills count="12">
    <fill>
      <patternFill patternType="none"/>
    </fill>
    <fill>
      <patternFill patternType="lightGray"/>
    </fill>
    <fill>
      <patternFill patternType="solid">
        <fgColor rgb="FF1F2937"/>
        <bgColor rgb="FF1F2937"/>
      </patternFill>
    </fill>
    <fill>
      <patternFill patternType="solid">
        <fgColor rgb="FF4F46E5"/>
        <bgColor rgb="FF4F46E5"/>
      </patternFill>
    </fill>
    <fill>
      <patternFill patternType="solid">
        <fgColor rgb="FFFFFDE7"/>
        <bgColor rgb="FFFFFDE7"/>
      </patternFill>
    </fill>
    <fill>
      <patternFill patternType="solid">
        <fgColor rgb="FF374151"/>
        <bgColor rgb="FF374151"/>
      </patternFill>
    </fill>
    <fill>
      <patternFill patternType="solid">
        <fgColor rgb="FF92400E"/>
        <bgColor rgb="FF92400E"/>
      </patternFill>
    </fill>
    <fill>
      <patternFill patternType="solid">
        <fgColor rgb="FFF3F4F6"/>
        <bgColor rgb="FFF3F4F6"/>
      </patternFill>
    </fill>
    <fill>
      <patternFill patternType="solid">
        <fgColor rgb="FFFEF3C7"/>
        <bgColor rgb="FFFEF3C7"/>
      </patternFill>
    </fill>
    <fill>
      <patternFill patternType="solid">
        <fgColor rgb="FFE5E7EB"/>
        <bgColor rgb="FFE5E7EB"/>
      </patternFill>
    </fill>
    <fill>
      <patternFill patternType="solid">
        <fgColor rgb="FFDBEAFE"/>
        <bgColor rgb="FFDBEAFE"/>
      </patternFill>
    </fill>
    <fill>
      <patternFill patternType="solid">
        <fgColor rgb="FFD1FAE5"/>
        <bgColor rgb="FFD1FAE5"/>
      </patternFill>
    </fill>
  </fills>
  <borders count="6">
    <border/>
    <border>
      <left/>
      <top/>
      <bottom/>
    </border>
    <border>
      <top/>
      <bottom/>
    </border>
    <border>
      <right/>
      <top/>
      <bottom/>
    </border>
    <border>
      <left style="thin">
        <color rgb="FFD1D5DB"/>
      </left>
      <right style="thin">
        <color rgb="FFD1D5DB"/>
      </right>
      <top style="thin">
        <color rgb="FFD1D5DB"/>
      </top>
      <bottom style="thin">
        <color rgb="FFD1D5DB"/>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horizontal="left" shrinkToFit="0" vertical="top" wrapText="1"/>
    </xf>
    <xf borderId="1" fillId="3" fontId="8" numFmtId="0" xfId="0" applyAlignment="1" applyBorder="1" applyFill="1" applyFont="1">
      <alignment horizontal="left" shrinkToFit="0" vertical="center" wrapText="0"/>
    </xf>
    <xf borderId="0" fillId="0" fontId="9" numFmtId="0" xfId="0" applyAlignment="1" applyFont="1">
      <alignment shrinkToFit="0" vertical="bottom" wrapText="0"/>
    </xf>
    <xf borderId="4" fillId="4" fontId="10" numFmtId="0" xfId="0" applyAlignment="1" applyBorder="1" applyFill="1" applyFont="1">
      <alignment shrinkToFit="0" vertical="bottom" wrapText="0"/>
    </xf>
    <xf borderId="4" fillId="4" fontId="11" numFmtId="0" xfId="0" applyAlignment="1" applyBorder="1" applyFont="1">
      <alignment shrinkToFit="0" vertical="bottom" wrapText="0"/>
    </xf>
    <xf borderId="4" fillId="0" fontId="9" numFmtId="0" xfId="0" applyAlignment="1" applyBorder="1" applyFont="1">
      <alignment shrinkToFit="0" vertical="bottom" wrapText="0"/>
    </xf>
    <xf borderId="4" fillId="5" fontId="8" numFmtId="0" xfId="0" applyAlignment="1" applyBorder="1" applyFill="1" applyFont="1">
      <alignment shrinkToFit="0" vertical="bottom" wrapText="0"/>
    </xf>
    <xf borderId="4" fillId="4" fontId="11" numFmtId="0" xfId="0" applyAlignment="1" applyBorder="1" applyFont="1">
      <alignment horizontal="center" shrinkToFit="0" vertical="bottom" wrapText="0"/>
    </xf>
    <xf borderId="4" fillId="0" fontId="4" numFmtId="0" xfId="0" applyAlignment="1" applyBorder="1" applyFont="1">
      <alignment shrinkToFit="0" vertical="bottom" wrapText="0"/>
    </xf>
    <xf borderId="4" fillId="0" fontId="9" numFmtId="0" xfId="0" applyAlignment="1" applyBorder="1" applyFont="1">
      <alignment horizontal="center" shrinkToFit="0" vertical="bottom" wrapText="0"/>
    </xf>
    <xf borderId="1" fillId="6" fontId="1" numFmtId="0" xfId="0" applyAlignment="1" applyBorder="1" applyFill="1" applyFont="1">
      <alignment horizontal="left" shrinkToFit="0" vertical="center" wrapText="0"/>
    </xf>
    <xf borderId="4" fillId="5" fontId="8" numFmtId="0" xfId="0" applyAlignment="1" applyBorder="1" applyFont="1">
      <alignment horizontal="center" shrinkToFit="0" vertical="center" wrapText="1"/>
    </xf>
    <xf borderId="5" fillId="5" fontId="8" numFmtId="0" xfId="0" applyAlignment="1" applyBorder="1" applyFont="1">
      <alignment shrinkToFit="0" vertical="bottom" wrapText="0"/>
    </xf>
    <xf borderId="4" fillId="6" fontId="8" numFmtId="0" xfId="0" applyAlignment="1" applyBorder="1" applyFont="1">
      <alignment horizontal="center" shrinkToFit="0" vertical="center" wrapText="1"/>
    </xf>
    <xf borderId="4" fillId="7" fontId="9" numFmtId="0" xfId="0" applyAlignment="1" applyBorder="1" applyFill="1" applyFont="1">
      <alignment shrinkToFit="0" vertical="bottom" wrapText="0"/>
    </xf>
    <xf borderId="4" fillId="0" fontId="12" numFmtId="0" xfId="0" applyAlignment="1" applyBorder="1" applyFont="1">
      <alignment horizontal="center" shrinkToFit="0" vertical="bottom" wrapText="0"/>
    </xf>
    <xf borderId="4" fillId="0" fontId="9" numFmtId="2" xfId="0" applyAlignment="1" applyBorder="1" applyFont="1" applyNumberFormat="1">
      <alignment horizontal="center" shrinkToFit="0" vertical="bottom" wrapText="0"/>
    </xf>
    <xf borderId="4" fillId="0" fontId="9" numFmtId="164" xfId="0" applyAlignment="1" applyBorder="1" applyFont="1" applyNumberFormat="1">
      <alignment horizontal="center" shrinkToFit="0" vertical="bottom" wrapText="0"/>
    </xf>
    <xf borderId="4" fillId="0" fontId="5" numFmtId="164" xfId="0" applyAlignment="1" applyBorder="1" applyFont="1" applyNumberFormat="1">
      <alignment horizontal="center" shrinkToFit="0" vertical="bottom" wrapText="0"/>
    </xf>
    <xf borderId="0" fillId="0" fontId="4" numFmtId="164" xfId="0" applyAlignment="1" applyFont="1" applyNumberFormat="1">
      <alignment shrinkToFit="0" vertical="bottom" wrapText="0"/>
    </xf>
    <xf borderId="4" fillId="8" fontId="13" numFmtId="0" xfId="0" applyAlignment="1" applyBorder="1" applyFill="1" applyFont="1">
      <alignment horizontal="center" shrinkToFit="0" vertical="bottom" wrapText="0"/>
    </xf>
    <xf borderId="4" fillId="8" fontId="13" numFmtId="0" xfId="0" applyAlignment="1" applyBorder="1" applyFont="1">
      <alignment shrinkToFit="0" vertical="bottom" wrapText="0"/>
    </xf>
    <xf borderId="4" fillId="8" fontId="9" numFmtId="0" xfId="0" applyAlignment="1" applyBorder="1" applyFont="1">
      <alignment horizontal="center" shrinkToFit="0" vertical="bottom" wrapText="0"/>
    </xf>
    <xf borderId="4" fillId="8" fontId="5" numFmtId="164" xfId="0" applyAlignment="1" applyBorder="1" applyFont="1" applyNumberFormat="1">
      <alignment horizontal="center" shrinkToFit="0" vertical="bottom" wrapText="0"/>
    </xf>
    <xf borderId="4" fillId="9" fontId="5" numFmtId="0" xfId="0" applyAlignment="1" applyBorder="1" applyFill="1" applyFont="1">
      <alignment shrinkToFit="0" vertical="bottom" wrapText="0"/>
    </xf>
    <xf borderId="4" fillId="9" fontId="3" numFmtId="0" xfId="0" applyAlignment="1" applyBorder="1" applyFont="1">
      <alignment shrinkToFit="0" vertical="bottom" wrapText="0"/>
    </xf>
    <xf borderId="4" fillId="9" fontId="5" numFmtId="164" xfId="0" applyAlignment="1" applyBorder="1" applyFont="1" applyNumberFormat="1">
      <alignment shrinkToFit="0" vertical="bottom" wrapText="0"/>
    </xf>
    <xf borderId="0" fillId="0" fontId="14" numFmtId="0" xfId="0" applyAlignment="1" applyFont="1">
      <alignment shrinkToFit="0" vertical="bottom" wrapText="0"/>
    </xf>
    <xf borderId="0" fillId="0" fontId="7" numFmtId="0" xfId="0" applyAlignment="1" applyFont="1">
      <alignment shrinkToFit="0" vertical="bottom" wrapText="1"/>
    </xf>
    <xf borderId="4" fillId="10" fontId="9" numFmtId="0" xfId="0" applyAlignment="1" applyBorder="1" applyFill="1" applyFont="1">
      <alignment shrinkToFit="0" vertical="bottom" wrapText="0"/>
    </xf>
    <xf borderId="4" fillId="11" fontId="9" numFmtId="0" xfId="0" applyAlignment="1" applyBorder="1" applyFill="1" applyFont="1">
      <alignment shrinkToFit="0" vertical="bottom" wrapText="0"/>
    </xf>
    <xf borderId="0" fillId="0" fontId="7" numFmtId="0" xfId="0" applyAlignment="1" applyFont="1">
      <alignment shrinkToFit="0" vertical="top" wrapText="1"/>
    </xf>
    <xf borderId="0" fillId="0" fontId="7" numFmtId="0" xfId="0" applyAlignment="1" applyFont="1">
      <alignment shrinkToFit="0" vertical="bottom" wrapText="0"/>
    </xf>
    <xf borderId="0" fillId="0" fontId="9"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46.0"/>
    <col customWidth="1" min="3" max="3" width="12.0"/>
    <col customWidth="1" min="4" max="4" width="40.0"/>
    <col customWidth="1" min="5" max="26" width="8.71"/>
  </cols>
  <sheetData>
    <row r="1" ht="25.5" customHeight="1">
      <c r="A1" s="1" t="s">
        <v>0</v>
      </c>
      <c r="B1" s="2"/>
      <c r="C1" s="3"/>
      <c r="D1" s="4"/>
    </row>
    <row r="2" ht="15.0" customHeight="1">
      <c r="A2" s="5" t="s">
        <v>1</v>
      </c>
      <c r="B2" s="4"/>
      <c r="C2" s="4"/>
      <c r="D2" s="4"/>
    </row>
    <row r="3">
      <c r="A3" s="4"/>
      <c r="B3" s="4"/>
      <c r="C3" s="4"/>
      <c r="D3" s="4"/>
    </row>
    <row r="4" ht="15.0" customHeight="1">
      <c r="A4" s="6" t="s">
        <v>2</v>
      </c>
      <c r="B4" s="4"/>
      <c r="C4" s="4"/>
      <c r="D4" s="4"/>
    </row>
    <row r="5" ht="15.0" customHeight="1">
      <c r="A5" s="7" t="s">
        <v>3</v>
      </c>
      <c r="D5" s="4"/>
    </row>
    <row r="6" ht="15.0" customHeight="1">
      <c r="A6" s="7" t="s">
        <v>4</v>
      </c>
      <c r="D6" s="4"/>
    </row>
    <row r="7" ht="21.75" customHeight="1">
      <c r="A7" s="8" t="s">
        <v>5</v>
      </c>
      <c r="D7" s="4"/>
    </row>
    <row r="8">
      <c r="A8" s="4"/>
      <c r="B8" s="4"/>
      <c r="C8" s="4"/>
      <c r="D8" s="4"/>
    </row>
    <row r="9" ht="19.5" customHeight="1">
      <c r="A9" s="9" t="s">
        <v>6</v>
      </c>
      <c r="B9" s="2"/>
      <c r="C9" s="3"/>
      <c r="D9" s="4"/>
    </row>
    <row r="10" ht="15.0" customHeight="1">
      <c r="A10" s="10" t="s">
        <v>7</v>
      </c>
      <c r="B10" s="11">
        <v>60.0</v>
      </c>
      <c r="C10" s="4"/>
      <c r="D10" s="4"/>
    </row>
    <row r="11" ht="15.0" customHeight="1">
      <c r="A11" s="10" t="s">
        <v>8</v>
      </c>
      <c r="B11" s="12">
        <v>15.0</v>
      </c>
      <c r="C11" s="4"/>
      <c r="D11" s="4"/>
    </row>
    <row r="12" ht="15.0" customHeight="1">
      <c r="A12" s="10" t="s">
        <v>9</v>
      </c>
      <c r="B12" s="12">
        <v>15.0</v>
      </c>
      <c r="C12" s="4"/>
      <c r="D12" s="4"/>
    </row>
    <row r="13" ht="15.0" customHeight="1">
      <c r="A13" s="10" t="s">
        <v>10</v>
      </c>
      <c r="B13" s="12">
        <v>10.0</v>
      </c>
      <c r="C13" s="4"/>
      <c r="D13" s="4"/>
    </row>
    <row r="14" ht="15.0" customHeight="1">
      <c r="A14" s="5" t="s">
        <v>11</v>
      </c>
      <c r="B14" s="13">
        <f>$B$10+$B$11+$B$12+$B$13</f>
        <v>100</v>
      </c>
      <c r="C14" s="4"/>
      <c r="D14" s="4"/>
    </row>
    <row r="15" ht="15.0" customHeight="1">
      <c r="A15" s="10" t="s">
        <v>12</v>
      </c>
      <c r="B15" s="12">
        <v>85.0</v>
      </c>
      <c r="C15" s="4"/>
      <c r="D15" s="4"/>
    </row>
    <row r="16" ht="15.0" customHeight="1">
      <c r="A16" s="8" t="s">
        <v>13</v>
      </c>
      <c r="D16" s="4"/>
    </row>
    <row r="17">
      <c r="A17" s="4"/>
      <c r="B17" s="4"/>
      <c r="C17" s="4"/>
      <c r="D17" s="4"/>
    </row>
    <row r="18" ht="19.5" customHeight="1">
      <c r="A18" s="9" t="s">
        <v>14</v>
      </c>
      <c r="B18" s="2"/>
      <c r="C18" s="3"/>
      <c r="D18" s="4"/>
    </row>
    <row r="19" ht="15.0" customHeight="1">
      <c r="A19" s="10" t="s">
        <v>15</v>
      </c>
      <c r="B19" s="11">
        <v>150.0</v>
      </c>
      <c r="C19" s="4"/>
      <c r="D19" s="4"/>
    </row>
    <row r="20" ht="15.0" customHeight="1">
      <c r="A20" s="8" t="s">
        <v>16</v>
      </c>
      <c r="D20" s="4"/>
    </row>
    <row r="21" ht="15.75" customHeight="1">
      <c r="A21" s="4"/>
      <c r="B21" s="4"/>
      <c r="C21" s="4"/>
      <c r="D21" s="4"/>
    </row>
    <row r="22" ht="19.5" customHeight="1">
      <c r="A22" s="9" t="s">
        <v>17</v>
      </c>
      <c r="B22" s="2"/>
      <c r="C22" s="2"/>
      <c r="D22" s="3"/>
    </row>
    <row r="23" ht="15.0" customHeight="1">
      <c r="A23" s="14" t="s">
        <v>18</v>
      </c>
      <c r="B23" s="14" t="s">
        <v>19</v>
      </c>
      <c r="C23" s="14" t="s">
        <v>20</v>
      </c>
      <c r="D23" s="14" t="s">
        <v>21</v>
      </c>
    </row>
    <row r="24" ht="15.0" customHeight="1">
      <c r="A24" s="13" t="s">
        <v>22</v>
      </c>
      <c r="B24" s="13" t="s">
        <v>23</v>
      </c>
      <c r="C24" s="15">
        <v>1.0</v>
      </c>
      <c r="D24" s="16" t="str">
        <f t="shared" ref="D24:D50" si="1">IFERROR(LEFT(B24,FIND(" (",B24)-1),B24)</f>
        <v>[Design] Ava - Cover</v>
      </c>
    </row>
    <row r="25" ht="15.0" customHeight="1">
      <c r="A25" s="13" t="s">
        <v>22</v>
      </c>
      <c r="B25" s="13" t="s">
        <v>24</v>
      </c>
      <c r="C25" s="15">
        <v>2.0</v>
      </c>
      <c r="D25" s="16" t="str">
        <f t="shared" si="1"/>
        <v>[Design] Logo</v>
      </c>
    </row>
    <row r="26" ht="15.0" customHeight="1">
      <c r="A26" s="13" t="s">
        <v>25</v>
      </c>
      <c r="B26" s="13" t="s">
        <v>26</v>
      </c>
      <c r="C26" s="15">
        <v>8.0</v>
      </c>
      <c r="D26" s="16" t="str">
        <f t="shared" si="1"/>
        <v>R&amp;D</v>
      </c>
    </row>
    <row r="27" ht="15.0" customHeight="1">
      <c r="A27" s="13" t="s">
        <v>25</v>
      </c>
      <c r="B27" s="13" t="s">
        <v>27</v>
      </c>
      <c r="C27" s="15">
        <v>2.0</v>
      </c>
      <c r="D27" s="16" t="str">
        <f t="shared" si="1"/>
        <v>Task Inhouse</v>
      </c>
    </row>
    <row r="28" ht="15.0" customHeight="1">
      <c r="A28" s="13" t="s">
        <v>25</v>
      </c>
      <c r="B28" s="13" t="s">
        <v>28</v>
      </c>
      <c r="C28" s="15">
        <v>6.0</v>
      </c>
      <c r="D28" s="16" t="str">
        <f t="shared" si="1"/>
        <v>Video Inhouse</v>
      </c>
    </row>
    <row r="29" ht="15.0" customHeight="1">
      <c r="A29" s="13" t="s">
        <v>29</v>
      </c>
      <c r="B29" s="13" t="s">
        <v>30</v>
      </c>
      <c r="C29" s="15">
        <v>1.0</v>
      </c>
      <c r="D29" s="16" t="str">
        <f t="shared" si="1"/>
        <v>[Design] Fix - Design</v>
      </c>
    </row>
    <row r="30" ht="15.0" customHeight="1">
      <c r="A30" s="13" t="s">
        <v>29</v>
      </c>
      <c r="B30" s="13" t="s">
        <v>31</v>
      </c>
      <c r="C30" s="15">
        <v>6.0</v>
      </c>
      <c r="D30" s="16" t="str">
        <f t="shared" si="1"/>
        <v>[Design] Fix - Video</v>
      </c>
    </row>
    <row r="31" ht="15.0" customHeight="1">
      <c r="A31" s="13" t="s">
        <v>29</v>
      </c>
      <c r="B31" s="13" t="s">
        <v>32</v>
      </c>
      <c r="C31" s="15">
        <v>2.0</v>
      </c>
      <c r="D31" s="16" t="str">
        <f t="shared" si="1"/>
        <v>[Design] Other</v>
      </c>
    </row>
    <row r="32" ht="15.0" customHeight="1">
      <c r="A32" s="13" t="s">
        <v>33</v>
      </c>
      <c r="B32" s="13" t="s">
        <v>34</v>
      </c>
      <c r="C32" s="15">
        <v>2.0</v>
      </c>
      <c r="D32" s="16" t="str">
        <f t="shared" si="1"/>
        <v>[Design] Gift Card</v>
      </c>
    </row>
    <row r="33" ht="15.0" customHeight="1">
      <c r="A33" s="13" t="s">
        <v>33</v>
      </c>
      <c r="B33" s="13" t="s">
        <v>35</v>
      </c>
      <c r="C33" s="15">
        <v>2.0</v>
      </c>
      <c r="D33" s="16" t="str">
        <f t="shared" si="1"/>
        <v>[Design] Gift Card - Gift Voucher/Coupon</v>
      </c>
    </row>
    <row r="34" ht="15.0" customHeight="1">
      <c r="A34" s="13" t="s">
        <v>33</v>
      </c>
      <c r="B34" s="13" t="s">
        <v>36</v>
      </c>
      <c r="C34" s="15">
        <v>2.0</v>
      </c>
      <c r="D34" s="16" t="str">
        <f t="shared" si="1"/>
        <v>[Design] Gift Card - Holder</v>
      </c>
    </row>
    <row r="35" ht="15.0" customHeight="1">
      <c r="A35" s="13" t="s">
        <v>33</v>
      </c>
      <c r="B35" s="13" t="s">
        <v>37</v>
      </c>
      <c r="C35" s="15">
        <v>2.0</v>
      </c>
      <c r="D35" s="16" t="str">
        <f t="shared" si="1"/>
        <v>[Design] Promotion</v>
      </c>
    </row>
    <row r="36" ht="15.0" customHeight="1">
      <c r="A36" s="13" t="s">
        <v>38</v>
      </c>
      <c r="B36" s="13" t="s">
        <v>39</v>
      </c>
      <c r="C36" s="15">
        <v>5.0</v>
      </c>
      <c r="D36" s="16" t="str">
        <f t="shared" si="1"/>
        <v>[Design] Menu - Book</v>
      </c>
    </row>
    <row r="37" ht="15.0" customHeight="1">
      <c r="A37" s="13" t="s">
        <v>38</v>
      </c>
      <c r="B37" s="13" t="s">
        <v>40</v>
      </c>
      <c r="C37" s="15">
        <v>3.0</v>
      </c>
      <c r="D37" s="16" t="str">
        <f t="shared" si="1"/>
        <v>[Design] Menu - Brochure</v>
      </c>
    </row>
    <row r="38" ht="15.0" customHeight="1">
      <c r="A38" s="13" t="s">
        <v>38</v>
      </c>
      <c r="B38" s="13" t="s">
        <v>41</v>
      </c>
      <c r="C38" s="15">
        <v>3.0</v>
      </c>
      <c r="D38" s="16" t="str">
        <f t="shared" si="1"/>
        <v>[Design] Menu - TV</v>
      </c>
    </row>
    <row r="39" ht="15.0" customHeight="1">
      <c r="A39" s="13" t="s">
        <v>38</v>
      </c>
      <c r="B39" s="13" t="s">
        <v>42</v>
      </c>
      <c r="C39" s="15">
        <v>2.0</v>
      </c>
      <c r="D39" s="16" t="str">
        <f t="shared" si="1"/>
        <v>[Design] Menu - Update</v>
      </c>
    </row>
    <row r="40" ht="15.0" customHeight="1">
      <c r="A40" s="13" t="s">
        <v>38</v>
      </c>
      <c r="B40" s="13" t="s">
        <v>43</v>
      </c>
      <c r="C40" s="15">
        <v>3.0</v>
      </c>
      <c r="D40" s="16" t="str">
        <f t="shared" si="1"/>
        <v>[Design] Menu - Waterproof</v>
      </c>
    </row>
    <row r="41" ht="15.0" customHeight="1">
      <c r="A41" s="13" t="s">
        <v>44</v>
      </c>
      <c r="B41" s="13" t="s">
        <v>45</v>
      </c>
      <c r="C41" s="15">
        <v>2.0</v>
      </c>
      <c r="D41" s="16" t="str">
        <f t="shared" si="1"/>
        <v>[Design] Banner</v>
      </c>
    </row>
    <row r="42" ht="15.0" customHeight="1">
      <c r="A42" s="13" t="s">
        <v>44</v>
      </c>
      <c r="B42" s="13" t="s">
        <v>46</v>
      </c>
      <c r="C42" s="15">
        <v>2.0</v>
      </c>
      <c r="D42" s="16" t="str">
        <f t="shared" si="1"/>
        <v>[Design] Print - Business Card</v>
      </c>
    </row>
    <row r="43" ht="15.0" customHeight="1">
      <c r="A43" s="13" t="s">
        <v>44</v>
      </c>
      <c r="B43" s="13" t="s">
        <v>47</v>
      </c>
      <c r="C43" s="15">
        <v>2.0</v>
      </c>
      <c r="D43" s="16" t="str">
        <f t="shared" si="1"/>
        <v>[Design] Print - Flyer</v>
      </c>
    </row>
    <row r="44" ht="15.0" customHeight="1">
      <c r="A44" s="13" t="s">
        <v>44</v>
      </c>
      <c r="B44" s="13" t="s">
        <v>48</v>
      </c>
      <c r="C44" s="15">
        <v>2.0</v>
      </c>
      <c r="D44" s="16" t="str">
        <f t="shared" si="1"/>
        <v>[Design] Print - Standee</v>
      </c>
    </row>
    <row r="45" ht="15.0" customHeight="1">
      <c r="A45" s="13" t="s">
        <v>44</v>
      </c>
      <c r="B45" s="13" t="s">
        <v>49</v>
      </c>
      <c r="C45" s="15">
        <v>2.0</v>
      </c>
      <c r="D45" s="16" t="str">
        <f t="shared" si="1"/>
        <v>[Design] Print - Yard Signs</v>
      </c>
    </row>
    <row r="46" ht="15.0" customHeight="1">
      <c r="A46" s="13" t="s">
        <v>44</v>
      </c>
      <c r="B46" s="13" t="s">
        <v>50</v>
      </c>
      <c r="C46" s="15">
        <v>1.0</v>
      </c>
      <c r="D46" s="16" t="str">
        <f t="shared" si="1"/>
        <v>[Design] QR Poster</v>
      </c>
    </row>
    <row r="47" ht="15.0" customHeight="1">
      <c r="A47" s="13" t="s">
        <v>51</v>
      </c>
      <c r="B47" s="13" t="s">
        <v>52</v>
      </c>
      <c r="C47" s="15">
        <v>10.0</v>
      </c>
      <c r="D47" s="16" t="str">
        <f t="shared" si="1"/>
        <v>[Design] Video - Ads</v>
      </c>
    </row>
    <row r="48" ht="15.0" customHeight="1">
      <c r="A48" s="13" t="s">
        <v>51</v>
      </c>
      <c r="B48" s="13" t="s">
        <v>53</v>
      </c>
      <c r="C48" s="15">
        <v>6.0</v>
      </c>
      <c r="D48" s="16" t="str">
        <f t="shared" si="1"/>
        <v>[Design] Video - Holidays</v>
      </c>
    </row>
    <row r="49" ht="15.0" customHeight="1">
      <c r="A49" s="13" t="s">
        <v>51</v>
      </c>
      <c r="B49" s="13" t="s">
        <v>54</v>
      </c>
      <c r="C49" s="15">
        <v>15.0</v>
      </c>
      <c r="D49" s="16" t="str">
        <f t="shared" si="1"/>
        <v>[Design] Video - Menu TV</v>
      </c>
    </row>
    <row r="50" ht="15.0" customHeight="1">
      <c r="A50" s="13" t="s">
        <v>51</v>
      </c>
      <c r="B50" s="13" t="s">
        <v>55</v>
      </c>
      <c r="C50" s="15">
        <v>8.0</v>
      </c>
      <c r="D50" s="16" t="str">
        <f t="shared" si="1"/>
        <v>[Design] Video - Monthly</v>
      </c>
    </row>
    <row r="51" ht="15.0" customHeight="1">
      <c r="A51" s="5" t="s">
        <v>56</v>
      </c>
      <c r="C51" s="17">
        <f t="array" ref="C51">INDEX($C$24:$C$50,MATCH("[Design] Other (Khác)",$B$24:$B$50,0))</f>
        <v>2</v>
      </c>
      <c r="D51" s="4"/>
    </row>
    <row r="52" ht="32.25" customHeight="1">
      <c r="A52" s="8" t="s">
        <v>57</v>
      </c>
      <c r="D52" s="4"/>
    </row>
    <row r="53" ht="15.75" customHeight="1">
      <c r="A53" s="4"/>
      <c r="B53" s="4"/>
      <c r="C53" s="4"/>
      <c r="D53" s="4"/>
    </row>
    <row r="54" ht="19.5" customHeight="1">
      <c r="A54" s="9" t="s">
        <v>58</v>
      </c>
      <c r="B54" s="2"/>
      <c r="C54" s="3"/>
      <c r="D54" s="4"/>
    </row>
    <row r="55" ht="15.0" customHeight="1">
      <c r="A55" s="14" t="s">
        <v>59</v>
      </c>
      <c r="B55" s="14" t="s">
        <v>60</v>
      </c>
      <c r="C55" s="4"/>
      <c r="D55" s="4"/>
    </row>
    <row r="56" ht="15.0" customHeight="1">
      <c r="A56" s="13" t="s">
        <v>61</v>
      </c>
      <c r="B56" s="12">
        <v>1.5</v>
      </c>
      <c r="C56" s="4"/>
      <c r="D56" s="4"/>
    </row>
    <row r="57" ht="15.0" customHeight="1">
      <c r="A57" s="13" t="s">
        <v>62</v>
      </c>
      <c r="B57" s="12">
        <v>1.3</v>
      </c>
      <c r="C57" s="4"/>
      <c r="D57" s="4"/>
    </row>
    <row r="58" ht="15.0" customHeight="1">
      <c r="A58" s="13" t="s">
        <v>63</v>
      </c>
      <c r="B58" s="12">
        <v>1.1</v>
      </c>
      <c r="C58" s="4"/>
      <c r="D58" s="4"/>
    </row>
    <row r="59" ht="15.0" customHeight="1">
      <c r="A59" s="13" t="s">
        <v>64</v>
      </c>
      <c r="B59" s="12">
        <v>1.0</v>
      </c>
      <c r="C59" s="4"/>
      <c r="D59" s="4"/>
    </row>
    <row r="60" ht="15.0" customHeight="1">
      <c r="A60" s="13" t="s">
        <v>65</v>
      </c>
      <c r="B60" s="12">
        <v>0.9</v>
      </c>
      <c r="C60" s="4"/>
      <c r="D60" s="4"/>
    </row>
    <row r="61" ht="15.0" customHeight="1">
      <c r="A61" s="13" t="s">
        <v>66</v>
      </c>
      <c r="B61" s="12">
        <v>0.7</v>
      </c>
      <c r="C61" s="4"/>
      <c r="D61" s="4"/>
    </row>
    <row r="62" ht="15.0" customHeight="1">
      <c r="A62" s="10" t="s">
        <v>67</v>
      </c>
      <c r="B62" s="12">
        <v>1.0</v>
      </c>
      <c r="C62" s="4"/>
      <c r="D62" s="4"/>
    </row>
    <row r="63" ht="15.0" customHeight="1">
      <c r="A63" s="5" t="s">
        <v>68</v>
      </c>
      <c r="B63" s="13">
        <f>MIN($B$56,$B$57,$B$58,$B$59,$B$60,$B$61)</f>
        <v>0.7</v>
      </c>
      <c r="C63" s="4"/>
      <c r="D63" s="4"/>
    </row>
    <row r="64" ht="15.0" customHeight="1">
      <c r="A64" s="5" t="s">
        <v>69</v>
      </c>
      <c r="B64" s="13">
        <f>MAX($B$56,$B$57,$B$58,$B$59,$B$60,$B$61)</f>
        <v>1.5</v>
      </c>
      <c r="C64" s="4"/>
      <c r="D64" s="4"/>
    </row>
    <row r="65" ht="15.0" customHeight="1">
      <c r="A65" s="8" t="s">
        <v>70</v>
      </c>
      <c r="D65" s="4"/>
    </row>
    <row r="66" ht="15.75" customHeight="1">
      <c r="A66" s="4"/>
      <c r="B66" s="4"/>
      <c r="C66" s="4"/>
      <c r="D66" s="4"/>
    </row>
    <row r="67" ht="19.5" customHeight="1">
      <c r="A67" s="9" t="s">
        <v>71</v>
      </c>
      <c r="B67" s="2"/>
      <c r="C67" s="3"/>
      <c r="D67" s="4"/>
    </row>
    <row r="68" ht="15.0" customHeight="1">
      <c r="A68" s="8" t="s">
        <v>72</v>
      </c>
      <c r="D68" s="4"/>
    </row>
    <row r="69" ht="15.0" customHeight="1">
      <c r="A69" s="14" t="s">
        <v>73</v>
      </c>
      <c r="B69" s="14" t="s">
        <v>74</v>
      </c>
      <c r="C69" s="4"/>
      <c r="D69" s="4"/>
    </row>
    <row r="70" ht="15.0" customHeight="1">
      <c r="A70" s="13" t="s">
        <v>75</v>
      </c>
      <c r="B70" s="13">
        <f>(5/5)*$B$12</f>
        <v>15</v>
      </c>
      <c r="C70" s="4"/>
      <c r="D70" s="4"/>
    </row>
    <row r="71" ht="15.0" customHeight="1">
      <c r="A71" s="13" t="s">
        <v>76</v>
      </c>
      <c r="B71" s="13">
        <f>(4/5)*$B$12</f>
        <v>12</v>
      </c>
      <c r="C71" s="4"/>
      <c r="D71" s="4"/>
    </row>
    <row r="72" ht="15.0" customHeight="1">
      <c r="A72" s="13" t="s">
        <v>77</v>
      </c>
      <c r="B72" s="13">
        <f>(3/5)*$B$12</f>
        <v>9</v>
      </c>
      <c r="C72" s="4"/>
      <c r="D72" s="4"/>
    </row>
    <row r="73" ht="15.0" customHeight="1">
      <c r="A73" s="13" t="s">
        <v>78</v>
      </c>
      <c r="B73" s="13">
        <f>(2/5)*$B$12</f>
        <v>6</v>
      </c>
      <c r="C73" s="4"/>
      <c r="D73" s="4"/>
    </row>
    <row r="74" ht="15.0" customHeight="1">
      <c r="A74" s="13" t="s">
        <v>79</v>
      </c>
      <c r="B74" s="13">
        <f>(1/5)*$B$12</f>
        <v>3</v>
      </c>
      <c r="C74" s="4"/>
      <c r="D74" s="4"/>
    </row>
    <row r="75" ht="15.75" customHeight="1">
      <c r="A75" s="4"/>
      <c r="B75" s="4"/>
      <c r="C75" s="4"/>
      <c r="D75" s="4"/>
    </row>
    <row r="76" ht="19.5" customHeight="1">
      <c r="A76" s="9" t="s">
        <v>80</v>
      </c>
      <c r="B76" s="2"/>
      <c r="C76" s="3"/>
      <c r="D76" s="4"/>
    </row>
    <row r="77" ht="15.0" customHeight="1">
      <c r="A77" s="10" t="s">
        <v>81</v>
      </c>
      <c r="B77" s="12">
        <v>-2.0</v>
      </c>
      <c r="C77" s="4"/>
      <c r="D77" s="4"/>
    </row>
    <row r="78" ht="15.0" customHeight="1">
      <c r="A78" s="10" t="s">
        <v>82</v>
      </c>
      <c r="B78" s="12">
        <v>-0.5</v>
      </c>
      <c r="C78" s="4"/>
      <c r="D78" s="4"/>
    </row>
    <row r="79" ht="15.0" customHeight="1">
      <c r="A79" s="8" t="s">
        <v>83</v>
      </c>
      <c r="D79" s="4"/>
    </row>
    <row r="80" ht="15.75" customHeight="1">
      <c r="A80" s="4"/>
      <c r="B80" s="4"/>
      <c r="C80" s="4"/>
      <c r="D80" s="4"/>
    </row>
    <row r="81" ht="19.5" customHeight="1">
      <c r="A81" s="9" t="s">
        <v>84</v>
      </c>
      <c r="B81" s="2"/>
      <c r="C81" s="3"/>
      <c r="D81" s="4"/>
    </row>
    <row r="82" ht="15.0" customHeight="1">
      <c r="A82" s="14" t="s">
        <v>85</v>
      </c>
      <c r="B82" s="14" t="s">
        <v>86</v>
      </c>
      <c r="C82" s="4"/>
      <c r="D82" s="4"/>
    </row>
    <row r="83" ht="15.0" customHeight="1">
      <c r="A83" s="13" t="s">
        <v>87</v>
      </c>
      <c r="B83" s="12">
        <v>3.0</v>
      </c>
      <c r="C83" s="4"/>
      <c r="D83" s="4"/>
    </row>
    <row r="84" ht="15.0" customHeight="1">
      <c r="A84" s="13" t="s">
        <v>88</v>
      </c>
      <c r="B84" s="12">
        <v>5.0</v>
      </c>
      <c r="C84" s="4"/>
      <c r="D84" s="4"/>
    </row>
    <row r="85" ht="15.0" customHeight="1">
      <c r="A85" s="13" t="s">
        <v>89</v>
      </c>
      <c r="B85" s="12">
        <v>5.0</v>
      </c>
      <c r="C85" s="4"/>
      <c r="D85" s="4"/>
    </row>
    <row r="86" ht="15.0" customHeight="1">
      <c r="A86" s="13" t="s">
        <v>90</v>
      </c>
      <c r="B86" s="12">
        <v>5.0</v>
      </c>
      <c r="C86" s="4"/>
      <c r="D86" s="4"/>
    </row>
    <row r="87" ht="21.75" customHeight="1">
      <c r="A87" s="8" t="s">
        <v>91</v>
      </c>
      <c r="D87" s="4"/>
    </row>
    <row r="88" ht="15.75" customHeight="1">
      <c r="A88" s="4"/>
      <c r="B88" s="4"/>
      <c r="C88" s="4"/>
      <c r="D88" s="4"/>
    </row>
    <row r="89" ht="19.5" customHeight="1">
      <c r="A89" s="9" t="s">
        <v>92</v>
      </c>
      <c r="B89" s="2"/>
      <c r="C89" s="3"/>
      <c r="D89" s="4"/>
    </row>
    <row r="90" ht="15.0" customHeight="1">
      <c r="A90" s="10" t="s">
        <v>93</v>
      </c>
      <c r="B90" s="11">
        <v>1.0</v>
      </c>
      <c r="C90" s="4"/>
      <c r="D90" s="4"/>
    </row>
    <row r="91" ht="32.25" customHeight="1">
      <c r="A91" s="8" t="s">
        <v>94</v>
      </c>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c r="A231" s="4"/>
      <c r="B231" s="4"/>
      <c r="C231" s="4"/>
      <c r="D231" s="4"/>
    </row>
    <row r="232" ht="15.75" customHeight="1">
      <c r="A232" s="4"/>
      <c r="B232" s="4"/>
      <c r="C232" s="4"/>
      <c r="D232" s="4"/>
    </row>
    <row r="233" ht="15.75" customHeight="1">
      <c r="A233" s="4"/>
      <c r="B233" s="4"/>
      <c r="C233" s="4"/>
      <c r="D233" s="4"/>
    </row>
    <row r="234" ht="15.75" customHeight="1">
      <c r="A234" s="4"/>
      <c r="B234" s="4"/>
      <c r="C234" s="4"/>
      <c r="D234" s="4"/>
    </row>
    <row r="235" ht="15.75" customHeight="1">
      <c r="A235" s="4"/>
      <c r="B235" s="4"/>
      <c r="C235" s="4"/>
      <c r="D235" s="4"/>
    </row>
    <row r="236" ht="15.75" customHeight="1">
      <c r="A236" s="4"/>
      <c r="B236" s="4"/>
      <c r="C236" s="4"/>
      <c r="D236" s="4"/>
    </row>
    <row r="237" ht="15.75" customHeight="1">
      <c r="A237" s="4"/>
      <c r="B237" s="4"/>
      <c r="C237" s="4"/>
      <c r="D237" s="4"/>
    </row>
    <row r="238" ht="15.75" customHeight="1">
      <c r="A238" s="4"/>
      <c r="B238" s="4"/>
      <c r="C238" s="4"/>
      <c r="D238" s="4"/>
    </row>
    <row r="239" ht="15.75" customHeight="1">
      <c r="A239" s="4"/>
      <c r="B239" s="4"/>
      <c r="C239" s="4"/>
      <c r="D239" s="4"/>
    </row>
    <row r="240" ht="15.75" customHeight="1">
      <c r="A240" s="4"/>
      <c r="B240" s="4"/>
      <c r="C240" s="4"/>
      <c r="D240" s="4"/>
    </row>
    <row r="241" ht="15.75" customHeight="1">
      <c r="A241" s="4"/>
      <c r="B241" s="4"/>
      <c r="C241" s="4"/>
      <c r="D241" s="4"/>
    </row>
    <row r="242" ht="15.75" customHeight="1">
      <c r="A242" s="4"/>
      <c r="B242" s="4"/>
      <c r="C242" s="4"/>
      <c r="D242" s="4"/>
    </row>
    <row r="243" ht="15.75" customHeight="1">
      <c r="A243" s="4"/>
      <c r="B243" s="4"/>
      <c r="C243" s="4"/>
      <c r="D243" s="4"/>
    </row>
    <row r="244" ht="15.75" customHeight="1">
      <c r="A244" s="4"/>
      <c r="B244" s="4"/>
      <c r="C244" s="4"/>
      <c r="D244" s="4"/>
    </row>
    <row r="245" ht="15.75" customHeight="1">
      <c r="A245" s="4"/>
      <c r="B245" s="4"/>
      <c r="C245" s="4"/>
      <c r="D245" s="4"/>
    </row>
    <row r="246" ht="15.75" customHeight="1">
      <c r="A246" s="4"/>
      <c r="B246" s="4"/>
      <c r="C246" s="4"/>
      <c r="D246" s="4"/>
    </row>
    <row r="247" ht="15.75" customHeight="1">
      <c r="A247" s="4"/>
      <c r="B247" s="4"/>
      <c r="C247" s="4"/>
      <c r="D247" s="4"/>
    </row>
    <row r="248" ht="15.75" customHeight="1">
      <c r="A248" s="4"/>
      <c r="B248" s="4"/>
      <c r="C248" s="4"/>
      <c r="D248" s="4"/>
    </row>
    <row r="249" ht="15.75" customHeight="1">
      <c r="A249" s="4"/>
      <c r="B249" s="4"/>
      <c r="C249" s="4"/>
      <c r="D249" s="4"/>
    </row>
    <row r="250" ht="15.75" customHeight="1">
      <c r="A250" s="4"/>
      <c r="B250" s="4"/>
      <c r="C250" s="4"/>
      <c r="D250" s="4"/>
    </row>
    <row r="251" ht="15.75" customHeight="1">
      <c r="A251" s="4"/>
      <c r="B251" s="4"/>
      <c r="C251" s="4"/>
      <c r="D251" s="4"/>
    </row>
    <row r="252" ht="15.75" customHeight="1">
      <c r="A252" s="4"/>
      <c r="B252" s="4"/>
      <c r="C252" s="4"/>
      <c r="D252" s="4"/>
    </row>
    <row r="253" ht="15.75" customHeight="1">
      <c r="A253" s="4"/>
      <c r="B253" s="4"/>
      <c r="C253" s="4"/>
      <c r="D253" s="4"/>
    </row>
    <row r="254" ht="15.75" customHeight="1">
      <c r="A254" s="4"/>
      <c r="B254" s="4"/>
      <c r="C254" s="4"/>
      <c r="D254" s="4"/>
    </row>
    <row r="255" ht="15.75" customHeight="1">
      <c r="A255" s="4"/>
      <c r="B255" s="4"/>
      <c r="C255" s="4"/>
      <c r="D255" s="4"/>
    </row>
    <row r="256" ht="15.75" customHeight="1">
      <c r="A256" s="4"/>
      <c r="B256" s="4"/>
      <c r="C256" s="4"/>
      <c r="D256" s="4"/>
    </row>
    <row r="257" ht="15.75" customHeight="1">
      <c r="A257" s="4"/>
      <c r="B257" s="4"/>
      <c r="C257" s="4"/>
      <c r="D257" s="4"/>
    </row>
    <row r="258" ht="15.75" customHeight="1">
      <c r="A258" s="4"/>
      <c r="B258" s="4"/>
      <c r="C258" s="4"/>
      <c r="D258" s="4"/>
    </row>
    <row r="259" ht="15.75" customHeight="1">
      <c r="A259" s="4"/>
      <c r="B259" s="4"/>
      <c r="C259" s="4"/>
      <c r="D259" s="4"/>
    </row>
    <row r="260" ht="15.75" customHeight="1">
      <c r="A260" s="4"/>
      <c r="B260" s="4"/>
      <c r="C260" s="4"/>
      <c r="D260" s="4"/>
    </row>
    <row r="261" ht="15.75" customHeight="1">
      <c r="A261" s="4"/>
      <c r="B261" s="4"/>
      <c r="C261" s="4"/>
      <c r="D261" s="4"/>
    </row>
    <row r="262" ht="15.75" customHeight="1">
      <c r="A262" s="4"/>
      <c r="B262" s="4"/>
      <c r="C262" s="4"/>
      <c r="D262" s="4"/>
    </row>
    <row r="263" ht="15.75" customHeight="1">
      <c r="A263" s="4"/>
      <c r="B263" s="4"/>
      <c r="C263" s="4"/>
      <c r="D263" s="4"/>
    </row>
    <row r="264" ht="15.75" customHeight="1">
      <c r="A264" s="4"/>
      <c r="B264" s="4"/>
      <c r="C264" s="4"/>
      <c r="D264" s="4"/>
    </row>
    <row r="265" ht="15.75" customHeight="1">
      <c r="A265" s="4"/>
      <c r="B265" s="4"/>
      <c r="C265" s="4"/>
      <c r="D265" s="4"/>
    </row>
    <row r="266" ht="15.75" customHeight="1">
      <c r="A266" s="4"/>
      <c r="B266" s="4"/>
      <c r="C266" s="4"/>
      <c r="D266" s="4"/>
    </row>
    <row r="267" ht="15.75" customHeight="1">
      <c r="A267" s="4"/>
      <c r="B267" s="4"/>
      <c r="C267" s="4"/>
      <c r="D267" s="4"/>
    </row>
    <row r="268" ht="15.75" customHeight="1">
      <c r="A268" s="4"/>
      <c r="B268" s="4"/>
      <c r="C268" s="4"/>
      <c r="D268" s="4"/>
    </row>
    <row r="269" ht="15.75" customHeight="1">
      <c r="A269" s="4"/>
      <c r="B269" s="4"/>
      <c r="C269" s="4"/>
      <c r="D269" s="4"/>
    </row>
    <row r="270" ht="15.75" customHeight="1">
      <c r="A270" s="4"/>
      <c r="B270" s="4"/>
      <c r="C270" s="4"/>
      <c r="D270" s="4"/>
    </row>
    <row r="271" ht="15.75" customHeight="1">
      <c r="A271" s="4"/>
      <c r="B271" s="4"/>
      <c r="C271" s="4"/>
      <c r="D271" s="4"/>
    </row>
    <row r="272" ht="15.75" customHeight="1">
      <c r="A272" s="4"/>
      <c r="B272" s="4"/>
      <c r="C272" s="4"/>
      <c r="D272" s="4"/>
    </row>
    <row r="273" ht="15.75" customHeight="1">
      <c r="A273" s="4"/>
      <c r="B273" s="4"/>
      <c r="C273" s="4"/>
      <c r="D273" s="4"/>
    </row>
    <row r="274" ht="15.75" customHeight="1">
      <c r="A274" s="4"/>
      <c r="B274" s="4"/>
      <c r="C274" s="4"/>
      <c r="D274" s="4"/>
    </row>
    <row r="275" ht="15.75" customHeight="1">
      <c r="A275" s="4"/>
      <c r="B275" s="4"/>
      <c r="C275" s="4"/>
      <c r="D275" s="4"/>
    </row>
    <row r="276" ht="15.75" customHeight="1">
      <c r="A276" s="4"/>
      <c r="B276" s="4"/>
      <c r="C276" s="4"/>
      <c r="D276" s="4"/>
    </row>
    <row r="277" ht="15.75" customHeight="1">
      <c r="A277" s="4"/>
      <c r="B277" s="4"/>
      <c r="C277" s="4"/>
      <c r="D277" s="4"/>
    </row>
    <row r="278" ht="15.75" customHeight="1">
      <c r="A278" s="4"/>
      <c r="B278" s="4"/>
      <c r="C278" s="4"/>
      <c r="D278" s="4"/>
    </row>
    <row r="279" ht="15.75" customHeight="1">
      <c r="A279" s="4"/>
      <c r="B279" s="4"/>
      <c r="C279" s="4"/>
      <c r="D279" s="4"/>
    </row>
    <row r="280" ht="15.75" customHeight="1">
      <c r="A280" s="4"/>
      <c r="B280" s="4"/>
      <c r="C280" s="4"/>
      <c r="D280" s="4"/>
    </row>
    <row r="281" ht="15.75" customHeight="1">
      <c r="A281" s="4"/>
      <c r="B281" s="4"/>
      <c r="C281" s="4"/>
      <c r="D281" s="4"/>
    </row>
    <row r="282" ht="15.75" customHeight="1">
      <c r="A282" s="4"/>
      <c r="B282" s="4"/>
      <c r="C282" s="4"/>
      <c r="D282" s="4"/>
    </row>
    <row r="283" ht="15.75" customHeight="1">
      <c r="A283" s="4"/>
      <c r="B283" s="4"/>
      <c r="C283" s="4"/>
      <c r="D283" s="4"/>
    </row>
    <row r="284" ht="15.75" customHeight="1">
      <c r="A284" s="4"/>
      <c r="B284" s="4"/>
      <c r="C284" s="4"/>
      <c r="D284" s="4"/>
    </row>
    <row r="285" ht="15.75" customHeight="1">
      <c r="A285" s="4"/>
      <c r="B285" s="4"/>
      <c r="C285" s="4"/>
      <c r="D285" s="4"/>
    </row>
    <row r="286" ht="15.75" customHeight="1">
      <c r="A286" s="4"/>
      <c r="B286" s="4"/>
      <c r="C286" s="4"/>
      <c r="D286" s="4"/>
    </row>
    <row r="287" ht="15.75" customHeight="1">
      <c r="A287" s="4"/>
      <c r="B287" s="4"/>
      <c r="C287" s="4"/>
      <c r="D287" s="4"/>
    </row>
    <row r="288" ht="15.75" customHeight="1">
      <c r="A288" s="4"/>
      <c r="B288" s="4"/>
      <c r="C288" s="4"/>
      <c r="D288" s="4"/>
    </row>
    <row r="289" ht="15.75" customHeight="1">
      <c r="A289" s="4"/>
      <c r="B289" s="4"/>
      <c r="C289" s="4"/>
      <c r="D289" s="4"/>
    </row>
    <row r="290" ht="15.75" customHeight="1">
      <c r="A290" s="4"/>
      <c r="B290" s="4"/>
      <c r="C290" s="4"/>
      <c r="D290" s="4"/>
    </row>
    <row r="291" ht="15.75" customHeight="1">
      <c r="A291" s="4"/>
      <c r="B291" s="4"/>
      <c r="C291" s="4"/>
      <c r="D291" s="4"/>
    </row>
    <row r="292" ht="15.75" customHeight="1">
      <c r="A292" s="4"/>
      <c r="B292" s="4"/>
      <c r="C292" s="4"/>
      <c r="D292" s="4"/>
    </row>
    <row r="293" ht="15.75" customHeight="1">
      <c r="A293" s="4"/>
      <c r="B293" s="4"/>
      <c r="C293" s="4"/>
      <c r="D293" s="4"/>
    </row>
    <row r="294" ht="15.75" customHeight="1">
      <c r="A294" s="4"/>
      <c r="B294" s="4"/>
      <c r="C294" s="4"/>
      <c r="D294" s="4"/>
    </row>
    <row r="295" ht="15.75" customHeight="1">
      <c r="A295" s="4"/>
      <c r="B295" s="4"/>
      <c r="C295" s="4"/>
      <c r="D295" s="4"/>
    </row>
    <row r="296" ht="15.75" customHeight="1">
      <c r="A296" s="4"/>
      <c r="B296" s="4"/>
      <c r="C296" s="4"/>
      <c r="D296" s="4"/>
    </row>
    <row r="297" ht="15.75" customHeight="1">
      <c r="A297" s="4"/>
      <c r="B297" s="4"/>
      <c r="C297" s="4"/>
      <c r="D297" s="4"/>
    </row>
    <row r="298" ht="15.75" customHeight="1">
      <c r="A298" s="4"/>
      <c r="B298" s="4"/>
      <c r="C298" s="4"/>
      <c r="D298" s="4"/>
    </row>
    <row r="299" ht="15.75" customHeight="1">
      <c r="A299" s="4"/>
      <c r="B299" s="4"/>
      <c r="C299" s="4"/>
      <c r="D299" s="4"/>
    </row>
    <row r="300" ht="15.75" customHeight="1">
      <c r="A300" s="4"/>
      <c r="B300" s="4"/>
      <c r="C300" s="4"/>
      <c r="D300" s="4"/>
    </row>
    <row r="301" ht="15.75" customHeight="1">
      <c r="A301" s="4"/>
      <c r="B301" s="4"/>
      <c r="C301" s="4"/>
      <c r="D301" s="4"/>
    </row>
    <row r="302" ht="15.75" customHeight="1">
      <c r="A302" s="4"/>
      <c r="B302" s="4"/>
      <c r="C302" s="4"/>
      <c r="D302" s="4"/>
    </row>
    <row r="303" ht="15.75" customHeight="1">
      <c r="A303" s="4"/>
      <c r="B303" s="4"/>
      <c r="C303" s="4"/>
      <c r="D303" s="4"/>
    </row>
    <row r="304" ht="15.75" customHeight="1">
      <c r="A304" s="4"/>
      <c r="B304" s="4"/>
      <c r="C304" s="4"/>
      <c r="D304" s="4"/>
    </row>
    <row r="305" ht="15.75" customHeight="1">
      <c r="A305" s="4"/>
      <c r="B305" s="4"/>
      <c r="C305" s="4"/>
      <c r="D305" s="4"/>
    </row>
    <row r="306" ht="15.75" customHeight="1">
      <c r="A306" s="4"/>
      <c r="B306" s="4"/>
      <c r="C306" s="4"/>
      <c r="D306" s="4"/>
    </row>
    <row r="307" ht="15.75" customHeight="1">
      <c r="A307" s="4"/>
      <c r="B307" s="4"/>
      <c r="C307" s="4"/>
      <c r="D307" s="4"/>
    </row>
    <row r="308" ht="15.75" customHeight="1">
      <c r="A308" s="4"/>
      <c r="B308" s="4"/>
      <c r="C308" s="4"/>
      <c r="D308" s="4"/>
    </row>
    <row r="309" ht="15.75" customHeight="1">
      <c r="A309" s="4"/>
      <c r="B309" s="4"/>
      <c r="C309" s="4"/>
      <c r="D309" s="4"/>
    </row>
    <row r="310" ht="15.75" customHeight="1">
      <c r="A310" s="4"/>
      <c r="B310" s="4"/>
      <c r="C310" s="4"/>
      <c r="D310" s="4"/>
    </row>
    <row r="311" ht="15.75" customHeight="1">
      <c r="A311" s="4"/>
      <c r="B311" s="4"/>
      <c r="C311" s="4"/>
      <c r="D311" s="4"/>
    </row>
    <row r="312" ht="15.75" customHeight="1">
      <c r="A312" s="4"/>
      <c r="B312" s="4"/>
      <c r="C312" s="4"/>
      <c r="D312" s="4"/>
    </row>
    <row r="313" ht="15.75" customHeight="1">
      <c r="A313" s="4"/>
      <c r="B313" s="4"/>
      <c r="C313" s="4"/>
      <c r="D313" s="4"/>
    </row>
    <row r="314" ht="15.75" customHeight="1">
      <c r="A314" s="4"/>
      <c r="B314" s="4"/>
      <c r="C314" s="4"/>
      <c r="D314" s="4"/>
    </row>
    <row r="315" ht="15.75" customHeight="1">
      <c r="A315" s="4"/>
      <c r="B315" s="4"/>
      <c r="C315" s="4"/>
      <c r="D315" s="4"/>
    </row>
    <row r="316" ht="15.75" customHeight="1">
      <c r="A316" s="4"/>
      <c r="B316" s="4"/>
      <c r="C316" s="4"/>
      <c r="D316" s="4"/>
    </row>
    <row r="317" ht="15.75" customHeight="1">
      <c r="A317" s="4"/>
      <c r="B317" s="4"/>
      <c r="C317" s="4"/>
      <c r="D317" s="4"/>
    </row>
    <row r="318" ht="15.75" customHeight="1">
      <c r="A318" s="4"/>
      <c r="B318" s="4"/>
      <c r="C318" s="4"/>
      <c r="D318" s="4"/>
    </row>
    <row r="319" ht="15.75" customHeight="1">
      <c r="A319" s="4"/>
      <c r="B319" s="4"/>
      <c r="C319" s="4"/>
      <c r="D319" s="4"/>
    </row>
    <row r="320" ht="15.75" customHeight="1">
      <c r="A320" s="4"/>
      <c r="B320" s="4"/>
      <c r="C320" s="4"/>
      <c r="D320" s="4"/>
    </row>
    <row r="321" ht="15.75" customHeight="1">
      <c r="A321" s="4"/>
      <c r="B321" s="4"/>
      <c r="C321" s="4"/>
      <c r="D321" s="4"/>
    </row>
    <row r="322" ht="15.75" customHeight="1">
      <c r="A322" s="4"/>
      <c r="B322" s="4"/>
      <c r="C322" s="4"/>
      <c r="D322" s="4"/>
    </row>
    <row r="323" ht="15.75" customHeight="1">
      <c r="A323" s="4"/>
      <c r="B323" s="4"/>
      <c r="C323" s="4"/>
      <c r="D323" s="4"/>
    </row>
    <row r="324" ht="15.75" customHeight="1">
      <c r="A324" s="4"/>
      <c r="B324" s="4"/>
      <c r="C324" s="4"/>
      <c r="D324" s="4"/>
    </row>
    <row r="325" ht="15.75" customHeight="1">
      <c r="A325" s="4"/>
      <c r="B325" s="4"/>
      <c r="C325" s="4"/>
      <c r="D325" s="4"/>
    </row>
    <row r="326" ht="15.75" customHeight="1">
      <c r="A326" s="4"/>
      <c r="B326" s="4"/>
      <c r="C326" s="4"/>
      <c r="D326" s="4"/>
    </row>
    <row r="327" ht="15.75" customHeight="1">
      <c r="A327" s="4"/>
      <c r="B327" s="4"/>
      <c r="C327" s="4"/>
      <c r="D327" s="4"/>
    </row>
    <row r="328" ht="15.75" customHeight="1">
      <c r="A328" s="4"/>
      <c r="B328" s="4"/>
      <c r="C328" s="4"/>
      <c r="D328" s="4"/>
    </row>
    <row r="329" ht="15.75" customHeight="1">
      <c r="A329" s="4"/>
      <c r="B329" s="4"/>
      <c r="C329" s="4"/>
      <c r="D329" s="4"/>
    </row>
    <row r="330" ht="15.75" customHeight="1">
      <c r="A330" s="4"/>
      <c r="B330" s="4"/>
      <c r="C330" s="4"/>
      <c r="D330" s="4"/>
    </row>
    <row r="331" ht="15.75" customHeight="1">
      <c r="A331" s="4"/>
      <c r="B331" s="4"/>
      <c r="C331" s="4"/>
      <c r="D331" s="4"/>
    </row>
    <row r="332" ht="15.75" customHeight="1">
      <c r="A332" s="4"/>
      <c r="B332" s="4"/>
      <c r="C332" s="4"/>
      <c r="D332" s="4"/>
    </row>
    <row r="333" ht="15.75" customHeight="1">
      <c r="A333" s="4"/>
      <c r="B333" s="4"/>
      <c r="C333" s="4"/>
      <c r="D333" s="4"/>
    </row>
    <row r="334" ht="15.75" customHeight="1">
      <c r="A334" s="4"/>
      <c r="B334" s="4"/>
      <c r="C334" s="4"/>
      <c r="D334" s="4"/>
    </row>
    <row r="335" ht="15.75" customHeight="1">
      <c r="A335" s="4"/>
      <c r="B335" s="4"/>
      <c r="C335" s="4"/>
      <c r="D335" s="4"/>
    </row>
    <row r="336" ht="15.75" customHeight="1">
      <c r="A336" s="4"/>
      <c r="B336" s="4"/>
      <c r="C336" s="4"/>
      <c r="D336" s="4"/>
    </row>
    <row r="337" ht="15.75" customHeight="1">
      <c r="A337" s="4"/>
      <c r="B337" s="4"/>
      <c r="C337" s="4"/>
      <c r="D337" s="4"/>
    </row>
    <row r="338" ht="15.75" customHeight="1">
      <c r="A338" s="4"/>
      <c r="B338" s="4"/>
      <c r="C338" s="4"/>
      <c r="D338" s="4"/>
    </row>
    <row r="339" ht="15.75" customHeight="1">
      <c r="A339" s="4"/>
      <c r="B339" s="4"/>
      <c r="C339" s="4"/>
      <c r="D339" s="4"/>
    </row>
    <row r="340" ht="15.75" customHeight="1">
      <c r="A340" s="4"/>
      <c r="B340" s="4"/>
      <c r="C340" s="4"/>
      <c r="D340" s="4"/>
    </row>
    <row r="341" ht="15.75" customHeight="1">
      <c r="A341" s="4"/>
      <c r="B341" s="4"/>
      <c r="C341" s="4"/>
      <c r="D341" s="4"/>
    </row>
    <row r="342" ht="15.75" customHeight="1">
      <c r="A342" s="4"/>
      <c r="B342" s="4"/>
      <c r="C342" s="4"/>
      <c r="D342" s="4"/>
    </row>
    <row r="343" ht="15.75" customHeight="1">
      <c r="A343" s="4"/>
      <c r="B343" s="4"/>
      <c r="C343" s="4"/>
      <c r="D343" s="4"/>
    </row>
    <row r="344" ht="15.75" customHeight="1">
      <c r="A344" s="4"/>
      <c r="B344" s="4"/>
      <c r="C344" s="4"/>
      <c r="D344" s="4"/>
    </row>
    <row r="345" ht="15.75" customHeight="1">
      <c r="A345" s="4"/>
      <c r="B345" s="4"/>
      <c r="C345" s="4"/>
      <c r="D345" s="4"/>
    </row>
    <row r="346" ht="15.75" customHeight="1">
      <c r="A346" s="4"/>
      <c r="B346" s="4"/>
      <c r="C346" s="4"/>
      <c r="D346" s="4"/>
    </row>
    <row r="347" ht="15.75" customHeight="1">
      <c r="A347" s="4"/>
      <c r="B347" s="4"/>
      <c r="C347" s="4"/>
      <c r="D347" s="4"/>
    </row>
    <row r="348" ht="15.75" customHeight="1">
      <c r="A348" s="4"/>
      <c r="B348" s="4"/>
      <c r="C348" s="4"/>
      <c r="D348" s="4"/>
    </row>
    <row r="349" ht="15.75" customHeight="1">
      <c r="A349" s="4"/>
      <c r="B349" s="4"/>
      <c r="C349" s="4"/>
      <c r="D349" s="4"/>
    </row>
    <row r="350" ht="15.75" customHeight="1">
      <c r="A350" s="4"/>
      <c r="B350" s="4"/>
      <c r="C350" s="4"/>
      <c r="D350" s="4"/>
    </row>
    <row r="351" ht="15.75" customHeight="1">
      <c r="A351" s="4"/>
      <c r="B351" s="4"/>
      <c r="C351" s="4"/>
      <c r="D351" s="4"/>
    </row>
    <row r="352" ht="15.75" customHeight="1">
      <c r="A352" s="4"/>
      <c r="B352" s="4"/>
      <c r="C352" s="4"/>
      <c r="D352" s="4"/>
    </row>
    <row r="353" ht="15.75" customHeight="1">
      <c r="A353" s="4"/>
      <c r="B353" s="4"/>
      <c r="C353" s="4"/>
      <c r="D353" s="4"/>
    </row>
    <row r="354" ht="15.75" customHeight="1">
      <c r="A354" s="4"/>
      <c r="B354" s="4"/>
      <c r="C354" s="4"/>
      <c r="D354" s="4"/>
    </row>
    <row r="355" ht="15.75" customHeight="1">
      <c r="A355" s="4"/>
      <c r="B355" s="4"/>
      <c r="C355" s="4"/>
      <c r="D355" s="4"/>
    </row>
    <row r="356" ht="15.75" customHeight="1">
      <c r="A356" s="4"/>
      <c r="B356" s="4"/>
      <c r="C356" s="4"/>
      <c r="D356" s="4"/>
    </row>
    <row r="357" ht="15.75" customHeight="1">
      <c r="A357" s="4"/>
      <c r="B357" s="4"/>
      <c r="C357" s="4"/>
      <c r="D357" s="4"/>
    </row>
    <row r="358" ht="15.75" customHeight="1">
      <c r="A358" s="4"/>
      <c r="B358" s="4"/>
      <c r="C358" s="4"/>
      <c r="D358" s="4"/>
    </row>
    <row r="359" ht="15.75" customHeight="1">
      <c r="A359" s="4"/>
      <c r="B359" s="4"/>
      <c r="C359" s="4"/>
      <c r="D359" s="4"/>
    </row>
    <row r="360" ht="15.75" customHeight="1">
      <c r="A360" s="4"/>
      <c r="B360" s="4"/>
      <c r="C360" s="4"/>
      <c r="D360" s="4"/>
    </row>
    <row r="361" ht="15.75" customHeight="1">
      <c r="A361" s="4"/>
      <c r="B361" s="4"/>
      <c r="C361" s="4"/>
      <c r="D361" s="4"/>
    </row>
    <row r="362" ht="15.75" customHeight="1">
      <c r="A362" s="4"/>
      <c r="B362" s="4"/>
      <c r="C362" s="4"/>
      <c r="D362" s="4"/>
    </row>
    <row r="363" ht="15.75" customHeight="1">
      <c r="A363" s="4"/>
      <c r="B363" s="4"/>
      <c r="C363" s="4"/>
      <c r="D363" s="4"/>
    </row>
    <row r="364" ht="15.75" customHeight="1">
      <c r="A364" s="4"/>
      <c r="B364" s="4"/>
      <c r="C364" s="4"/>
      <c r="D364" s="4"/>
    </row>
    <row r="365" ht="15.75" customHeight="1">
      <c r="A365" s="4"/>
      <c r="B365" s="4"/>
      <c r="C365" s="4"/>
      <c r="D365" s="4"/>
    </row>
    <row r="366" ht="15.75" customHeight="1">
      <c r="A366" s="4"/>
      <c r="B366" s="4"/>
      <c r="C366" s="4"/>
      <c r="D366" s="4"/>
    </row>
    <row r="367" ht="15.75" customHeight="1">
      <c r="A367" s="4"/>
      <c r="B367" s="4"/>
      <c r="C367" s="4"/>
      <c r="D367" s="4"/>
    </row>
    <row r="368" ht="15.75" customHeight="1">
      <c r="A368" s="4"/>
      <c r="B368" s="4"/>
      <c r="C368" s="4"/>
      <c r="D368" s="4"/>
    </row>
    <row r="369" ht="15.75" customHeight="1">
      <c r="A369" s="4"/>
      <c r="B369" s="4"/>
      <c r="C369" s="4"/>
      <c r="D369" s="4"/>
    </row>
    <row r="370" ht="15.75" customHeight="1">
      <c r="A370" s="4"/>
      <c r="B370" s="4"/>
      <c r="C370" s="4"/>
      <c r="D370" s="4"/>
    </row>
    <row r="371" ht="15.75" customHeight="1">
      <c r="A371" s="4"/>
      <c r="B371" s="4"/>
      <c r="C371" s="4"/>
      <c r="D371" s="4"/>
    </row>
    <row r="372" ht="15.75" customHeight="1">
      <c r="A372" s="4"/>
      <c r="B372" s="4"/>
      <c r="C372" s="4"/>
      <c r="D372" s="4"/>
    </row>
    <row r="373" ht="15.75" customHeight="1">
      <c r="A373" s="4"/>
      <c r="B373" s="4"/>
      <c r="C373" s="4"/>
      <c r="D373" s="4"/>
    </row>
    <row r="374" ht="15.75" customHeight="1">
      <c r="A374" s="4"/>
      <c r="B374" s="4"/>
      <c r="C374" s="4"/>
      <c r="D374" s="4"/>
    </row>
    <row r="375" ht="15.75" customHeight="1">
      <c r="A375" s="4"/>
      <c r="B375" s="4"/>
      <c r="C375" s="4"/>
      <c r="D375" s="4"/>
    </row>
    <row r="376" ht="15.75" customHeight="1">
      <c r="A376" s="4"/>
      <c r="B376" s="4"/>
      <c r="C376" s="4"/>
      <c r="D376" s="4"/>
    </row>
    <row r="377" ht="15.75" customHeight="1">
      <c r="A377" s="4"/>
      <c r="B377" s="4"/>
      <c r="C377" s="4"/>
      <c r="D377" s="4"/>
    </row>
    <row r="378" ht="15.75" customHeight="1">
      <c r="A378" s="4"/>
      <c r="B378" s="4"/>
      <c r="C378" s="4"/>
      <c r="D378" s="4"/>
    </row>
    <row r="379" ht="15.75" customHeight="1">
      <c r="A379" s="4"/>
      <c r="B379" s="4"/>
      <c r="C379" s="4"/>
      <c r="D379" s="4"/>
    </row>
    <row r="380" ht="15.75" customHeight="1">
      <c r="A380" s="4"/>
      <c r="B380" s="4"/>
      <c r="C380" s="4"/>
      <c r="D380" s="4"/>
    </row>
    <row r="381" ht="15.75" customHeight="1">
      <c r="A381" s="4"/>
      <c r="B381" s="4"/>
      <c r="C381" s="4"/>
      <c r="D381" s="4"/>
    </row>
    <row r="382" ht="15.75" customHeight="1">
      <c r="A382" s="4"/>
      <c r="B382" s="4"/>
      <c r="C382" s="4"/>
      <c r="D382" s="4"/>
    </row>
    <row r="383" ht="15.75" customHeight="1">
      <c r="A383" s="4"/>
      <c r="B383" s="4"/>
      <c r="C383" s="4"/>
      <c r="D383" s="4"/>
    </row>
    <row r="384" ht="15.75" customHeight="1">
      <c r="A384" s="4"/>
      <c r="B384" s="4"/>
      <c r="C384" s="4"/>
      <c r="D384" s="4"/>
    </row>
    <row r="385" ht="15.75" customHeight="1">
      <c r="A385" s="4"/>
      <c r="B385" s="4"/>
      <c r="C385" s="4"/>
      <c r="D385" s="4"/>
    </row>
    <row r="386" ht="15.75" customHeight="1">
      <c r="A386" s="4"/>
      <c r="B386" s="4"/>
      <c r="C386" s="4"/>
      <c r="D386" s="4"/>
    </row>
    <row r="387" ht="15.75" customHeight="1">
      <c r="A387" s="4"/>
      <c r="B387" s="4"/>
      <c r="C387" s="4"/>
      <c r="D387" s="4"/>
    </row>
    <row r="388" ht="15.75" customHeight="1">
      <c r="A388" s="4"/>
      <c r="B388" s="4"/>
      <c r="C388" s="4"/>
      <c r="D388" s="4"/>
    </row>
    <row r="389" ht="15.75" customHeight="1">
      <c r="A389" s="4"/>
      <c r="B389" s="4"/>
      <c r="C389" s="4"/>
      <c r="D389" s="4"/>
    </row>
    <row r="390" ht="15.75" customHeight="1">
      <c r="A390" s="4"/>
      <c r="B390" s="4"/>
      <c r="C390" s="4"/>
      <c r="D390" s="4"/>
    </row>
    <row r="391" ht="15.75" customHeight="1">
      <c r="A391" s="4"/>
      <c r="B391" s="4"/>
      <c r="C391" s="4"/>
      <c r="D391" s="4"/>
    </row>
    <row r="392" ht="15.75" customHeight="1">
      <c r="A392" s="4"/>
      <c r="B392" s="4"/>
      <c r="C392" s="4"/>
      <c r="D392" s="4"/>
    </row>
    <row r="393" ht="15.75" customHeight="1">
      <c r="A393" s="4"/>
      <c r="B393" s="4"/>
      <c r="C393" s="4"/>
      <c r="D393" s="4"/>
    </row>
    <row r="394" ht="15.75" customHeight="1">
      <c r="A394" s="4"/>
      <c r="B394" s="4"/>
      <c r="C394" s="4"/>
      <c r="D394" s="4"/>
    </row>
    <row r="395" ht="15.75" customHeight="1">
      <c r="A395" s="4"/>
      <c r="B395" s="4"/>
      <c r="C395" s="4"/>
      <c r="D395" s="4"/>
    </row>
    <row r="396" ht="15.75" customHeight="1">
      <c r="A396" s="4"/>
      <c r="B396" s="4"/>
      <c r="C396" s="4"/>
      <c r="D396" s="4"/>
    </row>
    <row r="397" ht="15.75" customHeight="1">
      <c r="A397" s="4"/>
      <c r="B397" s="4"/>
      <c r="C397" s="4"/>
      <c r="D397" s="4"/>
    </row>
    <row r="398" ht="15.75" customHeight="1">
      <c r="A398" s="4"/>
      <c r="B398" s="4"/>
      <c r="C398" s="4"/>
      <c r="D398" s="4"/>
    </row>
    <row r="399" ht="15.75" customHeight="1">
      <c r="A399" s="4"/>
      <c r="B399" s="4"/>
      <c r="C399" s="4"/>
      <c r="D399" s="4"/>
    </row>
    <row r="400" ht="15.75" customHeight="1">
      <c r="A400" s="4"/>
      <c r="B400" s="4"/>
      <c r="C400" s="4"/>
      <c r="D400" s="4"/>
    </row>
    <row r="401" ht="15.75" customHeight="1">
      <c r="A401" s="4"/>
      <c r="B401" s="4"/>
      <c r="C401" s="4"/>
      <c r="D401" s="4"/>
    </row>
    <row r="402" ht="15.75" customHeight="1">
      <c r="A402" s="4"/>
      <c r="B402" s="4"/>
      <c r="C402" s="4"/>
      <c r="D402" s="4"/>
    </row>
    <row r="403" ht="15.75" customHeight="1">
      <c r="A403" s="4"/>
      <c r="B403" s="4"/>
      <c r="C403" s="4"/>
      <c r="D403" s="4"/>
    </row>
    <row r="404" ht="15.75" customHeight="1">
      <c r="A404" s="4"/>
      <c r="B404" s="4"/>
      <c r="C404" s="4"/>
      <c r="D404" s="4"/>
    </row>
    <row r="405" ht="15.75" customHeight="1">
      <c r="A405" s="4"/>
      <c r="B405" s="4"/>
      <c r="C405" s="4"/>
      <c r="D405" s="4"/>
    </row>
    <row r="406" ht="15.75" customHeight="1">
      <c r="A406" s="4"/>
      <c r="B406" s="4"/>
      <c r="C406" s="4"/>
      <c r="D406" s="4"/>
    </row>
    <row r="407" ht="15.75" customHeight="1">
      <c r="A407" s="4"/>
      <c r="B407" s="4"/>
      <c r="C407" s="4"/>
      <c r="D407" s="4"/>
    </row>
    <row r="408" ht="15.75" customHeight="1">
      <c r="A408" s="4"/>
      <c r="B408" s="4"/>
      <c r="C408" s="4"/>
      <c r="D408" s="4"/>
    </row>
    <row r="409" ht="15.75" customHeight="1">
      <c r="A409" s="4"/>
      <c r="B409" s="4"/>
      <c r="C409" s="4"/>
      <c r="D409" s="4"/>
    </row>
    <row r="410" ht="15.75" customHeight="1">
      <c r="A410" s="4"/>
      <c r="B410" s="4"/>
      <c r="C410" s="4"/>
      <c r="D410" s="4"/>
    </row>
    <row r="411" ht="15.75" customHeight="1">
      <c r="A411" s="4"/>
      <c r="B411" s="4"/>
      <c r="C411" s="4"/>
      <c r="D411" s="4"/>
    </row>
    <row r="412" ht="15.75" customHeight="1">
      <c r="A412" s="4"/>
      <c r="B412" s="4"/>
      <c r="C412" s="4"/>
      <c r="D412" s="4"/>
    </row>
    <row r="413" ht="15.75" customHeight="1">
      <c r="A413" s="4"/>
      <c r="B413" s="4"/>
      <c r="C413" s="4"/>
      <c r="D413" s="4"/>
    </row>
    <row r="414" ht="15.75" customHeight="1">
      <c r="A414" s="4"/>
      <c r="B414" s="4"/>
      <c r="C414" s="4"/>
      <c r="D414" s="4"/>
    </row>
    <row r="415" ht="15.75" customHeight="1">
      <c r="A415" s="4"/>
      <c r="B415" s="4"/>
      <c r="C415" s="4"/>
      <c r="D415" s="4"/>
    </row>
    <row r="416" ht="15.75" customHeight="1">
      <c r="A416" s="4"/>
      <c r="B416" s="4"/>
      <c r="C416" s="4"/>
      <c r="D416" s="4"/>
    </row>
    <row r="417" ht="15.75" customHeight="1">
      <c r="A417" s="4"/>
      <c r="B417" s="4"/>
      <c r="C417" s="4"/>
      <c r="D417" s="4"/>
    </row>
    <row r="418" ht="15.75" customHeight="1">
      <c r="A418" s="4"/>
      <c r="B418" s="4"/>
      <c r="C418" s="4"/>
      <c r="D418" s="4"/>
    </row>
    <row r="419" ht="15.75" customHeight="1">
      <c r="A419" s="4"/>
      <c r="B419" s="4"/>
      <c r="C419" s="4"/>
      <c r="D419" s="4"/>
    </row>
    <row r="420" ht="15.75" customHeight="1">
      <c r="A420" s="4"/>
      <c r="B420" s="4"/>
      <c r="C420" s="4"/>
      <c r="D420" s="4"/>
    </row>
    <row r="421" ht="15.75" customHeight="1">
      <c r="A421" s="4"/>
      <c r="B421" s="4"/>
      <c r="C421" s="4"/>
      <c r="D421" s="4"/>
    </row>
    <row r="422" ht="15.75" customHeight="1">
      <c r="A422" s="4"/>
      <c r="B422" s="4"/>
      <c r="C422" s="4"/>
      <c r="D422" s="4"/>
    </row>
    <row r="423" ht="15.75" customHeight="1">
      <c r="A423" s="4"/>
      <c r="B423" s="4"/>
      <c r="C423" s="4"/>
      <c r="D423" s="4"/>
    </row>
    <row r="424" ht="15.75" customHeight="1">
      <c r="A424" s="4"/>
      <c r="B424" s="4"/>
      <c r="C424" s="4"/>
      <c r="D424" s="4"/>
    </row>
    <row r="425" ht="15.75" customHeight="1">
      <c r="A425" s="4"/>
      <c r="B425" s="4"/>
      <c r="C425" s="4"/>
      <c r="D425" s="4"/>
    </row>
    <row r="426" ht="15.75" customHeight="1">
      <c r="A426" s="4"/>
      <c r="B426" s="4"/>
      <c r="C426" s="4"/>
      <c r="D426" s="4"/>
    </row>
    <row r="427" ht="15.75" customHeight="1">
      <c r="A427" s="4"/>
      <c r="B427" s="4"/>
      <c r="C427" s="4"/>
      <c r="D427" s="4"/>
    </row>
    <row r="428" ht="15.75" customHeight="1">
      <c r="A428" s="4"/>
      <c r="B428" s="4"/>
      <c r="C428" s="4"/>
      <c r="D428" s="4"/>
    </row>
    <row r="429" ht="15.75" customHeight="1">
      <c r="A429" s="4"/>
      <c r="B429" s="4"/>
      <c r="C429" s="4"/>
      <c r="D429" s="4"/>
    </row>
    <row r="430" ht="15.75" customHeight="1">
      <c r="A430" s="4"/>
      <c r="B430" s="4"/>
      <c r="C430" s="4"/>
      <c r="D430" s="4"/>
    </row>
    <row r="431" ht="15.75" customHeight="1">
      <c r="A431" s="4"/>
      <c r="B431" s="4"/>
      <c r="C431" s="4"/>
      <c r="D431" s="4"/>
    </row>
    <row r="432" ht="15.75" customHeight="1">
      <c r="A432" s="4"/>
      <c r="B432" s="4"/>
      <c r="C432" s="4"/>
      <c r="D432" s="4"/>
    </row>
    <row r="433" ht="15.75" customHeight="1">
      <c r="A433" s="4"/>
      <c r="B433" s="4"/>
      <c r="C433" s="4"/>
      <c r="D433" s="4"/>
    </row>
    <row r="434" ht="15.75" customHeight="1">
      <c r="A434" s="4"/>
      <c r="B434" s="4"/>
      <c r="C434" s="4"/>
      <c r="D434" s="4"/>
    </row>
    <row r="435" ht="15.75" customHeight="1">
      <c r="A435" s="4"/>
      <c r="B435" s="4"/>
      <c r="C435" s="4"/>
      <c r="D435" s="4"/>
    </row>
    <row r="436" ht="15.75" customHeight="1">
      <c r="A436" s="4"/>
      <c r="B436" s="4"/>
      <c r="C436" s="4"/>
      <c r="D436" s="4"/>
    </row>
    <row r="437" ht="15.75" customHeight="1">
      <c r="A437" s="4"/>
      <c r="B437" s="4"/>
      <c r="C437" s="4"/>
      <c r="D437" s="4"/>
    </row>
    <row r="438" ht="15.75" customHeight="1">
      <c r="A438" s="4"/>
      <c r="B438" s="4"/>
      <c r="C438" s="4"/>
      <c r="D438" s="4"/>
    </row>
    <row r="439" ht="15.75" customHeight="1">
      <c r="A439" s="4"/>
      <c r="B439" s="4"/>
      <c r="C439" s="4"/>
      <c r="D439" s="4"/>
    </row>
    <row r="440" ht="15.75" customHeight="1">
      <c r="A440" s="4"/>
      <c r="B440" s="4"/>
      <c r="C440" s="4"/>
      <c r="D440" s="4"/>
    </row>
    <row r="441" ht="15.75" customHeight="1">
      <c r="A441" s="4"/>
      <c r="B441" s="4"/>
      <c r="C441" s="4"/>
      <c r="D441" s="4"/>
    </row>
    <row r="442" ht="15.75" customHeight="1">
      <c r="A442" s="4"/>
      <c r="B442" s="4"/>
      <c r="C442" s="4"/>
      <c r="D442" s="4"/>
    </row>
    <row r="443" ht="15.75" customHeight="1">
      <c r="A443" s="4"/>
      <c r="B443" s="4"/>
      <c r="C443" s="4"/>
      <c r="D443" s="4"/>
    </row>
    <row r="444" ht="15.75" customHeight="1">
      <c r="A444" s="4"/>
      <c r="B444" s="4"/>
      <c r="C444" s="4"/>
      <c r="D444" s="4"/>
    </row>
    <row r="445" ht="15.75" customHeight="1">
      <c r="A445" s="4"/>
      <c r="B445" s="4"/>
      <c r="C445" s="4"/>
      <c r="D445" s="4"/>
    </row>
    <row r="446" ht="15.75" customHeight="1">
      <c r="A446" s="4"/>
      <c r="B446" s="4"/>
      <c r="C446" s="4"/>
      <c r="D446" s="4"/>
    </row>
    <row r="447" ht="15.75" customHeight="1">
      <c r="A447" s="4"/>
      <c r="B447" s="4"/>
      <c r="C447" s="4"/>
      <c r="D447" s="4"/>
    </row>
    <row r="448" ht="15.75" customHeight="1">
      <c r="A448" s="4"/>
      <c r="B448" s="4"/>
      <c r="C448" s="4"/>
      <c r="D448" s="4"/>
    </row>
    <row r="449" ht="15.75" customHeight="1">
      <c r="A449" s="4"/>
      <c r="B449" s="4"/>
      <c r="C449" s="4"/>
      <c r="D449" s="4"/>
    </row>
    <row r="450" ht="15.75" customHeight="1">
      <c r="A450" s="4"/>
      <c r="B450" s="4"/>
      <c r="C450" s="4"/>
      <c r="D450" s="4"/>
    </row>
    <row r="451" ht="15.75" customHeight="1">
      <c r="A451" s="4"/>
      <c r="B451" s="4"/>
      <c r="C451" s="4"/>
      <c r="D451" s="4"/>
    </row>
    <row r="452" ht="15.75" customHeight="1">
      <c r="A452" s="4"/>
      <c r="B452" s="4"/>
      <c r="C452" s="4"/>
      <c r="D452" s="4"/>
    </row>
    <row r="453" ht="15.75" customHeight="1">
      <c r="A453" s="4"/>
      <c r="B453" s="4"/>
      <c r="C453" s="4"/>
      <c r="D453" s="4"/>
    </row>
    <row r="454" ht="15.75" customHeight="1">
      <c r="A454" s="4"/>
      <c r="B454" s="4"/>
      <c r="C454" s="4"/>
      <c r="D454" s="4"/>
    </row>
    <row r="455" ht="15.75" customHeight="1">
      <c r="A455" s="4"/>
      <c r="B455" s="4"/>
      <c r="C455" s="4"/>
      <c r="D455" s="4"/>
    </row>
    <row r="456" ht="15.75" customHeight="1">
      <c r="A456" s="4"/>
      <c r="B456" s="4"/>
      <c r="C456" s="4"/>
      <c r="D456" s="4"/>
    </row>
    <row r="457" ht="15.75" customHeight="1">
      <c r="A457" s="4"/>
      <c r="B457" s="4"/>
      <c r="C457" s="4"/>
      <c r="D457" s="4"/>
    </row>
    <row r="458" ht="15.75" customHeight="1">
      <c r="A458" s="4"/>
      <c r="B458" s="4"/>
      <c r="C458" s="4"/>
      <c r="D458" s="4"/>
    </row>
    <row r="459" ht="15.75" customHeight="1">
      <c r="A459" s="4"/>
      <c r="B459" s="4"/>
      <c r="C459" s="4"/>
      <c r="D459" s="4"/>
    </row>
    <row r="460" ht="15.75" customHeight="1">
      <c r="A460" s="4"/>
      <c r="B460" s="4"/>
      <c r="C460" s="4"/>
      <c r="D460" s="4"/>
    </row>
    <row r="461" ht="15.75" customHeight="1">
      <c r="A461" s="4"/>
      <c r="B461" s="4"/>
      <c r="C461" s="4"/>
      <c r="D461" s="4"/>
    </row>
    <row r="462" ht="15.75" customHeight="1">
      <c r="A462" s="4"/>
      <c r="B462" s="4"/>
      <c r="C462" s="4"/>
      <c r="D462" s="4"/>
    </row>
    <row r="463" ht="15.75" customHeight="1">
      <c r="A463" s="4"/>
      <c r="B463" s="4"/>
      <c r="C463" s="4"/>
      <c r="D463" s="4"/>
    </row>
    <row r="464" ht="15.75" customHeight="1">
      <c r="A464" s="4"/>
      <c r="B464" s="4"/>
      <c r="C464" s="4"/>
      <c r="D464" s="4"/>
    </row>
    <row r="465" ht="15.75" customHeight="1">
      <c r="A465" s="4"/>
      <c r="B465" s="4"/>
      <c r="C465" s="4"/>
      <c r="D465" s="4"/>
    </row>
    <row r="466" ht="15.75" customHeight="1">
      <c r="A466" s="4"/>
      <c r="B466" s="4"/>
      <c r="C466" s="4"/>
      <c r="D466" s="4"/>
    </row>
    <row r="467" ht="15.75" customHeight="1">
      <c r="A467" s="4"/>
      <c r="B467" s="4"/>
      <c r="C467" s="4"/>
      <c r="D467" s="4"/>
    </row>
    <row r="468" ht="15.75" customHeight="1">
      <c r="A468" s="4"/>
      <c r="B468" s="4"/>
      <c r="C468" s="4"/>
      <c r="D468" s="4"/>
    </row>
    <row r="469" ht="15.75" customHeight="1">
      <c r="A469" s="4"/>
      <c r="B469" s="4"/>
      <c r="C469" s="4"/>
      <c r="D469" s="4"/>
    </row>
    <row r="470" ht="15.75" customHeight="1">
      <c r="A470" s="4"/>
      <c r="B470" s="4"/>
      <c r="C470" s="4"/>
      <c r="D470" s="4"/>
    </row>
    <row r="471" ht="15.75" customHeight="1">
      <c r="A471" s="4"/>
      <c r="B471" s="4"/>
      <c r="C471" s="4"/>
      <c r="D471" s="4"/>
    </row>
    <row r="472" ht="15.75" customHeight="1">
      <c r="A472" s="4"/>
      <c r="B472" s="4"/>
      <c r="C472" s="4"/>
      <c r="D472" s="4"/>
    </row>
    <row r="473" ht="15.75" customHeight="1">
      <c r="A473" s="4"/>
      <c r="B473" s="4"/>
      <c r="C473" s="4"/>
      <c r="D473" s="4"/>
    </row>
    <row r="474" ht="15.75" customHeight="1">
      <c r="A474" s="4"/>
      <c r="B474" s="4"/>
      <c r="C474" s="4"/>
      <c r="D474" s="4"/>
    </row>
    <row r="475" ht="15.75" customHeight="1">
      <c r="A475" s="4"/>
      <c r="B475" s="4"/>
      <c r="C475" s="4"/>
      <c r="D475" s="4"/>
    </row>
    <row r="476" ht="15.75" customHeight="1">
      <c r="A476" s="4"/>
      <c r="B476" s="4"/>
      <c r="C476" s="4"/>
      <c r="D476" s="4"/>
    </row>
    <row r="477" ht="15.75" customHeight="1">
      <c r="A477" s="4"/>
      <c r="B477" s="4"/>
      <c r="C477" s="4"/>
      <c r="D477" s="4"/>
    </row>
    <row r="478" ht="15.75" customHeight="1">
      <c r="A478" s="4"/>
      <c r="B478" s="4"/>
      <c r="C478" s="4"/>
      <c r="D478" s="4"/>
    </row>
    <row r="479" ht="15.75" customHeight="1">
      <c r="A479" s="4"/>
      <c r="B479" s="4"/>
      <c r="C479" s="4"/>
      <c r="D479" s="4"/>
    </row>
    <row r="480" ht="15.75" customHeight="1">
      <c r="A480" s="4"/>
      <c r="B480" s="4"/>
      <c r="C480" s="4"/>
      <c r="D480" s="4"/>
    </row>
    <row r="481" ht="15.75" customHeight="1">
      <c r="A481" s="4"/>
      <c r="B481" s="4"/>
      <c r="C481" s="4"/>
      <c r="D481" s="4"/>
    </row>
    <row r="482" ht="15.75" customHeight="1">
      <c r="A482" s="4"/>
      <c r="B482" s="4"/>
      <c r="C482" s="4"/>
      <c r="D482" s="4"/>
    </row>
    <row r="483" ht="15.75" customHeight="1">
      <c r="A483" s="4"/>
      <c r="B483" s="4"/>
      <c r="C483" s="4"/>
      <c r="D483" s="4"/>
    </row>
    <row r="484" ht="15.75" customHeight="1">
      <c r="A484" s="4"/>
      <c r="B484" s="4"/>
      <c r="C484" s="4"/>
      <c r="D484" s="4"/>
    </row>
    <row r="485" ht="15.75" customHeight="1">
      <c r="A485" s="4"/>
      <c r="B485" s="4"/>
      <c r="C485" s="4"/>
      <c r="D485" s="4"/>
    </row>
    <row r="486" ht="15.75" customHeight="1">
      <c r="A486" s="4"/>
      <c r="B486" s="4"/>
      <c r="C486" s="4"/>
      <c r="D486" s="4"/>
    </row>
    <row r="487" ht="15.75" customHeight="1">
      <c r="A487" s="4"/>
      <c r="B487" s="4"/>
      <c r="C487" s="4"/>
      <c r="D487" s="4"/>
    </row>
    <row r="488" ht="15.75" customHeight="1">
      <c r="A488" s="4"/>
      <c r="B488" s="4"/>
      <c r="C488" s="4"/>
      <c r="D488" s="4"/>
    </row>
    <row r="489" ht="15.75" customHeight="1">
      <c r="A489" s="4"/>
      <c r="B489" s="4"/>
      <c r="C489" s="4"/>
      <c r="D489" s="4"/>
    </row>
    <row r="490" ht="15.75" customHeight="1">
      <c r="A490" s="4"/>
      <c r="B490" s="4"/>
      <c r="C490" s="4"/>
      <c r="D490" s="4"/>
    </row>
    <row r="491" ht="15.75" customHeight="1">
      <c r="A491" s="4"/>
      <c r="B491" s="4"/>
      <c r="C491" s="4"/>
      <c r="D491" s="4"/>
    </row>
    <row r="492" ht="15.75" customHeight="1">
      <c r="A492" s="4"/>
      <c r="B492" s="4"/>
      <c r="C492" s="4"/>
      <c r="D492" s="4"/>
    </row>
    <row r="493" ht="15.75" customHeight="1">
      <c r="A493" s="4"/>
      <c r="B493" s="4"/>
      <c r="C493" s="4"/>
      <c r="D493" s="4"/>
    </row>
    <row r="494" ht="15.75" customHeight="1">
      <c r="A494" s="4"/>
      <c r="B494" s="4"/>
      <c r="C494" s="4"/>
      <c r="D494" s="4"/>
    </row>
    <row r="495" ht="15.75" customHeight="1">
      <c r="A495" s="4"/>
      <c r="B495" s="4"/>
      <c r="C495" s="4"/>
      <c r="D495" s="4"/>
    </row>
    <row r="496" ht="15.75" customHeight="1">
      <c r="A496" s="4"/>
      <c r="B496" s="4"/>
      <c r="C496" s="4"/>
      <c r="D496" s="4"/>
    </row>
    <row r="497" ht="15.75" customHeight="1">
      <c r="A497" s="4"/>
      <c r="B497" s="4"/>
      <c r="C497" s="4"/>
      <c r="D497" s="4"/>
    </row>
    <row r="498" ht="15.75" customHeight="1">
      <c r="A498" s="4"/>
      <c r="B498" s="4"/>
      <c r="C498" s="4"/>
      <c r="D498" s="4"/>
    </row>
    <row r="499" ht="15.75" customHeight="1">
      <c r="A499" s="4"/>
      <c r="B499" s="4"/>
      <c r="C499" s="4"/>
      <c r="D499" s="4"/>
    </row>
    <row r="500" ht="15.75" customHeight="1">
      <c r="A500" s="4"/>
      <c r="B500" s="4"/>
      <c r="C500" s="4"/>
      <c r="D500" s="4"/>
    </row>
    <row r="501" ht="15.75" customHeight="1">
      <c r="A501" s="4"/>
      <c r="B501" s="4"/>
      <c r="C501" s="4"/>
      <c r="D501" s="4"/>
    </row>
    <row r="502" ht="15.75" customHeight="1">
      <c r="A502" s="4"/>
      <c r="B502" s="4"/>
      <c r="C502" s="4"/>
      <c r="D502" s="4"/>
    </row>
    <row r="503" ht="15.75" customHeight="1">
      <c r="A503" s="4"/>
      <c r="B503" s="4"/>
      <c r="C503" s="4"/>
      <c r="D503" s="4"/>
    </row>
    <row r="504" ht="15.75" customHeight="1">
      <c r="A504" s="4"/>
      <c r="B504" s="4"/>
      <c r="C504" s="4"/>
      <c r="D504" s="4"/>
    </row>
    <row r="505" ht="15.75" customHeight="1">
      <c r="A505" s="4"/>
      <c r="B505" s="4"/>
      <c r="C505" s="4"/>
      <c r="D505" s="4"/>
    </row>
    <row r="506" ht="15.75" customHeight="1">
      <c r="A506" s="4"/>
      <c r="B506" s="4"/>
      <c r="C506" s="4"/>
      <c r="D506" s="4"/>
    </row>
    <row r="507" ht="15.75" customHeight="1">
      <c r="A507" s="4"/>
      <c r="B507" s="4"/>
      <c r="C507" s="4"/>
      <c r="D507" s="4"/>
    </row>
    <row r="508" ht="15.75" customHeight="1">
      <c r="A508" s="4"/>
      <c r="B508" s="4"/>
      <c r="C508" s="4"/>
      <c r="D508" s="4"/>
    </row>
    <row r="509" ht="15.75" customHeight="1">
      <c r="A509" s="4"/>
      <c r="B509" s="4"/>
      <c r="C509" s="4"/>
      <c r="D509" s="4"/>
    </row>
    <row r="510" ht="15.75" customHeight="1">
      <c r="A510" s="4"/>
      <c r="B510" s="4"/>
      <c r="C510" s="4"/>
      <c r="D510" s="4"/>
    </row>
    <row r="511" ht="15.75" customHeight="1">
      <c r="A511" s="4"/>
      <c r="B511" s="4"/>
      <c r="C511" s="4"/>
      <c r="D511" s="4"/>
    </row>
    <row r="512" ht="15.75" customHeight="1">
      <c r="A512" s="4"/>
      <c r="B512" s="4"/>
      <c r="C512" s="4"/>
      <c r="D512" s="4"/>
    </row>
    <row r="513" ht="15.75" customHeight="1">
      <c r="A513" s="4"/>
      <c r="B513" s="4"/>
      <c r="C513" s="4"/>
      <c r="D513" s="4"/>
    </row>
    <row r="514" ht="15.75" customHeight="1">
      <c r="A514" s="4"/>
      <c r="B514" s="4"/>
      <c r="C514" s="4"/>
      <c r="D514" s="4"/>
    </row>
    <row r="515" ht="15.75" customHeight="1">
      <c r="A515" s="4"/>
      <c r="B515" s="4"/>
      <c r="C515" s="4"/>
      <c r="D515" s="4"/>
    </row>
    <row r="516" ht="15.75" customHeight="1">
      <c r="A516" s="4"/>
      <c r="B516" s="4"/>
      <c r="C516" s="4"/>
      <c r="D516" s="4"/>
    </row>
    <row r="517" ht="15.75" customHeight="1">
      <c r="A517" s="4"/>
      <c r="B517" s="4"/>
      <c r="C517" s="4"/>
      <c r="D517" s="4"/>
    </row>
    <row r="518" ht="15.75" customHeight="1">
      <c r="A518" s="4"/>
      <c r="B518" s="4"/>
      <c r="C518" s="4"/>
      <c r="D518" s="4"/>
    </row>
    <row r="519" ht="15.75" customHeight="1">
      <c r="A519" s="4"/>
      <c r="B519" s="4"/>
      <c r="C519" s="4"/>
      <c r="D519" s="4"/>
    </row>
    <row r="520" ht="15.75" customHeight="1">
      <c r="A520" s="4"/>
      <c r="B520" s="4"/>
      <c r="C520" s="4"/>
      <c r="D520" s="4"/>
    </row>
    <row r="521" ht="15.75" customHeight="1">
      <c r="A521" s="4"/>
      <c r="B521" s="4"/>
      <c r="C521" s="4"/>
      <c r="D521" s="4"/>
    </row>
    <row r="522" ht="15.75" customHeight="1">
      <c r="A522" s="4"/>
      <c r="B522" s="4"/>
      <c r="C522" s="4"/>
      <c r="D522" s="4"/>
    </row>
    <row r="523" ht="15.75" customHeight="1">
      <c r="A523" s="4"/>
      <c r="B523" s="4"/>
      <c r="C523" s="4"/>
      <c r="D523" s="4"/>
    </row>
    <row r="524" ht="15.75" customHeight="1">
      <c r="A524" s="4"/>
      <c r="B524" s="4"/>
      <c r="C524" s="4"/>
      <c r="D524" s="4"/>
    </row>
    <row r="525" ht="15.75" customHeight="1">
      <c r="A525" s="4"/>
      <c r="B525" s="4"/>
      <c r="C525" s="4"/>
      <c r="D525" s="4"/>
    </row>
    <row r="526" ht="15.75" customHeight="1">
      <c r="A526" s="4"/>
      <c r="B526" s="4"/>
      <c r="C526" s="4"/>
      <c r="D526" s="4"/>
    </row>
    <row r="527" ht="15.75" customHeight="1">
      <c r="A527" s="4"/>
      <c r="B527" s="4"/>
      <c r="C527" s="4"/>
      <c r="D527" s="4"/>
    </row>
    <row r="528" ht="15.75" customHeight="1">
      <c r="A528" s="4"/>
      <c r="B528" s="4"/>
      <c r="C528" s="4"/>
      <c r="D528" s="4"/>
    </row>
    <row r="529" ht="15.75" customHeight="1">
      <c r="A529" s="4"/>
      <c r="B529" s="4"/>
      <c r="C529" s="4"/>
      <c r="D529" s="4"/>
    </row>
    <row r="530" ht="15.75" customHeight="1">
      <c r="A530" s="4"/>
      <c r="B530" s="4"/>
      <c r="C530" s="4"/>
      <c r="D530" s="4"/>
    </row>
    <row r="531" ht="15.75" customHeight="1">
      <c r="A531" s="4"/>
      <c r="B531" s="4"/>
      <c r="C531" s="4"/>
      <c r="D531" s="4"/>
    </row>
    <row r="532" ht="15.75" customHeight="1">
      <c r="A532" s="4"/>
      <c r="B532" s="4"/>
      <c r="C532" s="4"/>
      <c r="D532" s="4"/>
    </row>
    <row r="533" ht="15.75" customHeight="1">
      <c r="A533" s="4"/>
      <c r="B533" s="4"/>
      <c r="C533" s="4"/>
      <c r="D533" s="4"/>
    </row>
    <row r="534" ht="15.75" customHeight="1">
      <c r="A534" s="4"/>
      <c r="B534" s="4"/>
      <c r="C534" s="4"/>
      <c r="D534" s="4"/>
    </row>
    <row r="535" ht="15.75" customHeight="1">
      <c r="A535" s="4"/>
      <c r="B535" s="4"/>
      <c r="C535" s="4"/>
      <c r="D535" s="4"/>
    </row>
    <row r="536" ht="15.75" customHeight="1">
      <c r="A536" s="4"/>
      <c r="B536" s="4"/>
      <c r="C536" s="4"/>
      <c r="D536" s="4"/>
    </row>
    <row r="537" ht="15.75" customHeight="1">
      <c r="A537" s="4"/>
      <c r="B537" s="4"/>
      <c r="C537" s="4"/>
      <c r="D537" s="4"/>
    </row>
    <row r="538" ht="15.75" customHeight="1">
      <c r="A538" s="4"/>
      <c r="B538" s="4"/>
      <c r="C538" s="4"/>
      <c r="D538" s="4"/>
    </row>
    <row r="539" ht="15.75" customHeight="1">
      <c r="A539" s="4"/>
      <c r="B539" s="4"/>
      <c r="C539" s="4"/>
      <c r="D539" s="4"/>
    </row>
    <row r="540" ht="15.75" customHeight="1">
      <c r="A540" s="4"/>
      <c r="B540" s="4"/>
      <c r="C540" s="4"/>
      <c r="D540" s="4"/>
    </row>
    <row r="541" ht="15.75" customHeight="1">
      <c r="A541" s="4"/>
      <c r="B541" s="4"/>
      <c r="C541" s="4"/>
      <c r="D541" s="4"/>
    </row>
    <row r="542" ht="15.75" customHeight="1">
      <c r="A542" s="4"/>
      <c r="B542" s="4"/>
      <c r="C542" s="4"/>
      <c r="D542" s="4"/>
    </row>
    <row r="543" ht="15.75" customHeight="1">
      <c r="A543" s="4"/>
      <c r="B543" s="4"/>
      <c r="C543" s="4"/>
      <c r="D543" s="4"/>
    </row>
    <row r="544" ht="15.75" customHeight="1">
      <c r="A544" s="4"/>
      <c r="B544" s="4"/>
      <c r="C544" s="4"/>
      <c r="D544" s="4"/>
    </row>
    <row r="545" ht="15.75" customHeight="1">
      <c r="A545" s="4"/>
      <c r="B545" s="4"/>
      <c r="C545" s="4"/>
      <c r="D545" s="4"/>
    </row>
    <row r="546" ht="15.75" customHeight="1">
      <c r="A546" s="4"/>
      <c r="B546" s="4"/>
      <c r="C546" s="4"/>
      <c r="D546" s="4"/>
    </row>
    <row r="547" ht="15.75" customHeight="1">
      <c r="A547" s="4"/>
      <c r="B547" s="4"/>
      <c r="C547" s="4"/>
      <c r="D547" s="4"/>
    </row>
    <row r="548" ht="15.75" customHeight="1">
      <c r="A548" s="4"/>
      <c r="B548" s="4"/>
      <c r="C548" s="4"/>
      <c r="D548" s="4"/>
    </row>
    <row r="549" ht="15.75" customHeight="1">
      <c r="A549" s="4"/>
      <c r="B549" s="4"/>
      <c r="C549" s="4"/>
      <c r="D549" s="4"/>
    </row>
    <row r="550" ht="15.75" customHeight="1">
      <c r="A550" s="4"/>
      <c r="B550" s="4"/>
      <c r="C550" s="4"/>
      <c r="D550" s="4"/>
    </row>
    <row r="551" ht="15.75" customHeight="1">
      <c r="A551" s="4"/>
      <c r="B551" s="4"/>
      <c r="C551" s="4"/>
      <c r="D551" s="4"/>
    </row>
    <row r="552" ht="15.75" customHeight="1">
      <c r="A552" s="4"/>
      <c r="B552" s="4"/>
      <c r="C552" s="4"/>
      <c r="D552" s="4"/>
    </row>
    <row r="553" ht="15.75" customHeight="1">
      <c r="A553" s="4"/>
      <c r="B553" s="4"/>
      <c r="C553" s="4"/>
      <c r="D553" s="4"/>
    </row>
    <row r="554" ht="15.75" customHeight="1">
      <c r="A554" s="4"/>
      <c r="B554" s="4"/>
      <c r="C554" s="4"/>
      <c r="D554" s="4"/>
    </row>
    <row r="555" ht="15.75" customHeight="1">
      <c r="A555" s="4"/>
      <c r="B555" s="4"/>
      <c r="C555" s="4"/>
      <c r="D555" s="4"/>
    </row>
    <row r="556" ht="15.75" customHeight="1">
      <c r="A556" s="4"/>
      <c r="B556" s="4"/>
      <c r="C556" s="4"/>
      <c r="D556" s="4"/>
    </row>
    <row r="557" ht="15.75" customHeight="1">
      <c r="A557" s="4"/>
      <c r="B557" s="4"/>
      <c r="C557" s="4"/>
      <c r="D557" s="4"/>
    </row>
    <row r="558" ht="15.75" customHeight="1">
      <c r="A558" s="4"/>
      <c r="B558" s="4"/>
      <c r="C558" s="4"/>
      <c r="D558" s="4"/>
    </row>
    <row r="559" ht="15.75" customHeight="1">
      <c r="A559" s="4"/>
      <c r="B559" s="4"/>
      <c r="C559" s="4"/>
      <c r="D559" s="4"/>
    </row>
    <row r="560" ht="15.75" customHeight="1">
      <c r="A560" s="4"/>
      <c r="B560" s="4"/>
      <c r="C560" s="4"/>
      <c r="D560" s="4"/>
    </row>
    <row r="561" ht="15.75" customHeight="1">
      <c r="A561" s="4"/>
      <c r="B561" s="4"/>
      <c r="C561" s="4"/>
      <c r="D561" s="4"/>
    </row>
    <row r="562" ht="15.75" customHeight="1">
      <c r="A562" s="4"/>
      <c r="B562" s="4"/>
      <c r="C562" s="4"/>
      <c r="D562" s="4"/>
    </row>
    <row r="563" ht="15.75" customHeight="1">
      <c r="A563" s="4"/>
      <c r="B563" s="4"/>
      <c r="C563" s="4"/>
      <c r="D563" s="4"/>
    </row>
    <row r="564" ht="15.75" customHeight="1">
      <c r="A564" s="4"/>
      <c r="B564" s="4"/>
      <c r="C564" s="4"/>
      <c r="D564" s="4"/>
    </row>
    <row r="565" ht="15.75" customHeight="1">
      <c r="A565" s="4"/>
      <c r="B565" s="4"/>
      <c r="C565" s="4"/>
      <c r="D565" s="4"/>
    </row>
    <row r="566" ht="15.75" customHeight="1">
      <c r="A566" s="4"/>
      <c r="B566" s="4"/>
      <c r="C566" s="4"/>
      <c r="D566" s="4"/>
    </row>
    <row r="567" ht="15.75" customHeight="1">
      <c r="A567" s="4"/>
      <c r="B567" s="4"/>
      <c r="C567" s="4"/>
      <c r="D567" s="4"/>
    </row>
    <row r="568" ht="15.75" customHeight="1">
      <c r="A568" s="4"/>
      <c r="B568" s="4"/>
      <c r="C568" s="4"/>
      <c r="D568" s="4"/>
    </row>
    <row r="569" ht="15.75" customHeight="1">
      <c r="A569" s="4"/>
      <c r="B569" s="4"/>
      <c r="C569" s="4"/>
      <c r="D569" s="4"/>
    </row>
    <row r="570" ht="15.75" customHeight="1">
      <c r="A570" s="4"/>
      <c r="B570" s="4"/>
      <c r="C570" s="4"/>
      <c r="D570" s="4"/>
    </row>
    <row r="571" ht="15.75" customHeight="1">
      <c r="A571" s="4"/>
      <c r="B571" s="4"/>
      <c r="C571" s="4"/>
      <c r="D571" s="4"/>
    </row>
    <row r="572" ht="15.75" customHeight="1">
      <c r="A572" s="4"/>
      <c r="B572" s="4"/>
      <c r="C572" s="4"/>
      <c r="D572" s="4"/>
    </row>
    <row r="573" ht="15.75" customHeight="1">
      <c r="A573" s="4"/>
      <c r="B573" s="4"/>
      <c r="C573" s="4"/>
      <c r="D573" s="4"/>
    </row>
    <row r="574" ht="15.75" customHeight="1">
      <c r="A574" s="4"/>
      <c r="B574" s="4"/>
      <c r="C574" s="4"/>
      <c r="D574" s="4"/>
    </row>
    <row r="575" ht="15.75" customHeight="1">
      <c r="A575" s="4"/>
      <c r="B575" s="4"/>
      <c r="C575" s="4"/>
      <c r="D575" s="4"/>
    </row>
    <row r="576" ht="15.75" customHeight="1">
      <c r="A576" s="4"/>
      <c r="B576" s="4"/>
      <c r="C576" s="4"/>
      <c r="D576" s="4"/>
    </row>
    <row r="577" ht="15.75" customHeight="1">
      <c r="A577" s="4"/>
      <c r="B577" s="4"/>
      <c r="C577" s="4"/>
      <c r="D577" s="4"/>
    </row>
    <row r="578" ht="15.75" customHeight="1">
      <c r="A578" s="4"/>
      <c r="B578" s="4"/>
      <c r="C578" s="4"/>
      <c r="D578" s="4"/>
    </row>
    <row r="579" ht="15.75" customHeight="1">
      <c r="A579" s="4"/>
      <c r="B579" s="4"/>
      <c r="C579" s="4"/>
      <c r="D579" s="4"/>
    </row>
    <row r="580" ht="15.75" customHeight="1">
      <c r="A580" s="4"/>
      <c r="B580" s="4"/>
      <c r="C580" s="4"/>
      <c r="D580" s="4"/>
    </row>
    <row r="581" ht="15.75" customHeight="1">
      <c r="A581" s="4"/>
      <c r="B581" s="4"/>
      <c r="C581" s="4"/>
      <c r="D581" s="4"/>
    </row>
    <row r="582" ht="15.75" customHeight="1">
      <c r="A582" s="4"/>
      <c r="B582" s="4"/>
      <c r="C582" s="4"/>
      <c r="D582" s="4"/>
    </row>
    <row r="583" ht="15.75" customHeight="1">
      <c r="A583" s="4"/>
      <c r="B583" s="4"/>
      <c r="C583" s="4"/>
      <c r="D583" s="4"/>
    </row>
    <row r="584" ht="15.75" customHeight="1">
      <c r="A584" s="4"/>
      <c r="B584" s="4"/>
      <c r="C584" s="4"/>
      <c r="D584" s="4"/>
    </row>
    <row r="585" ht="15.75" customHeight="1">
      <c r="A585" s="4"/>
      <c r="B585" s="4"/>
      <c r="C585" s="4"/>
      <c r="D585" s="4"/>
    </row>
    <row r="586" ht="15.75" customHeight="1">
      <c r="A586" s="4"/>
      <c r="B586" s="4"/>
      <c r="C586" s="4"/>
      <c r="D586" s="4"/>
    </row>
    <row r="587" ht="15.75" customHeight="1">
      <c r="A587" s="4"/>
      <c r="B587" s="4"/>
      <c r="C587" s="4"/>
      <c r="D587" s="4"/>
    </row>
    <row r="588" ht="15.75" customHeight="1">
      <c r="A588" s="4"/>
      <c r="B588" s="4"/>
      <c r="C588" s="4"/>
      <c r="D588" s="4"/>
    </row>
    <row r="589" ht="15.75" customHeight="1">
      <c r="A589" s="4"/>
      <c r="B589" s="4"/>
      <c r="C589" s="4"/>
      <c r="D589" s="4"/>
    </row>
    <row r="590" ht="15.75" customHeight="1">
      <c r="A590" s="4"/>
      <c r="B590" s="4"/>
      <c r="C590" s="4"/>
      <c r="D590" s="4"/>
    </row>
    <row r="591" ht="15.75" customHeight="1">
      <c r="A591" s="4"/>
      <c r="B591" s="4"/>
      <c r="C591" s="4"/>
      <c r="D591" s="4"/>
    </row>
    <row r="592" ht="15.75" customHeight="1">
      <c r="A592" s="4"/>
      <c r="B592" s="4"/>
      <c r="C592" s="4"/>
      <c r="D592" s="4"/>
    </row>
    <row r="593" ht="15.75" customHeight="1">
      <c r="A593" s="4"/>
      <c r="B593" s="4"/>
      <c r="C593" s="4"/>
      <c r="D593" s="4"/>
    </row>
    <row r="594" ht="15.75" customHeight="1">
      <c r="A594" s="4"/>
      <c r="B594" s="4"/>
      <c r="C594" s="4"/>
      <c r="D594" s="4"/>
    </row>
    <row r="595" ht="15.75" customHeight="1">
      <c r="A595" s="4"/>
      <c r="B595" s="4"/>
      <c r="C595" s="4"/>
      <c r="D595" s="4"/>
    </row>
    <row r="596" ht="15.75" customHeight="1">
      <c r="A596" s="4"/>
      <c r="B596" s="4"/>
      <c r="C596" s="4"/>
      <c r="D596" s="4"/>
    </row>
    <row r="597" ht="15.75" customHeight="1">
      <c r="A597" s="4"/>
      <c r="B597" s="4"/>
      <c r="C597" s="4"/>
      <c r="D597" s="4"/>
    </row>
    <row r="598" ht="15.75" customHeight="1">
      <c r="A598" s="4"/>
      <c r="B598" s="4"/>
      <c r="C598" s="4"/>
      <c r="D598" s="4"/>
    </row>
    <row r="599" ht="15.75" customHeight="1">
      <c r="A599" s="4"/>
      <c r="B599" s="4"/>
      <c r="C599" s="4"/>
      <c r="D599" s="4"/>
    </row>
    <row r="600" ht="15.75" customHeight="1">
      <c r="A600" s="4"/>
      <c r="B600" s="4"/>
      <c r="C600" s="4"/>
      <c r="D600" s="4"/>
    </row>
    <row r="601" ht="15.75" customHeight="1">
      <c r="A601" s="4"/>
      <c r="B601" s="4"/>
      <c r="C601" s="4"/>
      <c r="D601" s="4"/>
    </row>
    <row r="602" ht="15.75" customHeight="1">
      <c r="A602" s="4"/>
      <c r="B602" s="4"/>
      <c r="C602" s="4"/>
      <c r="D602" s="4"/>
    </row>
    <row r="603" ht="15.75" customHeight="1">
      <c r="A603" s="4"/>
      <c r="B603" s="4"/>
      <c r="C603" s="4"/>
      <c r="D603" s="4"/>
    </row>
    <row r="604" ht="15.75" customHeight="1">
      <c r="A604" s="4"/>
      <c r="B604" s="4"/>
      <c r="C604" s="4"/>
      <c r="D604" s="4"/>
    </row>
    <row r="605" ht="15.75" customHeight="1">
      <c r="A605" s="4"/>
      <c r="B605" s="4"/>
      <c r="C605" s="4"/>
      <c r="D605" s="4"/>
    </row>
    <row r="606" ht="15.75" customHeight="1">
      <c r="A606" s="4"/>
      <c r="B606" s="4"/>
      <c r="C606" s="4"/>
      <c r="D606" s="4"/>
    </row>
    <row r="607" ht="15.75" customHeight="1">
      <c r="A607" s="4"/>
      <c r="B607" s="4"/>
      <c r="C607" s="4"/>
      <c r="D607" s="4"/>
    </row>
    <row r="608" ht="15.75" customHeight="1">
      <c r="A608" s="4"/>
      <c r="B608" s="4"/>
      <c r="C608" s="4"/>
      <c r="D608" s="4"/>
    </row>
    <row r="609" ht="15.75" customHeight="1">
      <c r="A609" s="4"/>
      <c r="B609" s="4"/>
      <c r="C609" s="4"/>
      <c r="D609" s="4"/>
    </row>
    <row r="610" ht="15.75" customHeight="1">
      <c r="A610" s="4"/>
      <c r="B610" s="4"/>
      <c r="C610" s="4"/>
      <c r="D610" s="4"/>
    </row>
    <row r="611" ht="15.75" customHeight="1">
      <c r="A611" s="4"/>
      <c r="B611" s="4"/>
      <c r="C611" s="4"/>
      <c r="D611" s="4"/>
    </row>
    <row r="612" ht="15.75" customHeight="1">
      <c r="A612" s="4"/>
      <c r="B612" s="4"/>
      <c r="C612" s="4"/>
      <c r="D612" s="4"/>
    </row>
    <row r="613" ht="15.75" customHeight="1">
      <c r="A613" s="4"/>
      <c r="B613" s="4"/>
      <c r="C613" s="4"/>
      <c r="D613" s="4"/>
    </row>
    <row r="614" ht="15.75" customHeight="1">
      <c r="A614" s="4"/>
      <c r="B614" s="4"/>
      <c r="C614" s="4"/>
      <c r="D614" s="4"/>
    </row>
    <row r="615" ht="15.75" customHeight="1">
      <c r="A615" s="4"/>
      <c r="B615" s="4"/>
      <c r="C615" s="4"/>
      <c r="D615" s="4"/>
    </row>
    <row r="616" ht="15.75" customHeight="1">
      <c r="A616" s="4"/>
      <c r="B616" s="4"/>
      <c r="C616" s="4"/>
      <c r="D616" s="4"/>
    </row>
    <row r="617" ht="15.75" customHeight="1">
      <c r="A617" s="4"/>
      <c r="B617" s="4"/>
      <c r="C617" s="4"/>
      <c r="D617" s="4"/>
    </row>
    <row r="618" ht="15.75" customHeight="1">
      <c r="A618" s="4"/>
      <c r="B618" s="4"/>
      <c r="C618" s="4"/>
      <c r="D618" s="4"/>
    </row>
    <row r="619" ht="15.75" customHeight="1">
      <c r="A619" s="4"/>
      <c r="B619" s="4"/>
      <c r="C619" s="4"/>
      <c r="D619" s="4"/>
    </row>
    <row r="620" ht="15.75" customHeight="1">
      <c r="A620" s="4"/>
      <c r="B620" s="4"/>
      <c r="C620" s="4"/>
      <c r="D620" s="4"/>
    </row>
    <row r="621" ht="15.75" customHeight="1">
      <c r="A621" s="4"/>
      <c r="B621" s="4"/>
      <c r="C621" s="4"/>
      <c r="D621" s="4"/>
    </row>
    <row r="622" ht="15.75" customHeight="1">
      <c r="A622" s="4"/>
      <c r="B622" s="4"/>
      <c r="C622" s="4"/>
      <c r="D622" s="4"/>
    </row>
    <row r="623" ht="15.75" customHeight="1">
      <c r="A623" s="4"/>
      <c r="B623" s="4"/>
      <c r="C623" s="4"/>
      <c r="D623" s="4"/>
    </row>
    <row r="624" ht="15.75" customHeight="1">
      <c r="A624" s="4"/>
      <c r="B624" s="4"/>
      <c r="C624" s="4"/>
      <c r="D624" s="4"/>
    </row>
    <row r="625" ht="15.75" customHeight="1">
      <c r="A625" s="4"/>
      <c r="B625" s="4"/>
      <c r="C625" s="4"/>
      <c r="D625" s="4"/>
    </row>
    <row r="626" ht="15.75" customHeight="1">
      <c r="A626" s="4"/>
      <c r="B626" s="4"/>
      <c r="C626" s="4"/>
      <c r="D626" s="4"/>
    </row>
    <row r="627" ht="15.75" customHeight="1">
      <c r="A627" s="4"/>
      <c r="B627" s="4"/>
      <c r="C627" s="4"/>
      <c r="D627" s="4"/>
    </row>
    <row r="628" ht="15.75" customHeight="1">
      <c r="A628" s="4"/>
      <c r="B628" s="4"/>
      <c r="C628" s="4"/>
      <c r="D628" s="4"/>
    </row>
    <row r="629" ht="15.75" customHeight="1">
      <c r="A629" s="4"/>
      <c r="B629" s="4"/>
      <c r="C629" s="4"/>
      <c r="D629" s="4"/>
    </row>
    <row r="630" ht="15.75" customHeight="1">
      <c r="A630" s="4"/>
      <c r="B630" s="4"/>
      <c r="C630" s="4"/>
      <c r="D630" s="4"/>
    </row>
    <row r="631" ht="15.75" customHeight="1">
      <c r="A631" s="4"/>
      <c r="B631" s="4"/>
      <c r="C631" s="4"/>
      <c r="D631" s="4"/>
    </row>
    <row r="632" ht="15.75" customHeight="1">
      <c r="A632" s="4"/>
      <c r="B632" s="4"/>
      <c r="C632" s="4"/>
      <c r="D632" s="4"/>
    </row>
    <row r="633" ht="15.75" customHeight="1">
      <c r="A633" s="4"/>
      <c r="B633" s="4"/>
      <c r="C633" s="4"/>
      <c r="D633" s="4"/>
    </row>
    <row r="634" ht="15.75" customHeight="1">
      <c r="A634" s="4"/>
      <c r="B634" s="4"/>
      <c r="C634" s="4"/>
      <c r="D634" s="4"/>
    </row>
    <row r="635" ht="15.75" customHeight="1">
      <c r="A635" s="4"/>
      <c r="B635" s="4"/>
      <c r="C635" s="4"/>
      <c r="D635" s="4"/>
    </row>
    <row r="636" ht="15.75" customHeight="1">
      <c r="A636" s="4"/>
      <c r="B636" s="4"/>
      <c r="C636" s="4"/>
      <c r="D636" s="4"/>
    </row>
    <row r="637" ht="15.75" customHeight="1">
      <c r="A637" s="4"/>
      <c r="B637" s="4"/>
      <c r="C637" s="4"/>
      <c r="D637" s="4"/>
    </row>
    <row r="638" ht="15.75" customHeight="1">
      <c r="A638" s="4"/>
      <c r="B638" s="4"/>
      <c r="C638" s="4"/>
      <c r="D638" s="4"/>
    </row>
    <row r="639" ht="15.75" customHeight="1">
      <c r="A639" s="4"/>
      <c r="B639" s="4"/>
      <c r="C639" s="4"/>
      <c r="D639" s="4"/>
    </row>
    <row r="640" ht="15.75" customHeight="1">
      <c r="A640" s="4"/>
      <c r="B640" s="4"/>
      <c r="C640" s="4"/>
      <c r="D640" s="4"/>
    </row>
    <row r="641" ht="15.75" customHeight="1">
      <c r="A641" s="4"/>
      <c r="B641" s="4"/>
      <c r="C641" s="4"/>
      <c r="D641" s="4"/>
    </row>
    <row r="642" ht="15.75" customHeight="1">
      <c r="A642" s="4"/>
      <c r="B642" s="4"/>
      <c r="C642" s="4"/>
      <c r="D642" s="4"/>
    </row>
    <row r="643" ht="15.75" customHeight="1">
      <c r="A643" s="4"/>
      <c r="B643" s="4"/>
      <c r="C643" s="4"/>
      <c r="D643" s="4"/>
    </row>
    <row r="644" ht="15.75" customHeight="1">
      <c r="A644" s="4"/>
      <c r="B644" s="4"/>
      <c r="C644" s="4"/>
      <c r="D644" s="4"/>
    </row>
    <row r="645" ht="15.75" customHeight="1">
      <c r="A645" s="4"/>
      <c r="B645" s="4"/>
      <c r="C645" s="4"/>
      <c r="D645" s="4"/>
    </row>
    <row r="646" ht="15.75" customHeight="1">
      <c r="A646" s="4"/>
      <c r="B646" s="4"/>
      <c r="C646" s="4"/>
      <c r="D646" s="4"/>
    </row>
    <row r="647" ht="15.75" customHeight="1">
      <c r="A647" s="4"/>
      <c r="B647" s="4"/>
      <c r="C647" s="4"/>
      <c r="D647" s="4"/>
    </row>
    <row r="648" ht="15.75" customHeight="1">
      <c r="A648" s="4"/>
      <c r="B648" s="4"/>
      <c r="C648" s="4"/>
      <c r="D648" s="4"/>
    </row>
    <row r="649" ht="15.75" customHeight="1">
      <c r="A649" s="4"/>
      <c r="B649" s="4"/>
      <c r="C649" s="4"/>
      <c r="D649" s="4"/>
    </row>
    <row r="650" ht="15.75" customHeight="1">
      <c r="A650" s="4"/>
      <c r="B650" s="4"/>
      <c r="C650" s="4"/>
      <c r="D650" s="4"/>
    </row>
    <row r="651" ht="15.75" customHeight="1">
      <c r="A651" s="4"/>
      <c r="B651" s="4"/>
      <c r="C651" s="4"/>
      <c r="D651" s="4"/>
    </row>
    <row r="652" ht="15.75" customHeight="1">
      <c r="A652" s="4"/>
      <c r="B652" s="4"/>
      <c r="C652" s="4"/>
      <c r="D652" s="4"/>
    </row>
    <row r="653" ht="15.75" customHeight="1">
      <c r="A653" s="4"/>
      <c r="B653" s="4"/>
      <c r="C653" s="4"/>
      <c r="D653" s="4"/>
    </row>
    <row r="654" ht="15.75" customHeight="1">
      <c r="A654" s="4"/>
      <c r="B654" s="4"/>
      <c r="C654" s="4"/>
      <c r="D654" s="4"/>
    </row>
    <row r="655" ht="15.75" customHeight="1">
      <c r="A655" s="4"/>
      <c r="B655" s="4"/>
      <c r="C655" s="4"/>
      <c r="D655" s="4"/>
    </row>
    <row r="656" ht="15.75" customHeight="1">
      <c r="A656" s="4"/>
      <c r="B656" s="4"/>
      <c r="C656" s="4"/>
      <c r="D656" s="4"/>
    </row>
    <row r="657" ht="15.75" customHeight="1">
      <c r="A657" s="4"/>
      <c r="B657" s="4"/>
      <c r="C657" s="4"/>
      <c r="D657" s="4"/>
    </row>
    <row r="658" ht="15.75" customHeight="1">
      <c r="A658" s="4"/>
      <c r="B658" s="4"/>
      <c r="C658" s="4"/>
      <c r="D658" s="4"/>
    </row>
    <row r="659" ht="15.75" customHeight="1">
      <c r="A659" s="4"/>
      <c r="B659" s="4"/>
      <c r="C659" s="4"/>
      <c r="D659" s="4"/>
    </row>
    <row r="660" ht="15.75" customHeight="1">
      <c r="A660" s="4"/>
      <c r="B660" s="4"/>
      <c r="C660" s="4"/>
      <c r="D660" s="4"/>
    </row>
    <row r="661" ht="15.75" customHeight="1">
      <c r="A661" s="4"/>
      <c r="B661" s="4"/>
      <c r="C661" s="4"/>
      <c r="D661" s="4"/>
    </row>
    <row r="662" ht="15.75" customHeight="1">
      <c r="A662" s="4"/>
      <c r="B662" s="4"/>
      <c r="C662" s="4"/>
      <c r="D662" s="4"/>
    </row>
    <row r="663" ht="15.75" customHeight="1">
      <c r="A663" s="4"/>
      <c r="B663" s="4"/>
      <c r="C663" s="4"/>
      <c r="D663" s="4"/>
    </row>
    <row r="664" ht="15.75" customHeight="1">
      <c r="A664" s="4"/>
      <c r="B664" s="4"/>
      <c r="C664" s="4"/>
      <c r="D664" s="4"/>
    </row>
    <row r="665" ht="15.75" customHeight="1">
      <c r="A665" s="4"/>
      <c r="B665" s="4"/>
      <c r="C665" s="4"/>
      <c r="D665" s="4"/>
    </row>
    <row r="666" ht="15.75" customHeight="1">
      <c r="A666" s="4"/>
      <c r="B666" s="4"/>
      <c r="C666" s="4"/>
      <c r="D666" s="4"/>
    </row>
    <row r="667" ht="15.75" customHeight="1">
      <c r="A667" s="4"/>
      <c r="B667" s="4"/>
      <c r="C667" s="4"/>
      <c r="D667" s="4"/>
    </row>
    <row r="668" ht="15.75" customHeight="1">
      <c r="A668" s="4"/>
      <c r="B668" s="4"/>
      <c r="C668" s="4"/>
      <c r="D668" s="4"/>
    </row>
    <row r="669" ht="15.75" customHeight="1">
      <c r="A669" s="4"/>
      <c r="B669" s="4"/>
      <c r="C669" s="4"/>
      <c r="D669" s="4"/>
    </row>
    <row r="670" ht="15.75" customHeight="1">
      <c r="A670" s="4"/>
      <c r="B670" s="4"/>
      <c r="C670" s="4"/>
      <c r="D670" s="4"/>
    </row>
    <row r="671" ht="15.75" customHeight="1">
      <c r="A671" s="4"/>
      <c r="B671" s="4"/>
      <c r="C671" s="4"/>
      <c r="D671" s="4"/>
    </row>
    <row r="672" ht="15.75" customHeight="1">
      <c r="A672" s="4"/>
      <c r="B672" s="4"/>
      <c r="C672" s="4"/>
      <c r="D672" s="4"/>
    </row>
    <row r="673" ht="15.75" customHeight="1">
      <c r="A673" s="4"/>
      <c r="B673" s="4"/>
      <c r="C673" s="4"/>
      <c r="D673" s="4"/>
    </row>
    <row r="674" ht="15.75" customHeight="1">
      <c r="A674" s="4"/>
      <c r="B674" s="4"/>
      <c r="C674" s="4"/>
      <c r="D674" s="4"/>
    </row>
    <row r="675" ht="15.75" customHeight="1">
      <c r="A675" s="4"/>
      <c r="B675" s="4"/>
      <c r="C675" s="4"/>
      <c r="D675" s="4"/>
    </row>
    <row r="676" ht="15.75" customHeight="1">
      <c r="A676" s="4"/>
      <c r="B676" s="4"/>
      <c r="C676" s="4"/>
      <c r="D676" s="4"/>
    </row>
    <row r="677" ht="15.75" customHeight="1">
      <c r="A677" s="4"/>
      <c r="B677" s="4"/>
      <c r="C677" s="4"/>
      <c r="D677" s="4"/>
    </row>
    <row r="678" ht="15.75" customHeight="1">
      <c r="A678" s="4"/>
      <c r="B678" s="4"/>
      <c r="C678" s="4"/>
      <c r="D678" s="4"/>
    </row>
    <row r="679" ht="15.75" customHeight="1">
      <c r="A679" s="4"/>
      <c r="B679" s="4"/>
      <c r="C679" s="4"/>
      <c r="D679" s="4"/>
    </row>
    <row r="680" ht="15.75" customHeight="1">
      <c r="A680" s="4"/>
      <c r="B680" s="4"/>
      <c r="C680" s="4"/>
      <c r="D680" s="4"/>
    </row>
    <row r="681" ht="15.75" customHeight="1">
      <c r="A681" s="4"/>
      <c r="B681" s="4"/>
      <c r="C681" s="4"/>
      <c r="D681" s="4"/>
    </row>
    <row r="682" ht="15.75" customHeight="1">
      <c r="A682" s="4"/>
      <c r="B682" s="4"/>
      <c r="C682" s="4"/>
      <c r="D682" s="4"/>
    </row>
    <row r="683" ht="15.75" customHeight="1">
      <c r="A683" s="4"/>
      <c r="B683" s="4"/>
      <c r="C683" s="4"/>
      <c r="D683" s="4"/>
    </row>
    <row r="684" ht="15.75" customHeight="1">
      <c r="A684" s="4"/>
      <c r="B684" s="4"/>
      <c r="C684" s="4"/>
      <c r="D684" s="4"/>
    </row>
    <row r="685" ht="15.75" customHeight="1">
      <c r="A685" s="4"/>
      <c r="B685" s="4"/>
      <c r="C685" s="4"/>
      <c r="D685" s="4"/>
    </row>
    <row r="686" ht="15.75" customHeight="1">
      <c r="A686" s="4"/>
      <c r="B686" s="4"/>
      <c r="C686" s="4"/>
      <c r="D686" s="4"/>
    </row>
    <row r="687" ht="15.75" customHeight="1">
      <c r="A687" s="4"/>
      <c r="B687" s="4"/>
      <c r="C687" s="4"/>
      <c r="D687" s="4"/>
    </row>
    <row r="688" ht="15.75" customHeight="1">
      <c r="A688" s="4"/>
      <c r="B688" s="4"/>
      <c r="C688" s="4"/>
      <c r="D688" s="4"/>
    </row>
    <row r="689" ht="15.75" customHeight="1">
      <c r="A689" s="4"/>
      <c r="B689" s="4"/>
      <c r="C689" s="4"/>
      <c r="D689" s="4"/>
    </row>
    <row r="690" ht="15.75" customHeight="1">
      <c r="A690" s="4"/>
      <c r="B690" s="4"/>
      <c r="C690" s="4"/>
      <c r="D690" s="4"/>
    </row>
    <row r="691" ht="15.75" customHeight="1">
      <c r="A691" s="4"/>
      <c r="B691" s="4"/>
      <c r="C691" s="4"/>
      <c r="D691" s="4"/>
    </row>
    <row r="692" ht="15.75" customHeight="1">
      <c r="A692" s="4"/>
      <c r="B692" s="4"/>
      <c r="C692" s="4"/>
      <c r="D692" s="4"/>
    </row>
    <row r="693" ht="15.75" customHeight="1">
      <c r="A693" s="4"/>
      <c r="B693" s="4"/>
      <c r="C693" s="4"/>
      <c r="D693" s="4"/>
    </row>
    <row r="694" ht="15.75" customHeight="1">
      <c r="A694" s="4"/>
      <c r="B694" s="4"/>
      <c r="C694" s="4"/>
      <c r="D694" s="4"/>
    </row>
    <row r="695" ht="15.75" customHeight="1">
      <c r="A695" s="4"/>
      <c r="B695" s="4"/>
      <c r="C695" s="4"/>
      <c r="D695" s="4"/>
    </row>
    <row r="696" ht="15.75" customHeight="1">
      <c r="A696" s="4"/>
      <c r="B696" s="4"/>
      <c r="C696" s="4"/>
      <c r="D696" s="4"/>
    </row>
    <row r="697" ht="15.75" customHeight="1">
      <c r="A697" s="4"/>
      <c r="B697" s="4"/>
      <c r="C697" s="4"/>
      <c r="D697" s="4"/>
    </row>
    <row r="698" ht="15.75" customHeight="1">
      <c r="A698" s="4"/>
      <c r="B698" s="4"/>
      <c r="C698" s="4"/>
      <c r="D698" s="4"/>
    </row>
    <row r="699" ht="15.75" customHeight="1">
      <c r="A699" s="4"/>
      <c r="B699" s="4"/>
      <c r="C699" s="4"/>
      <c r="D699" s="4"/>
    </row>
    <row r="700" ht="15.75" customHeight="1">
      <c r="A700" s="4"/>
      <c r="B700" s="4"/>
      <c r="C700" s="4"/>
      <c r="D700" s="4"/>
    </row>
    <row r="701" ht="15.75" customHeight="1">
      <c r="A701" s="4"/>
      <c r="B701" s="4"/>
      <c r="C701" s="4"/>
      <c r="D701" s="4"/>
    </row>
    <row r="702" ht="15.75" customHeight="1">
      <c r="A702" s="4"/>
      <c r="B702" s="4"/>
      <c r="C702" s="4"/>
      <c r="D702" s="4"/>
    </row>
    <row r="703" ht="15.75" customHeight="1">
      <c r="A703" s="4"/>
      <c r="B703" s="4"/>
      <c r="C703" s="4"/>
      <c r="D703" s="4"/>
    </row>
    <row r="704" ht="15.75" customHeight="1">
      <c r="A704" s="4"/>
      <c r="B704" s="4"/>
      <c r="C704" s="4"/>
      <c r="D704" s="4"/>
    </row>
    <row r="705" ht="15.75" customHeight="1">
      <c r="A705" s="4"/>
      <c r="B705" s="4"/>
      <c r="C705" s="4"/>
      <c r="D705" s="4"/>
    </row>
    <row r="706" ht="15.75" customHeight="1">
      <c r="A706" s="4"/>
      <c r="B706" s="4"/>
      <c r="C706" s="4"/>
      <c r="D706" s="4"/>
    </row>
    <row r="707" ht="15.75" customHeight="1">
      <c r="A707" s="4"/>
      <c r="B707" s="4"/>
      <c r="C707" s="4"/>
      <c r="D707" s="4"/>
    </row>
    <row r="708" ht="15.75" customHeight="1">
      <c r="A708" s="4"/>
      <c r="B708" s="4"/>
      <c r="C708" s="4"/>
      <c r="D708" s="4"/>
    </row>
    <row r="709" ht="15.75" customHeight="1">
      <c r="A709" s="4"/>
      <c r="B709" s="4"/>
      <c r="C709" s="4"/>
      <c r="D709" s="4"/>
    </row>
    <row r="710" ht="15.75" customHeight="1">
      <c r="A710" s="4"/>
      <c r="B710" s="4"/>
      <c r="C710" s="4"/>
      <c r="D710" s="4"/>
    </row>
    <row r="711" ht="15.75" customHeight="1">
      <c r="A711" s="4"/>
      <c r="B711" s="4"/>
      <c r="C711" s="4"/>
      <c r="D711" s="4"/>
    </row>
    <row r="712" ht="15.75" customHeight="1">
      <c r="A712" s="4"/>
      <c r="B712" s="4"/>
      <c r="C712" s="4"/>
      <c r="D712" s="4"/>
    </row>
    <row r="713" ht="15.75" customHeight="1">
      <c r="A713" s="4"/>
      <c r="B713" s="4"/>
      <c r="C713" s="4"/>
      <c r="D713" s="4"/>
    </row>
    <row r="714" ht="15.75" customHeight="1">
      <c r="A714" s="4"/>
      <c r="B714" s="4"/>
      <c r="C714" s="4"/>
      <c r="D714" s="4"/>
    </row>
    <row r="715" ht="15.75" customHeight="1">
      <c r="A715" s="4"/>
      <c r="B715" s="4"/>
      <c r="C715" s="4"/>
      <c r="D715" s="4"/>
    </row>
    <row r="716" ht="15.75" customHeight="1">
      <c r="A716" s="4"/>
      <c r="B716" s="4"/>
      <c r="C716" s="4"/>
      <c r="D716" s="4"/>
    </row>
    <row r="717" ht="15.75" customHeight="1">
      <c r="A717" s="4"/>
      <c r="B717" s="4"/>
      <c r="C717" s="4"/>
      <c r="D717" s="4"/>
    </row>
    <row r="718" ht="15.75" customHeight="1">
      <c r="A718" s="4"/>
      <c r="B718" s="4"/>
      <c r="C718" s="4"/>
      <c r="D718" s="4"/>
    </row>
    <row r="719" ht="15.75" customHeight="1">
      <c r="A719" s="4"/>
      <c r="B719" s="4"/>
      <c r="C719" s="4"/>
      <c r="D719" s="4"/>
    </row>
    <row r="720" ht="15.75" customHeight="1">
      <c r="A720" s="4"/>
      <c r="B720" s="4"/>
      <c r="C720" s="4"/>
      <c r="D720" s="4"/>
    </row>
    <row r="721" ht="15.75" customHeight="1">
      <c r="A721" s="4"/>
      <c r="B721" s="4"/>
      <c r="C721" s="4"/>
      <c r="D721" s="4"/>
    </row>
    <row r="722" ht="15.75" customHeight="1">
      <c r="A722" s="4"/>
      <c r="B722" s="4"/>
      <c r="C722" s="4"/>
      <c r="D722" s="4"/>
    </row>
    <row r="723" ht="15.75" customHeight="1">
      <c r="A723" s="4"/>
      <c r="B723" s="4"/>
      <c r="C723" s="4"/>
      <c r="D723" s="4"/>
    </row>
    <row r="724" ht="15.75" customHeight="1">
      <c r="A724" s="4"/>
      <c r="B724" s="4"/>
      <c r="C724" s="4"/>
      <c r="D724" s="4"/>
    </row>
    <row r="725" ht="15.75" customHeight="1">
      <c r="A725" s="4"/>
      <c r="B725" s="4"/>
      <c r="C725" s="4"/>
      <c r="D725" s="4"/>
    </row>
    <row r="726" ht="15.75" customHeight="1">
      <c r="A726" s="4"/>
      <c r="B726" s="4"/>
      <c r="C726" s="4"/>
      <c r="D726" s="4"/>
    </row>
    <row r="727" ht="15.75" customHeight="1">
      <c r="A727" s="4"/>
      <c r="B727" s="4"/>
      <c r="C727" s="4"/>
      <c r="D727" s="4"/>
    </row>
    <row r="728" ht="15.75" customHeight="1">
      <c r="A728" s="4"/>
      <c r="B728" s="4"/>
      <c r="C728" s="4"/>
      <c r="D728" s="4"/>
    </row>
    <row r="729" ht="15.75" customHeight="1">
      <c r="A729" s="4"/>
      <c r="B729" s="4"/>
      <c r="C729" s="4"/>
      <c r="D729" s="4"/>
    </row>
    <row r="730" ht="15.75" customHeight="1">
      <c r="A730" s="4"/>
      <c r="B730" s="4"/>
      <c r="C730" s="4"/>
      <c r="D730" s="4"/>
    </row>
    <row r="731" ht="15.75" customHeight="1">
      <c r="A731" s="4"/>
      <c r="B731" s="4"/>
      <c r="C731" s="4"/>
      <c r="D731" s="4"/>
    </row>
    <row r="732" ht="15.75" customHeight="1">
      <c r="A732" s="4"/>
      <c r="B732" s="4"/>
      <c r="C732" s="4"/>
      <c r="D732" s="4"/>
    </row>
    <row r="733" ht="15.75" customHeight="1">
      <c r="A733" s="4"/>
      <c r="B733" s="4"/>
      <c r="C733" s="4"/>
      <c r="D733" s="4"/>
    </row>
    <row r="734" ht="15.75" customHeight="1">
      <c r="A734" s="4"/>
      <c r="B734" s="4"/>
      <c r="C734" s="4"/>
      <c r="D734" s="4"/>
    </row>
    <row r="735" ht="15.75" customHeight="1">
      <c r="A735" s="4"/>
      <c r="B735" s="4"/>
      <c r="C735" s="4"/>
      <c r="D735" s="4"/>
    </row>
    <row r="736" ht="15.75" customHeight="1">
      <c r="A736" s="4"/>
      <c r="B736" s="4"/>
      <c r="C736" s="4"/>
      <c r="D736" s="4"/>
    </row>
    <row r="737" ht="15.75" customHeight="1">
      <c r="A737" s="4"/>
      <c r="B737" s="4"/>
      <c r="C737" s="4"/>
      <c r="D737" s="4"/>
    </row>
    <row r="738" ht="15.75" customHeight="1">
      <c r="A738" s="4"/>
      <c r="B738" s="4"/>
      <c r="C738" s="4"/>
      <c r="D738" s="4"/>
    </row>
    <row r="739" ht="15.75" customHeight="1">
      <c r="A739" s="4"/>
      <c r="B739" s="4"/>
      <c r="C739" s="4"/>
      <c r="D739" s="4"/>
    </row>
    <row r="740" ht="15.75" customHeight="1">
      <c r="A740" s="4"/>
      <c r="B740" s="4"/>
      <c r="C740" s="4"/>
      <c r="D740" s="4"/>
    </row>
    <row r="741" ht="15.75" customHeight="1">
      <c r="A741" s="4"/>
      <c r="B741" s="4"/>
      <c r="C741" s="4"/>
      <c r="D741" s="4"/>
    </row>
    <row r="742" ht="15.75" customHeight="1">
      <c r="A742" s="4"/>
      <c r="B742" s="4"/>
      <c r="C742" s="4"/>
      <c r="D742" s="4"/>
    </row>
    <row r="743" ht="15.75" customHeight="1">
      <c r="A743" s="4"/>
      <c r="B743" s="4"/>
      <c r="C743" s="4"/>
      <c r="D743" s="4"/>
    </row>
    <row r="744" ht="15.75" customHeight="1">
      <c r="A744" s="4"/>
      <c r="B744" s="4"/>
      <c r="C744" s="4"/>
      <c r="D744" s="4"/>
    </row>
    <row r="745" ht="15.75" customHeight="1">
      <c r="A745" s="4"/>
      <c r="B745" s="4"/>
      <c r="C745" s="4"/>
      <c r="D745" s="4"/>
    </row>
    <row r="746" ht="15.75" customHeight="1">
      <c r="A746" s="4"/>
      <c r="B746" s="4"/>
      <c r="C746" s="4"/>
      <c r="D746" s="4"/>
    </row>
    <row r="747" ht="15.75" customHeight="1">
      <c r="A747" s="4"/>
      <c r="B747" s="4"/>
      <c r="C747" s="4"/>
      <c r="D747" s="4"/>
    </row>
    <row r="748" ht="15.75" customHeight="1">
      <c r="A748" s="4"/>
      <c r="B748" s="4"/>
      <c r="C748" s="4"/>
      <c r="D748" s="4"/>
    </row>
    <row r="749" ht="15.75" customHeight="1">
      <c r="A749" s="4"/>
      <c r="B749" s="4"/>
      <c r="C749" s="4"/>
      <c r="D749" s="4"/>
    </row>
    <row r="750" ht="15.75" customHeight="1">
      <c r="A750" s="4"/>
      <c r="B750" s="4"/>
      <c r="C750" s="4"/>
      <c r="D750" s="4"/>
    </row>
    <row r="751" ht="15.75" customHeight="1">
      <c r="A751" s="4"/>
      <c r="B751" s="4"/>
      <c r="C751" s="4"/>
      <c r="D751" s="4"/>
    </row>
    <row r="752" ht="15.75" customHeight="1">
      <c r="A752" s="4"/>
      <c r="B752" s="4"/>
      <c r="C752" s="4"/>
      <c r="D752" s="4"/>
    </row>
    <row r="753" ht="15.75" customHeight="1">
      <c r="A753" s="4"/>
      <c r="B753" s="4"/>
      <c r="C753" s="4"/>
      <c r="D753" s="4"/>
    </row>
    <row r="754" ht="15.75" customHeight="1">
      <c r="A754" s="4"/>
      <c r="B754" s="4"/>
      <c r="C754" s="4"/>
      <c r="D754" s="4"/>
    </row>
    <row r="755" ht="15.75" customHeight="1">
      <c r="A755" s="4"/>
      <c r="B755" s="4"/>
      <c r="C755" s="4"/>
      <c r="D755" s="4"/>
    </row>
    <row r="756" ht="15.75" customHeight="1">
      <c r="A756" s="4"/>
      <c r="B756" s="4"/>
      <c r="C756" s="4"/>
      <c r="D756" s="4"/>
    </row>
    <row r="757" ht="15.75" customHeight="1">
      <c r="A757" s="4"/>
      <c r="B757" s="4"/>
      <c r="C757" s="4"/>
      <c r="D757" s="4"/>
    </row>
    <row r="758" ht="15.75" customHeight="1">
      <c r="A758" s="4"/>
      <c r="B758" s="4"/>
      <c r="C758" s="4"/>
      <c r="D758" s="4"/>
    </row>
    <row r="759" ht="15.75" customHeight="1">
      <c r="A759" s="4"/>
      <c r="B759" s="4"/>
      <c r="C759" s="4"/>
      <c r="D759" s="4"/>
    </row>
    <row r="760" ht="15.75" customHeight="1">
      <c r="A760" s="4"/>
      <c r="B760" s="4"/>
      <c r="C760" s="4"/>
      <c r="D760" s="4"/>
    </row>
    <row r="761" ht="15.75" customHeight="1">
      <c r="A761" s="4"/>
      <c r="B761" s="4"/>
      <c r="C761" s="4"/>
      <c r="D761" s="4"/>
    </row>
    <row r="762" ht="15.75" customHeight="1">
      <c r="A762" s="4"/>
      <c r="B762" s="4"/>
      <c r="C762" s="4"/>
      <c r="D762" s="4"/>
    </row>
    <row r="763" ht="15.75" customHeight="1">
      <c r="A763" s="4"/>
      <c r="B763" s="4"/>
      <c r="C763" s="4"/>
      <c r="D763" s="4"/>
    </row>
    <row r="764" ht="15.75" customHeight="1">
      <c r="A764" s="4"/>
      <c r="B764" s="4"/>
      <c r="C764" s="4"/>
      <c r="D764" s="4"/>
    </row>
    <row r="765" ht="15.75" customHeight="1">
      <c r="A765" s="4"/>
      <c r="B765" s="4"/>
      <c r="C765" s="4"/>
      <c r="D765" s="4"/>
    </row>
    <row r="766" ht="15.75" customHeight="1">
      <c r="A766" s="4"/>
      <c r="B766" s="4"/>
      <c r="C766" s="4"/>
      <c r="D766" s="4"/>
    </row>
    <row r="767" ht="15.75" customHeight="1">
      <c r="A767" s="4"/>
      <c r="B767" s="4"/>
      <c r="C767" s="4"/>
      <c r="D767" s="4"/>
    </row>
    <row r="768" ht="15.75" customHeight="1">
      <c r="A768" s="4"/>
      <c r="B768" s="4"/>
      <c r="C768" s="4"/>
      <c r="D768" s="4"/>
    </row>
    <row r="769" ht="15.75" customHeight="1">
      <c r="A769" s="4"/>
      <c r="B769" s="4"/>
      <c r="C769" s="4"/>
      <c r="D769" s="4"/>
    </row>
    <row r="770" ht="15.75" customHeight="1">
      <c r="A770" s="4"/>
      <c r="B770" s="4"/>
      <c r="C770" s="4"/>
      <c r="D770" s="4"/>
    </row>
    <row r="771" ht="15.75" customHeight="1">
      <c r="A771" s="4"/>
      <c r="B771" s="4"/>
      <c r="C771" s="4"/>
      <c r="D771" s="4"/>
    </row>
    <row r="772" ht="15.75" customHeight="1">
      <c r="A772" s="4"/>
      <c r="B772" s="4"/>
      <c r="C772" s="4"/>
      <c r="D772" s="4"/>
    </row>
    <row r="773" ht="15.75" customHeight="1">
      <c r="A773" s="4"/>
      <c r="B773" s="4"/>
      <c r="C773" s="4"/>
      <c r="D773" s="4"/>
    </row>
    <row r="774" ht="15.75" customHeight="1">
      <c r="A774" s="4"/>
      <c r="B774" s="4"/>
      <c r="C774" s="4"/>
      <c r="D774" s="4"/>
    </row>
    <row r="775" ht="15.75" customHeight="1">
      <c r="A775" s="4"/>
      <c r="B775" s="4"/>
      <c r="C775" s="4"/>
      <c r="D775" s="4"/>
    </row>
    <row r="776" ht="15.75" customHeight="1">
      <c r="A776" s="4"/>
      <c r="B776" s="4"/>
      <c r="C776" s="4"/>
      <c r="D776" s="4"/>
    </row>
    <row r="777" ht="15.75" customHeight="1">
      <c r="A777" s="4"/>
      <c r="B777" s="4"/>
      <c r="C777" s="4"/>
      <c r="D777" s="4"/>
    </row>
    <row r="778" ht="15.75" customHeight="1">
      <c r="A778" s="4"/>
      <c r="B778" s="4"/>
      <c r="C778" s="4"/>
      <c r="D778" s="4"/>
    </row>
    <row r="779" ht="15.75" customHeight="1">
      <c r="A779" s="4"/>
      <c r="B779" s="4"/>
      <c r="C779" s="4"/>
      <c r="D779" s="4"/>
    </row>
    <row r="780" ht="15.75" customHeight="1">
      <c r="A780" s="4"/>
      <c r="B780" s="4"/>
      <c r="C780" s="4"/>
      <c r="D780" s="4"/>
    </row>
    <row r="781" ht="15.75" customHeight="1">
      <c r="A781" s="4"/>
      <c r="B781" s="4"/>
      <c r="C781" s="4"/>
      <c r="D781" s="4"/>
    </row>
    <row r="782" ht="15.75" customHeight="1">
      <c r="A782" s="4"/>
      <c r="B782" s="4"/>
      <c r="C782" s="4"/>
      <c r="D782" s="4"/>
    </row>
    <row r="783" ht="15.75" customHeight="1">
      <c r="A783" s="4"/>
      <c r="B783" s="4"/>
      <c r="C783" s="4"/>
      <c r="D783" s="4"/>
    </row>
    <row r="784" ht="15.75" customHeight="1">
      <c r="A784" s="4"/>
      <c r="B784" s="4"/>
      <c r="C784" s="4"/>
      <c r="D784" s="4"/>
    </row>
    <row r="785" ht="15.75" customHeight="1">
      <c r="A785" s="4"/>
      <c r="B785" s="4"/>
      <c r="C785" s="4"/>
      <c r="D785" s="4"/>
    </row>
    <row r="786" ht="15.75" customHeight="1">
      <c r="A786" s="4"/>
      <c r="B786" s="4"/>
      <c r="C786" s="4"/>
      <c r="D786" s="4"/>
    </row>
    <row r="787" ht="15.75" customHeight="1">
      <c r="A787" s="4"/>
      <c r="B787" s="4"/>
      <c r="C787" s="4"/>
      <c r="D787" s="4"/>
    </row>
    <row r="788" ht="15.75" customHeight="1">
      <c r="A788" s="4"/>
      <c r="B788" s="4"/>
      <c r="C788" s="4"/>
      <c r="D788" s="4"/>
    </row>
    <row r="789" ht="15.75" customHeight="1">
      <c r="A789" s="4"/>
      <c r="B789" s="4"/>
      <c r="C789" s="4"/>
      <c r="D789" s="4"/>
    </row>
    <row r="790" ht="15.75" customHeight="1">
      <c r="A790" s="4"/>
      <c r="B790" s="4"/>
      <c r="C790" s="4"/>
      <c r="D790" s="4"/>
    </row>
    <row r="791" ht="15.75" customHeight="1">
      <c r="A791" s="4"/>
      <c r="B791" s="4"/>
      <c r="C791" s="4"/>
      <c r="D791" s="4"/>
    </row>
    <row r="792" ht="15.75" customHeight="1">
      <c r="A792" s="4"/>
      <c r="B792" s="4"/>
      <c r="C792" s="4"/>
      <c r="D792" s="4"/>
    </row>
    <row r="793" ht="15.75" customHeight="1">
      <c r="A793" s="4"/>
      <c r="B793" s="4"/>
      <c r="C793" s="4"/>
      <c r="D793" s="4"/>
    </row>
    <row r="794" ht="15.75" customHeight="1">
      <c r="A794" s="4"/>
      <c r="B794" s="4"/>
      <c r="C794" s="4"/>
      <c r="D794" s="4"/>
    </row>
    <row r="795" ht="15.75" customHeight="1">
      <c r="A795" s="4"/>
      <c r="B795" s="4"/>
      <c r="C795" s="4"/>
      <c r="D795" s="4"/>
    </row>
    <row r="796" ht="15.75" customHeight="1">
      <c r="A796" s="4"/>
      <c r="B796" s="4"/>
      <c r="C796" s="4"/>
      <c r="D796" s="4"/>
    </row>
    <row r="797" ht="15.75" customHeight="1">
      <c r="A797" s="4"/>
      <c r="B797" s="4"/>
      <c r="C797" s="4"/>
      <c r="D797" s="4"/>
    </row>
    <row r="798" ht="15.75" customHeight="1">
      <c r="A798" s="4"/>
      <c r="B798" s="4"/>
      <c r="C798" s="4"/>
      <c r="D798" s="4"/>
    </row>
    <row r="799" ht="15.75" customHeight="1">
      <c r="A799" s="4"/>
      <c r="B799" s="4"/>
      <c r="C799" s="4"/>
      <c r="D799" s="4"/>
    </row>
    <row r="800" ht="15.75" customHeight="1">
      <c r="A800" s="4"/>
      <c r="B800" s="4"/>
      <c r="C800" s="4"/>
      <c r="D800" s="4"/>
    </row>
    <row r="801" ht="15.75" customHeight="1">
      <c r="A801" s="4"/>
      <c r="B801" s="4"/>
      <c r="C801" s="4"/>
      <c r="D801" s="4"/>
    </row>
    <row r="802" ht="15.75" customHeight="1">
      <c r="A802" s="4"/>
      <c r="B802" s="4"/>
      <c r="C802" s="4"/>
      <c r="D802" s="4"/>
    </row>
    <row r="803" ht="15.75" customHeight="1">
      <c r="A803" s="4"/>
      <c r="B803" s="4"/>
      <c r="C803" s="4"/>
      <c r="D803" s="4"/>
    </row>
    <row r="804" ht="15.75" customHeight="1">
      <c r="A804" s="4"/>
      <c r="B804" s="4"/>
      <c r="C804" s="4"/>
      <c r="D804" s="4"/>
    </row>
    <row r="805" ht="15.75" customHeight="1">
      <c r="A805" s="4"/>
      <c r="B805" s="4"/>
      <c r="C805" s="4"/>
      <c r="D805" s="4"/>
    </row>
    <row r="806" ht="15.75" customHeight="1">
      <c r="A806" s="4"/>
      <c r="B806" s="4"/>
      <c r="C806" s="4"/>
      <c r="D806" s="4"/>
    </row>
    <row r="807" ht="15.75" customHeight="1">
      <c r="A807" s="4"/>
      <c r="B807" s="4"/>
      <c r="C807" s="4"/>
      <c r="D807" s="4"/>
    </row>
    <row r="808" ht="15.75" customHeight="1">
      <c r="A808" s="4"/>
      <c r="B808" s="4"/>
      <c r="C808" s="4"/>
      <c r="D808" s="4"/>
    </row>
    <row r="809" ht="15.75" customHeight="1">
      <c r="A809" s="4"/>
      <c r="B809" s="4"/>
      <c r="C809" s="4"/>
      <c r="D809" s="4"/>
    </row>
    <row r="810" ht="15.75" customHeight="1">
      <c r="A810" s="4"/>
      <c r="B810" s="4"/>
      <c r="C810" s="4"/>
      <c r="D810" s="4"/>
    </row>
    <row r="811" ht="15.75" customHeight="1">
      <c r="A811" s="4"/>
      <c r="B811" s="4"/>
      <c r="C811" s="4"/>
      <c r="D811" s="4"/>
    </row>
    <row r="812" ht="15.75" customHeight="1">
      <c r="A812" s="4"/>
      <c r="B812" s="4"/>
      <c r="C812" s="4"/>
      <c r="D812" s="4"/>
    </row>
    <row r="813" ht="15.75" customHeight="1">
      <c r="A813" s="4"/>
      <c r="B813" s="4"/>
      <c r="C813" s="4"/>
      <c r="D813" s="4"/>
    </row>
    <row r="814" ht="15.75" customHeight="1">
      <c r="A814" s="4"/>
      <c r="B814" s="4"/>
      <c r="C814" s="4"/>
      <c r="D814" s="4"/>
    </row>
    <row r="815" ht="15.75" customHeight="1">
      <c r="A815" s="4"/>
      <c r="B815" s="4"/>
      <c r="C815" s="4"/>
      <c r="D815" s="4"/>
    </row>
    <row r="816" ht="15.75" customHeight="1">
      <c r="A816" s="4"/>
      <c r="B816" s="4"/>
      <c r="C816" s="4"/>
      <c r="D816" s="4"/>
    </row>
    <row r="817" ht="15.75" customHeight="1">
      <c r="A817" s="4"/>
      <c r="B817" s="4"/>
      <c r="C817" s="4"/>
      <c r="D817" s="4"/>
    </row>
    <row r="818" ht="15.75" customHeight="1">
      <c r="A818" s="4"/>
      <c r="B818" s="4"/>
      <c r="C818" s="4"/>
      <c r="D818" s="4"/>
    </row>
    <row r="819" ht="15.75" customHeight="1">
      <c r="A819" s="4"/>
      <c r="B819" s="4"/>
      <c r="C819" s="4"/>
      <c r="D819" s="4"/>
    </row>
    <row r="820" ht="15.75" customHeight="1">
      <c r="A820" s="4"/>
      <c r="B820" s="4"/>
      <c r="C820" s="4"/>
      <c r="D820" s="4"/>
    </row>
    <row r="821" ht="15.75" customHeight="1">
      <c r="A821" s="4"/>
      <c r="B821" s="4"/>
      <c r="C821" s="4"/>
      <c r="D821" s="4"/>
    </row>
    <row r="822" ht="15.75" customHeight="1">
      <c r="A822" s="4"/>
      <c r="B822" s="4"/>
      <c r="C822" s="4"/>
      <c r="D822" s="4"/>
    </row>
    <row r="823" ht="15.75" customHeight="1">
      <c r="A823" s="4"/>
      <c r="B823" s="4"/>
      <c r="C823" s="4"/>
      <c r="D823" s="4"/>
    </row>
    <row r="824" ht="15.75" customHeight="1">
      <c r="A824" s="4"/>
      <c r="B824" s="4"/>
      <c r="C824" s="4"/>
      <c r="D824" s="4"/>
    </row>
    <row r="825" ht="15.75" customHeight="1">
      <c r="A825" s="4"/>
      <c r="B825" s="4"/>
      <c r="C825" s="4"/>
      <c r="D825" s="4"/>
    </row>
    <row r="826" ht="15.75" customHeight="1">
      <c r="A826" s="4"/>
      <c r="B826" s="4"/>
      <c r="C826" s="4"/>
      <c r="D826" s="4"/>
    </row>
    <row r="827" ht="15.75" customHeight="1">
      <c r="A827" s="4"/>
      <c r="B827" s="4"/>
      <c r="C827" s="4"/>
      <c r="D827" s="4"/>
    </row>
    <row r="828" ht="15.75" customHeight="1">
      <c r="A828" s="4"/>
      <c r="B828" s="4"/>
      <c r="C828" s="4"/>
      <c r="D828" s="4"/>
    </row>
    <row r="829" ht="15.75" customHeight="1">
      <c r="A829" s="4"/>
      <c r="B829" s="4"/>
      <c r="C829" s="4"/>
      <c r="D829" s="4"/>
    </row>
    <row r="830" ht="15.75" customHeight="1">
      <c r="A830" s="4"/>
      <c r="B830" s="4"/>
      <c r="C830" s="4"/>
      <c r="D830" s="4"/>
    </row>
    <row r="831" ht="15.75" customHeight="1">
      <c r="A831" s="4"/>
      <c r="B831" s="4"/>
      <c r="C831" s="4"/>
      <c r="D831" s="4"/>
    </row>
    <row r="832" ht="15.75" customHeight="1">
      <c r="A832" s="4"/>
      <c r="B832" s="4"/>
      <c r="C832" s="4"/>
      <c r="D832" s="4"/>
    </row>
    <row r="833" ht="15.75" customHeight="1">
      <c r="A833" s="4"/>
      <c r="B833" s="4"/>
      <c r="C833" s="4"/>
      <c r="D833" s="4"/>
    </row>
    <row r="834" ht="15.75" customHeight="1">
      <c r="A834" s="4"/>
      <c r="B834" s="4"/>
      <c r="C834" s="4"/>
      <c r="D834" s="4"/>
    </row>
    <row r="835" ht="15.75" customHeight="1">
      <c r="A835" s="4"/>
      <c r="B835" s="4"/>
      <c r="C835" s="4"/>
      <c r="D835" s="4"/>
    </row>
    <row r="836" ht="15.75" customHeight="1">
      <c r="A836" s="4"/>
      <c r="B836" s="4"/>
      <c r="C836" s="4"/>
      <c r="D836" s="4"/>
    </row>
    <row r="837" ht="15.75" customHeight="1">
      <c r="A837" s="4"/>
      <c r="B837" s="4"/>
      <c r="C837" s="4"/>
      <c r="D837" s="4"/>
    </row>
    <row r="838" ht="15.75" customHeight="1">
      <c r="A838" s="4"/>
      <c r="B838" s="4"/>
      <c r="C838" s="4"/>
      <c r="D838" s="4"/>
    </row>
    <row r="839" ht="15.75" customHeight="1">
      <c r="A839" s="4"/>
      <c r="B839" s="4"/>
      <c r="C839" s="4"/>
      <c r="D839" s="4"/>
    </row>
    <row r="840" ht="15.75" customHeight="1">
      <c r="A840" s="4"/>
      <c r="B840" s="4"/>
      <c r="C840" s="4"/>
      <c r="D840" s="4"/>
    </row>
    <row r="841" ht="15.75" customHeight="1">
      <c r="A841" s="4"/>
      <c r="B841" s="4"/>
      <c r="C841" s="4"/>
      <c r="D841" s="4"/>
    </row>
    <row r="842" ht="15.75" customHeight="1">
      <c r="A842" s="4"/>
      <c r="B842" s="4"/>
      <c r="C842" s="4"/>
      <c r="D842" s="4"/>
    </row>
    <row r="843" ht="15.75" customHeight="1">
      <c r="A843" s="4"/>
      <c r="B843" s="4"/>
      <c r="C843" s="4"/>
      <c r="D843" s="4"/>
    </row>
    <row r="844" ht="15.75" customHeight="1">
      <c r="A844" s="4"/>
      <c r="B844" s="4"/>
      <c r="C844" s="4"/>
      <c r="D844" s="4"/>
    </row>
    <row r="845" ht="15.75" customHeight="1">
      <c r="A845" s="4"/>
      <c r="B845" s="4"/>
      <c r="C845" s="4"/>
      <c r="D845" s="4"/>
    </row>
    <row r="846" ht="15.75" customHeight="1">
      <c r="A846" s="4"/>
      <c r="B846" s="4"/>
      <c r="C846" s="4"/>
      <c r="D846" s="4"/>
    </row>
    <row r="847" ht="15.75" customHeight="1">
      <c r="A847" s="4"/>
      <c r="B847" s="4"/>
      <c r="C847" s="4"/>
      <c r="D847" s="4"/>
    </row>
    <row r="848" ht="15.75" customHeight="1">
      <c r="A848" s="4"/>
      <c r="B848" s="4"/>
      <c r="C848" s="4"/>
      <c r="D848" s="4"/>
    </row>
    <row r="849" ht="15.75" customHeight="1">
      <c r="A849" s="4"/>
      <c r="B849" s="4"/>
      <c r="C849" s="4"/>
      <c r="D849" s="4"/>
    </row>
    <row r="850" ht="15.75" customHeight="1">
      <c r="A850" s="4"/>
      <c r="B850" s="4"/>
      <c r="C850" s="4"/>
      <c r="D850" s="4"/>
    </row>
    <row r="851" ht="15.75" customHeight="1">
      <c r="A851" s="4"/>
      <c r="B851" s="4"/>
      <c r="C851" s="4"/>
      <c r="D851" s="4"/>
    </row>
    <row r="852" ht="15.75" customHeight="1">
      <c r="A852" s="4"/>
      <c r="B852" s="4"/>
      <c r="C852" s="4"/>
      <c r="D852" s="4"/>
    </row>
    <row r="853" ht="15.75" customHeight="1">
      <c r="A853" s="4"/>
      <c r="B853" s="4"/>
      <c r="C853" s="4"/>
      <c r="D853" s="4"/>
    </row>
    <row r="854" ht="15.75" customHeight="1">
      <c r="A854" s="4"/>
      <c r="B854" s="4"/>
      <c r="C854" s="4"/>
      <c r="D854" s="4"/>
    </row>
    <row r="855" ht="15.75" customHeight="1">
      <c r="A855" s="4"/>
      <c r="B855" s="4"/>
      <c r="C855" s="4"/>
      <c r="D855" s="4"/>
    </row>
    <row r="856" ht="15.75" customHeight="1">
      <c r="A856" s="4"/>
      <c r="B856" s="4"/>
      <c r="C856" s="4"/>
      <c r="D856" s="4"/>
    </row>
    <row r="857" ht="15.75" customHeight="1">
      <c r="A857" s="4"/>
      <c r="B857" s="4"/>
      <c r="C857" s="4"/>
      <c r="D857" s="4"/>
    </row>
    <row r="858" ht="15.75" customHeight="1">
      <c r="A858" s="4"/>
      <c r="B858" s="4"/>
      <c r="C858" s="4"/>
      <c r="D858" s="4"/>
    </row>
    <row r="859" ht="15.75" customHeight="1">
      <c r="A859" s="4"/>
      <c r="B859" s="4"/>
      <c r="C859" s="4"/>
      <c r="D859" s="4"/>
    </row>
    <row r="860" ht="15.75" customHeight="1">
      <c r="A860" s="4"/>
      <c r="B860" s="4"/>
      <c r="C860" s="4"/>
      <c r="D860" s="4"/>
    </row>
    <row r="861" ht="15.75" customHeight="1">
      <c r="A861" s="4"/>
      <c r="B861" s="4"/>
      <c r="C861" s="4"/>
      <c r="D861" s="4"/>
    </row>
    <row r="862" ht="15.75" customHeight="1">
      <c r="A862" s="4"/>
      <c r="B862" s="4"/>
      <c r="C862" s="4"/>
      <c r="D862" s="4"/>
    </row>
    <row r="863" ht="15.75" customHeight="1">
      <c r="A863" s="4"/>
      <c r="B863" s="4"/>
      <c r="C863" s="4"/>
      <c r="D863" s="4"/>
    </row>
    <row r="864" ht="15.75" customHeight="1">
      <c r="A864" s="4"/>
      <c r="B864" s="4"/>
      <c r="C864" s="4"/>
      <c r="D864" s="4"/>
    </row>
    <row r="865" ht="15.75" customHeight="1">
      <c r="A865" s="4"/>
      <c r="B865" s="4"/>
      <c r="C865" s="4"/>
      <c r="D865" s="4"/>
    </row>
    <row r="866" ht="15.75" customHeight="1">
      <c r="A866" s="4"/>
      <c r="B866" s="4"/>
      <c r="C866" s="4"/>
      <c r="D866" s="4"/>
    </row>
    <row r="867" ht="15.75" customHeight="1">
      <c r="A867" s="4"/>
      <c r="B867" s="4"/>
      <c r="C867" s="4"/>
      <c r="D867" s="4"/>
    </row>
    <row r="868" ht="15.75" customHeight="1">
      <c r="A868" s="4"/>
      <c r="B868" s="4"/>
      <c r="C868" s="4"/>
      <c r="D868" s="4"/>
    </row>
    <row r="869" ht="15.75" customHeight="1">
      <c r="A869" s="4"/>
      <c r="B869" s="4"/>
      <c r="C869" s="4"/>
      <c r="D869" s="4"/>
    </row>
    <row r="870" ht="15.75" customHeight="1">
      <c r="A870" s="4"/>
      <c r="B870" s="4"/>
      <c r="C870" s="4"/>
      <c r="D870" s="4"/>
    </row>
    <row r="871" ht="15.75" customHeight="1">
      <c r="A871" s="4"/>
      <c r="B871" s="4"/>
      <c r="C871" s="4"/>
      <c r="D871" s="4"/>
    </row>
    <row r="872" ht="15.75" customHeight="1">
      <c r="A872" s="4"/>
      <c r="B872" s="4"/>
      <c r="C872" s="4"/>
      <c r="D872" s="4"/>
    </row>
    <row r="873" ht="15.75" customHeight="1">
      <c r="A873" s="4"/>
      <c r="B873" s="4"/>
      <c r="C873" s="4"/>
      <c r="D873" s="4"/>
    </row>
    <row r="874" ht="15.75" customHeight="1">
      <c r="A874" s="4"/>
      <c r="B874" s="4"/>
      <c r="C874" s="4"/>
      <c r="D874" s="4"/>
    </row>
    <row r="875" ht="15.75" customHeight="1">
      <c r="A875" s="4"/>
      <c r="B875" s="4"/>
      <c r="C875" s="4"/>
      <c r="D875" s="4"/>
    </row>
    <row r="876" ht="15.75" customHeight="1">
      <c r="A876" s="4"/>
      <c r="B876" s="4"/>
      <c r="C876" s="4"/>
      <c r="D876" s="4"/>
    </row>
    <row r="877" ht="15.75" customHeight="1">
      <c r="A877" s="4"/>
      <c r="B877" s="4"/>
      <c r="C877" s="4"/>
      <c r="D877" s="4"/>
    </row>
    <row r="878" ht="15.75" customHeight="1">
      <c r="A878" s="4"/>
      <c r="B878" s="4"/>
      <c r="C878" s="4"/>
      <c r="D878" s="4"/>
    </row>
    <row r="879" ht="15.75" customHeight="1">
      <c r="A879" s="4"/>
      <c r="B879" s="4"/>
      <c r="C879" s="4"/>
      <c r="D879" s="4"/>
    </row>
    <row r="880" ht="15.75" customHeight="1">
      <c r="A880" s="4"/>
      <c r="B880" s="4"/>
      <c r="C880" s="4"/>
      <c r="D880" s="4"/>
    </row>
    <row r="881" ht="15.75" customHeight="1">
      <c r="A881" s="4"/>
      <c r="B881" s="4"/>
      <c r="C881" s="4"/>
      <c r="D881" s="4"/>
    </row>
    <row r="882" ht="15.75" customHeight="1">
      <c r="A882" s="4"/>
      <c r="B882" s="4"/>
      <c r="C882" s="4"/>
      <c r="D882" s="4"/>
    </row>
    <row r="883" ht="15.75" customHeight="1">
      <c r="A883" s="4"/>
      <c r="B883" s="4"/>
      <c r="C883" s="4"/>
      <c r="D883" s="4"/>
    </row>
    <row r="884" ht="15.75" customHeight="1">
      <c r="A884" s="4"/>
      <c r="B884" s="4"/>
      <c r="C884" s="4"/>
      <c r="D884" s="4"/>
    </row>
    <row r="885" ht="15.75" customHeight="1">
      <c r="A885" s="4"/>
      <c r="B885" s="4"/>
      <c r="C885" s="4"/>
      <c r="D885" s="4"/>
    </row>
    <row r="886" ht="15.75" customHeight="1">
      <c r="A886" s="4"/>
      <c r="B886" s="4"/>
      <c r="C886" s="4"/>
      <c r="D886" s="4"/>
    </row>
    <row r="887" ht="15.75" customHeight="1">
      <c r="A887" s="4"/>
      <c r="B887" s="4"/>
      <c r="C887" s="4"/>
      <c r="D887" s="4"/>
    </row>
    <row r="888" ht="15.75" customHeight="1">
      <c r="A888" s="4"/>
      <c r="B888" s="4"/>
      <c r="C888" s="4"/>
      <c r="D888" s="4"/>
    </row>
    <row r="889" ht="15.75" customHeight="1">
      <c r="A889" s="4"/>
      <c r="B889" s="4"/>
      <c r="C889" s="4"/>
      <c r="D889" s="4"/>
    </row>
    <row r="890" ht="15.75" customHeight="1">
      <c r="A890" s="4"/>
      <c r="B890" s="4"/>
      <c r="C890" s="4"/>
      <c r="D890" s="4"/>
    </row>
    <row r="891" ht="15.75" customHeight="1">
      <c r="A891" s="4"/>
      <c r="B891" s="4"/>
      <c r="C891" s="4"/>
      <c r="D891" s="4"/>
    </row>
    <row r="892" ht="15.75" customHeight="1">
      <c r="A892" s="4"/>
      <c r="B892" s="4"/>
      <c r="C892" s="4"/>
      <c r="D892" s="4"/>
    </row>
    <row r="893" ht="15.75" customHeight="1">
      <c r="A893" s="4"/>
      <c r="B893" s="4"/>
      <c r="C893" s="4"/>
      <c r="D893" s="4"/>
    </row>
    <row r="894" ht="15.75" customHeight="1">
      <c r="A894" s="4"/>
      <c r="B894" s="4"/>
      <c r="C894" s="4"/>
      <c r="D894" s="4"/>
    </row>
    <row r="895" ht="15.75" customHeight="1">
      <c r="A895" s="4"/>
      <c r="B895" s="4"/>
      <c r="C895" s="4"/>
      <c r="D895" s="4"/>
    </row>
    <row r="896" ht="15.75" customHeight="1">
      <c r="A896" s="4"/>
      <c r="B896" s="4"/>
      <c r="C896" s="4"/>
      <c r="D896" s="4"/>
    </row>
    <row r="897" ht="15.75" customHeight="1">
      <c r="A897" s="4"/>
      <c r="B897" s="4"/>
      <c r="C897" s="4"/>
      <c r="D897" s="4"/>
    </row>
    <row r="898" ht="15.75" customHeight="1">
      <c r="A898" s="4"/>
      <c r="B898" s="4"/>
      <c r="C898" s="4"/>
      <c r="D898" s="4"/>
    </row>
    <row r="899" ht="15.75" customHeight="1">
      <c r="A899" s="4"/>
      <c r="B899" s="4"/>
      <c r="C899" s="4"/>
      <c r="D899" s="4"/>
    </row>
    <row r="900" ht="15.75" customHeight="1">
      <c r="A900" s="4"/>
      <c r="B900" s="4"/>
      <c r="C900" s="4"/>
      <c r="D900" s="4"/>
    </row>
    <row r="901" ht="15.75" customHeight="1">
      <c r="A901" s="4"/>
      <c r="B901" s="4"/>
      <c r="C901" s="4"/>
      <c r="D901" s="4"/>
    </row>
    <row r="902" ht="15.75" customHeight="1">
      <c r="A902" s="4"/>
      <c r="B902" s="4"/>
      <c r="C902" s="4"/>
      <c r="D902" s="4"/>
    </row>
    <row r="903" ht="15.75" customHeight="1">
      <c r="A903" s="4"/>
      <c r="B903" s="4"/>
      <c r="C903" s="4"/>
      <c r="D903" s="4"/>
    </row>
    <row r="904" ht="15.75" customHeight="1">
      <c r="A904" s="4"/>
      <c r="B904" s="4"/>
      <c r="C904" s="4"/>
      <c r="D904" s="4"/>
    </row>
    <row r="905" ht="15.75" customHeight="1">
      <c r="A905" s="4"/>
      <c r="B905" s="4"/>
      <c r="C905" s="4"/>
      <c r="D905" s="4"/>
    </row>
    <row r="906" ht="15.75" customHeight="1">
      <c r="A906" s="4"/>
      <c r="B906" s="4"/>
      <c r="C906" s="4"/>
      <c r="D906" s="4"/>
    </row>
    <row r="907" ht="15.75" customHeight="1">
      <c r="A907" s="4"/>
      <c r="B907" s="4"/>
      <c r="C907" s="4"/>
      <c r="D907" s="4"/>
    </row>
    <row r="908" ht="15.75" customHeight="1">
      <c r="A908" s="4"/>
      <c r="B908" s="4"/>
      <c r="C908" s="4"/>
      <c r="D908" s="4"/>
    </row>
    <row r="909" ht="15.75" customHeight="1">
      <c r="A909" s="4"/>
      <c r="B909" s="4"/>
      <c r="C909" s="4"/>
      <c r="D909" s="4"/>
    </row>
    <row r="910" ht="15.75" customHeight="1">
      <c r="A910" s="4"/>
      <c r="B910" s="4"/>
      <c r="C910" s="4"/>
      <c r="D910" s="4"/>
    </row>
    <row r="911" ht="15.75" customHeight="1">
      <c r="A911" s="4"/>
      <c r="B911" s="4"/>
      <c r="C911" s="4"/>
      <c r="D911" s="4"/>
    </row>
    <row r="912" ht="15.75" customHeight="1">
      <c r="A912" s="4"/>
      <c r="B912" s="4"/>
      <c r="C912" s="4"/>
      <c r="D912" s="4"/>
    </row>
    <row r="913" ht="15.75" customHeight="1">
      <c r="A913" s="4"/>
      <c r="B913" s="4"/>
      <c r="C913" s="4"/>
      <c r="D913" s="4"/>
    </row>
    <row r="914" ht="15.75" customHeight="1">
      <c r="A914" s="4"/>
      <c r="B914" s="4"/>
      <c r="C914" s="4"/>
      <c r="D914" s="4"/>
    </row>
    <row r="915" ht="15.75" customHeight="1">
      <c r="A915" s="4"/>
      <c r="B915" s="4"/>
      <c r="C915" s="4"/>
      <c r="D915" s="4"/>
    </row>
    <row r="916" ht="15.75" customHeight="1">
      <c r="A916" s="4"/>
      <c r="B916" s="4"/>
      <c r="C916" s="4"/>
      <c r="D916" s="4"/>
    </row>
    <row r="917" ht="15.75" customHeight="1">
      <c r="A917" s="4"/>
      <c r="B917" s="4"/>
      <c r="C917" s="4"/>
      <c r="D917" s="4"/>
    </row>
    <row r="918" ht="15.75" customHeight="1">
      <c r="A918" s="4"/>
      <c r="B918" s="4"/>
      <c r="C918" s="4"/>
      <c r="D918" s="4"/>
    </row>
    <row r="919" ht="15.75" customHeight="1">
      <c r="A919" s="4"/>
      <c r="B919" s="4"/>
      <c r="C919" s="4"/>
      <c r="D919" s="4"/>
    </row>
    <row r="920" ht="15.75" customHeight="1">
      <c r="A920" s="4"/>
      <c r="B920" s="4"/>
      <c r="C920" s="4"/>
      <c r="D920" s="4"/>
    </row>
    <row r="921" ht="15.75" customHeight="1">
      <c r="A921" s="4"/>
      <c r="B921" s="4"/>
      <c r="C921" s="4"/>
      <c r="D921" s="4"/>
    </row>
    <row r="922" ht="15.75" customHeight="1">
      <c r="A922" s="4"/>
      <c r="B922" s="4"/>
      <c r="C922" s="4"/>
      <c r="D922" s="4"/>
    </row>
    <row r="923" ht="15.75" customHeight="1">
      <c r="A923" s="4"/>
      <c r="B923" s="4"/>
      <c r="C923" s="4"/>
      <c r="D923" s="4"/>
    </row>
    <row r="924" ht="15.75" customHeight="1">
      <c r="A924" s="4"/>
      <c r="B924" s="4"/>
      <c r="C924" s="4"/>
      <c r="D924" s="4"/>
    </row>
    <row r="925" ht="15.75" customHeight="1">
      <c r="A925" s="4"/>
      <c r="B925" s="4"/>
      <c r="C925" s="4"/>
      <c r="D925" s="4"/>
    </row>
    <row r="926" ht="15.75" customHeight="1">
      <c r="A926" s="4"/>
      <c r="B926" s="4"/>
      <c r="C926" s="4"/>
      <c r="D926" s="4"/>
    </row>
    <row r="927" ht="15.75" customHeight="1">
      <c r="A927" s="4"/>
      <c r="B927" s="4"/>
      <c r="C927" s="4"/>
      <c r="D927" s="4"/>
    </row>
    <row r="928" ht="15.75" customHeight="1">
      <c r="A928" s="4"/>
      <c r="B928" s="4"/>
      <c r="C928" s="4"/>
      <c r="D928" s="4"/>
    </row>
    <row r="929" ht="15.75" customHeight="1">
      <c r="A929" s="4"/>
      <c r="B929" s="4"/>
      <c r="C929" s="4"/>
      <c r="D929" s="4"/>
    </row>
    <row r="930" ht="15.75" customHeight="1">
      <c r="A930" s="4"/>
      <c r="B930" s="4"/>
      <c r="C930" s="4"/>
      <c r="D930" s="4"/>
    </row>
    <row r="931" ht="15.75" customHeight="1">
      <c r="A931" s="4"/>
      <c r="B931" s="4"/>
      <c r="C931" s="4"/>
      <c r="D931" s="4"/>
    </row>
    <row r="932" ht="15.75" customHeight="1">
      <c r="A932" s="4"/>
      <c r="B932" s="4"/>
      <c r="C932" s="4"/>
      <c r="D932" s="4"/>
    </row>
    <row r="933" ht="15.75" customHeight="1">
      <c r="A933" s="4"/>
      <c r="B933" s="4"/>
      <c r="C933" s="4"/>
      <c r="D933" s="4"/>
    </row>
    <row r="934" ht="15.75" customHeight="1">
      <c r="A934" s="4"/>
      <c r="B934" s="4"/>
      <c r="C934" s="4"/>
      <c r="D934" s="4"/>
    </row>
    <row r="935" ht="15.75" customHeight="1">
      <c r="A935" s="4"/>
      <c r="B935" s="4"/>
      <c r="C935" s="4"/>
      <c r="D935" s="4"/>
    </row>
    <row r="936" ht="15.75" customHeight="1">
      <c r="A936" s="4"/>
      <c r="B936" s="4"/>
      <c r="C936" s="4"/>
      <c r="D936" s="4"/>
    </row>
    <row r="937" ht="15.75" customHeight="1">
      <c r="A937" s="4"/>
      <c r="B937" s="4"/>
      <c r="C937" s="4"/>
      <c r="D937" s="4"/>
    </row>
    <row r="938" ht="15.75" customHeight="1">
      <c r="A938" s="4"/>
      <c r="B938" s="4"/>
      <c r="C938" s="4"/>
      <c r="D938" s="4"/>
    </row>
    <row r="939" ht="15.75" customHeight="1">
      <c r="A939" s="4"/>
      <c r="B939" s="4"/>
      <c r="C939" s="4"/>
      <c r="D939" s="4"/>
    </row>
    <row r="940" ht="15.75" customHeight="1">
      <c r="A940" s="4"/>
      <c r="B940" s="4"/>
      <c r="C940" s="4"/>
      <c r="D940" s="4"/>
    </row>
    <row r="941" ht="15.75" customHeight="1">
      <c r="A941" s="4"/>
      <c r="B941" s="4"/>
      <c r="C941" s="4"/>
      <c r="D941" s="4"/>
    </row>
    <row r="942" ht="15.75" customHeight="1">
      <c r="A942" s="4"/>
      <c r="B942" s="4"/>
      <c r="C942" s="4"/>
      <c r="D942" s="4"/>
    </row>
    <row r="943" ht="15.75" customHeight="1">
      <c r="A943" s="4"/>
      <c r="B943" s="4"/>
      <c r="C943" s="4"/>
      <c r="D943" s="4"/>
    </row>
    <row r="944" ht="15.75" customHeight="1">
      <c r="A944" s="4"/>
      <c r="B944" s="4"/>
      <c r="C944" s="4"/>
      <c r="D944" s="4"/>
    </row>
    <row r="945" ht="15.75" customHeight="1">
      <c r="A945" s="4"/>
      <c r="B945" s="4"/>
      <c r="C945" s="4"/>
      <c r="D945" s="4"/>
    </row>
    <row r="946" ht="15.75" customHeight="1">
      <c r="A946" s="4"/>
      <c r="B946" s="4"/>
      <c r="C946" s="4"/>
      <c r="D946" s="4"/>
    </row>
    <row r="947" ht="15.75" customHeight="1">
      <c r="A947" s="4"/>
      <c r="B947" s="4"/>
      <c r="C947" s="4"/>
      <c r="D947" s="4"/>
    </row>
    <row r="948" ht="15.75" customHeight="1">
      <c r="A948" s="4"/>
      <c r="B948" s="4"/>
      <c r="C948" s="4"/>
      <c r="D948" s="4"/>
    </row>
    <row r="949" ht="15.75" customHeight="1">
      <c r="A949" s="4"/>
      <c r="B949" s="4"/>
      <c r="C949" s="4"/>
      <c r="D949" s="4"/>
    </row>
    <row r="950" ht="15.75" customHeight="1">
      <c r="A950" s="4"/>
      <c r="B950" s="4"/>
      <c r="C950" s="4"/>
      <c r="D950" s="4"/>
    </row>
    <row r="951" ht="15.75" customHeight="1">
      <c r="A951" s="4"/>
      <c r="B951" s="4"/>
      <c r="C951" s="4"/>
      <c r="D951" s="4"/>
    </row>
    <row r="952" ht="15.75" customHeight="1">
      <c r="A952" s="4"/>
      <c r="B952" s="4"/>
      <c r="C952" s="4"/>
      <c r="D952" s="4"/>
    </row>
    <row r="953" ht="15.75" customHeight="1">
      <c r="A953" s="4"/>
      <c r="B953" s="4"/>
      <c r="C953" s="4"/>
      <c r="D953" s="4"/>
    </row>
    <row r="954" ht="15.75" customHeight="1">
      <c r="A954" s="4"/>
      <c r="B954" s="4"/>
      <c r="C954" s="4"/>
      <c r="D954" s="4"/>
    </row>
    <row r="955" ht="15.75" customHeight="1">
      <c r="A955" s="4"/>
      <c r="B955" s="4"/>
      <c r="C955" s="4"/>
      <c r="D955" s="4"/>
    </row>
    <row r="956" ht="15.75" customHeight="1">
      <c r="A956" s="4"/>
      <c r="B956" s="4"/>
      <c r="C956" s="4"/>
      <c r="D956" s="4"/>
    </row>
    <row r="957" ht="15.75" customHeight="1">
      <c r="A957" s="4"/>
      <c r="B957" s="4"/>
      <c r="C957" s="4"/>
      <c r="D957" s="4"/>
    </row>
    <row r="958" ht="15.75" customHeight="1">
      <c r="A958" s="4"/>
      <c r="B958" s="4"/>
      <c r="C958" s="4"/>
      <c r="D958" s="4"/>
    </row>
    <row r="959" ht="15.75" customHeight="1">
      <c r="A959" s="4"/>
      <c r="B959" s="4"/>
      <c r="C959" s="4"/>
      <c r="D959" s="4"/>
    </row>
    <row r="960" ht="15.75" customHeight="1">
      <c r="A960" s="4"/>
      <c r="B960" s="4"/>
      <c r="C960" s="4"/>
      <c r="D960" s="4"/>
    </row>
    <row r="961" ht="15.75" customHeight="1">
      <c r="A961" s="4"/>
      <c r="B961" s="4"/>
      <c r="C961" s="4"/>
      <c r="D961" s="4"/>
    </row>
    <row r="962" ht="15.75" customHeight="1">
      <c r="A962" s="4"/>
      <c r="B962" s="4"/>
      <c r="C962" s="4"/>
      <c r="D962" s="4"/>
    </row>
    <row r="963" ht="15.75" customHeight="1">
      <c r="A963" s="4"/>
      <c r="B963" s="4"/>
      <c r="C963" s="4"/>
      <c r="D963" s="4"/>
    </row>
    <row r="964" ht="15.75" customHeight="1">
      <c r="A964" s="4"/>
      <c r="B964" s="4"/>
      <c r="C964" s="4"/>
      <c r="D964" s="4"/>
    </row>
    <row r="965" ht="15.75" customHeight="1">
      <c r="A965" s="4"/>
      <c r="B965" s="4"/>
      <c r="C965" s="4"/>
      <c r="D965" s="4"/>
    </row>
    <row r="966" ht="15.75" customHeight="1">
      <c r="A966" s="4"/>
      <c r="B966" s="4"/>
      <c r="C966" s="4"/>
      <c r="D966" s="4"/>
    </row>
    <row r="967" ht="15.75" customHeight="1">
      <c r="A967" s="4"/>
      <c r="B967" s="4"/>
      <c r="C967" s="4"/>
      <c r="D967" s="4"/>
    </row>
    <row r="968" ht="15.75" customHeight="1">
      <c r="A968" s="4"/>
      <c r="B968" s="4"/>
      <c r="C968" s="4"/>
      <c r="D968" s="4"/>
    </row>
    <row r="969" ht="15.75" customHeight="1">
      <c r="A969" s="4"/>
      <c r="B969" s="4"/>
      <c r="C969" s="4"/>
      <c r="D969" s="4"/>
    </row>
    <row r="970" ht="15.75" customHeight="1">
      <c r="A970" s="4"/>
      <c r="B970" s="4"/>
      <c r="C970" s="4"/>
      <c r="D970" s="4"/>
    </row>
    <row r="971" ht="15.75" customHeight="1">
      <c r="A971" s="4"/>
      <c r="B971" s="4"/>
      <c r="C971" s="4"/>
      <c r="D971" s="4"/>
    </row>
    <row r="972" ht="15.75" customHeight="1">
      <c r="A972" s="4"/>
      <c r="B972" s="4"/>
      <c r="C972" s="4"/>
      <c r="D972" s="4"/>
    </row>
    <row r="973" ht="15.75" customHeight="1">
      <c r="A973" s="4"/>
      <c r="B973" s="4"/>
      <c r="C973" s="4"/>
      <c r="D973" s="4"/>
    </row>
    <row r="974" ht="15.75" customHeight="1">
      <c r="A974" s="4"/>
      <c r="B974" s="4"/>
      <c r="C974" s="4"/>
      <c r="D974" s="4"/>
    </row>
    <row r="975" ht="15.75" customHeight="1">
      <c r="A975" s="4"/>
      <c r="B975" s="4"/>
      <c r="C975" s="4"/>
      <c r="D975" s="4"/>
    </row>
    <row r="976" ht="15.75" customHeight="1">
      <c r="A976" s="4"/>
      <c r="B976" s="4"/>
      <c r="C976" s="4"/>
      <c r="D976" s="4"/>
    </row>
    <row r="977" ht="15.75" customHeight="1">
      <c r="A977" s="4"/>
      <c r="B977" s="4"/>
      <c r="C977" s="4"/>
      <c r="D977" s="4"/>
    </row>
    <row r="978" ht="15.75" customHeight="1">
      <c r="A978" s="4"/>
      <c r="B978" s="4"/>
      <c r="C978" s="4"/>
      <c r="D978" s="4"/>
    </row>
    <row r="979" ht="15.75" customHeight="1">
      <c r="A979" s="4"/>
      <c r="B979" s="4"/>
      <c r="C979" s="4"/>
      <c r="D979" s="4"/>
    </row>
    <row r="980" ht="15.75" customHeight="1">
      <c r="A980" s="4"/>
      <c r="B980" s="4"/>
      <c r="C980" s="4"/>
      <c r="D980" s="4"/>
    </row>
    <row r="981" ht="15.75" customHeight="1">
      <c r="A981" s="4"/>
      <c r="B981" s="4"/>
      <c r="C981" s="4"/>
      <c r="D981" s="4"/>
    </row>
    <row r="982" ht="15.75" customHeight="1">
      <c r="A982" s="4"/>
      <c r="B982" s="4"/>
      <c r="C982" s="4"/>
      <c r="D982" s="4"/>
    </row>
    <row r="983" ht="15.75" customHeight="1">
      <c r="A983" s="4"/>
      <c r="B983" s="4"/>
      <c r="C983" s="4"/>
      <c r="D983" s="4"/>
    </row>
    <row r="984" ht="15.75" customHeight="1">
      <c r="A984" s="4"/>
      <c r="B984" s="4"/>
      <c r="C984" s="4"/>
      <c r="D984" s="4"/>
    </row>
    <row r="985" ht="15.75" customHeight="1">
      <c r="A985" s="4"/>
      <c r="B985" s="4"/>
      <c r="C985" s="4"/>
      <c r="D985" s="4"/>
    </row>
    <row r="986" ht="15.75" customHeight="1">
      <c r="A986" s="4"/>
      <c r="B986" s="4"/>
      <c r="C986" s="4"/>
      <c r="D986" s="4"/>
    </row>
    <row r="987" ht="15.75" customHeight="1">
      <c r="A987" s="4"/>
      <c r="B987" s="4"/>
      <c r="C987" s="4"/>
      <c r="D987" s="4"/>
    </row>
    <row r="988" ht="15.75" customHeight="1">
      <c r="A988" s="4"/>
      <c r="B988" s="4"/>
      <c r="C988" s="4"/>
      <c r="D988" s="4"/>
    </row>
    <row r="989" ht="15.75" customHeight="1">
      <c r="A989" s="4"/>
      <c r="B989" s="4"/>
      <c r="C989" s="4"/>
      <c r="D989" s="4"/>
    </row>
    <row r="990" ht="15.75" customHeight="1">
      <c r="A990" s="4"/>
      <c r="B990" s="4"/>
      <c r="C990" s="4"/>
      <c r="D990" s="4"/>
    </row>
    <row r="991" ht="15.75" customHeight="1">
      <c r="A991" s="4"/>
      <c r="B991" s="4"/>
      <c r="C991" s="4"/>
      <c r="D991" s="4"/>
    </row>
    <row r="992" ht="15.75" customHeight="1">
      <c r="A992" s="4"/>
      <c r="B992" s="4"/>
      <c r="C992" s="4"/>
      <c r="D992" s="4"/>
    </row>
    <row r="993" ht="15.75" customHeight="1">
      <c r="A993" s="4"/>
      <c r="B993" s="4"/>
      <c r="C993" s="4"/>
      <c r="D993" s="4"/>
    </row>
    <row r="994" ht="15.75" customHeight="1">
      <c r="A994" s="4"/>
      <c r="B994" s="4"/>
      <c r="C994" s="4"/>
      <c r="D994" s="4"/>
    </row>
    <row r="995" ht="15.75" customHeight="1">
      <c r="A995" s="4"/>
      <c r="B995" s="4"/>
      <c r="C995" s="4"/>
      <c r="D995" s="4"/>
    </row>
    <row r="996" ht="15.75" customHeight="1">
      <c r="A996" s="4"/>
      <c r="B996" s="4"/>
      <c r="C996" s="4"/>
      <c r="D996" s="4"/>
    </row>
    <row r="997" ht="15.75" customHeight="1">
      <c r="A997" s="4"/>
      <c r="B997" s="4"/>
      <c r="C997" s="4"/>
      <c r="D997" s="4"/>
    </row>
    <row r="998" ht="15.75" customHeight="1">
      <c r="A998" s="4"/>
      <c r="B998" s="4"/>
      <c r="C998" s="4"/>
      <c r="D998" s="4"/>
    </row>
    <row r="999" ht="15.75" customHeight="1">
      <c r="A999" s="4"/>
      <c r="B999" s="4"/>
      <c r="C999" s="4"/>
      <c r="D999" s="4"/>
    </row>
    <row r="1000" ht="15.75" customHeight="1">
      <c r="A1000" s="4"/>
      <c r="B1000" s="4"/>
      <c r="C1000" s="4"/>
      <c r="D1000" s="4"/>
    </row>
  </sheetData>
  <mergeCells count="21">
    <mergeCell ref="A20:C20"/>
    <mergeCell ref="A22:D22"/>
    <mergeCell ref="A1:C1"/>
    <mergeCell ref="A5:C5"/>
    <mergeCell ref="A6:C6"/>
    <mergeCell ref="A7:C7"/>
    <mergeCell ref="A9:C9"/>
    <mergeCell ref="A16:C16"/>
    <mergeCell ref="A18:C18"/>
    <mergeCell ref="A79:C79"/>
    <mergeCell ref="A81:C81"/>
    <mergeCell ref="A87:C87"/>
    <mergeCell ref="A89:C89"/>
    <mergeCell ref="A91:C91"/>
    <mergeCell ref="A51:B51"/>
    <mergeCell ref="A52:C52"/>
    <mergeCell ref="A54:C54"/>
    <mergeCell ref="A65:C65"/>
    <mergeCell ref="A67:C67"/>
    <mergeCell ref="A68:C68"/>
    <mergeCell ref="A76:C7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10.0"/>
    <col customWidth="1" min="4" max="4" width="14.0"/>
    <col customWidth="1" min="5" max="10" width="8.0"/>
    <col customWidth="1" min="11" max="11" width="10.0"/>
    <col customWidth="1" min="12" max="12" width="12.0"/>
    <col customWidth="1" min="13" max="14" width="11.0"/>
    <col customWidth="1" min="15" max="15" width="13.0"/>
    <col customWidth="1" min="16" max="16" width="12.0"/>
    <col customWidth="1" min="17" max="19" width="10.0"/>
    <col customWidth="1" min="20" max="20" width="24.0"/>
    <col customWidth="1" min="21" max="21" width="12.0"/>
    <col customWidth="1" min="22" max="22" width="20.0"/>
    <col customWidth="1" min="23" max="23" width="9.0"/>
    <col customWidth="1" min="24" max="24" width="16.0"/>
    <col customWidth="1" min="25" max="25" width="8.71"/>
    <col customWidth="1" hidden="1" min="26" max="26" width="13.0"/>
    <col customWidth="1" min="27" max="27" width="3.0"/>
    <col customWidth="1" min="28" max="28" width="8.0"/>
    <col customWidth="1" min="29" max="29" width="16.0"/>
    <col customWidth="1" min="30" max="30" width="12.0"/>
    <col customWidth="1" min="31" max="31" width="14.0"/>
    <col customWidth="1" min="32" max="32" width="18.0"/>
  </cols>
  <sheetData>
    <row r="1" ht="21.75" customHeight="1">
      <c r="A1" s="1" t="s">
        <v>95</v>
      </c>
      <c r="B1" s="2"/>
      <c r="C1" s="2"/>
      <c r="D1" s="2"/>
      <c r="E1" s="2"/>
      <c r="F1" s="2"/>
      <c r="G1" s="2"/>
      <c r="H1" s="2"/>
      <c r="I1" s="2"/>
      <c r="J1" s="2"/>
      <c r="K1" s="2"/>
      <c r="L1" s="2"/>
      <c r="M1" s="2"/>
      <c r="N1" s="2"/>
      <c r="O1" s="2"/>
      <c r="P1" s="2"/>
      <c r="Q1" s="2"/>
      <c r="R1" s="2"/>
      <c r="S1" s="2"/>
      <c r="T1" s="2"/>
      <c r="U1" s="2"/>
      <c r="V1" s="2"/>
      <c r="W1" s="2"/>
      <c r="X1" s="3"/>
      <c r="AB1" s="18" t="s">
        <v>96</v>
      </c>
      <c r="AC1" s="2"/>
      <c r="AD1" s="2"/>
      <c r="AE1" s="2"/>
      <c r="AF1" s="3"/>
    </row>
    <row r="2" ht="33.75" customHeight="1">
      <c r="A2" s="19" t="s">
        <v>97</v>
      </c>
      <c r="B2" s="19" t="s">
        <v>18</v>
      </c>
      <c r="C2" s="19" t="s">
        <v>98</v>
      </c>
      <c r="D2" s="19" t="s">
        <v>99</v>
      </c>
      <c r="E2" s="19" t="s">
        <v>61</v>
      </c>
      <c r="F2" s="19" t="s">
        <v>62</v>
      </c>
      <c r="G2" s="19" t="s">
        <v>63</v>
      </c>
      <c r="H2" s="19" t="s">
        <v>64</v>
      </c>
      <c r="I2" s="19" t="s">
        <v>65</v>
      </c>
      <c r="J2" s="19" t="s">
        <v>66</v>
      </c>
      <c r="K2" s="19" t="s">
        <v>100</v>
      </c>
      <c r="L2" s="19" t="s">
        <v>101</v>
      </c>
      <c r="M2" s="19" t="s">
        <v>102</v>
      </c>
      <c r="N2" s="19" t="s">
        <v>103</v>
      </c>
      <c r="O2" s="19" t="s">
        <v>104</v>
      </c>
      <c r="P2" s="19" t="s">
        <v>105</v>
      </c>
      <c r="Q2" s="19" t="s">
        <v>106</v>
      </c>
      <c r="R2" s="19" t="s">
        <v>107</v>
      </c>
      <c r="S2" s="19" t="s">
        <v>108</v>
      </c>
      <c r="T2" s="19" t="s">
        <v>109</v>
      </c>
      <c r="U2" s="19" t="s">
        <v>110</v>
      </c>
      <c r="V2" s="19" t="s">
        <v>111</v>
      </c>
      <c r="W2" s="19" t="s">
        <v>112</v>
      </c>
      <c r="X2" s="19" t="s">
        <v>113</v>
      </c>
      <c r="Z2" s="20" t="s">
        <v>114</v>
      </c>
      <c r="AB2" s="21" t="s">
        <v>115</v>
      </c>
      <c r="AC2" s="21" t="s">
        <v>97</v>
      </c>
      <c r="AD2" s="21" t="s">
        <v>18</v>
      </c>
      <c r="AE2" s="21" t="s">
        <v>116</v>
      </c>
      <c r="AF2" s="21" t="s">
        <v>113</v>
      </c>
    </row>
    <row r="3">
      <c r="A3" s="22" t="s">
        <v>117</v>
      </c>
      <c r="B3" s="22" t="s">
        <v>118</v>
      </c>
      <c r="C3" s="23">
        <f>COUNTIF('Data thô T6'!$B:$B,A3)</f>
        <v>250</v>
      </c>
      <c r="D3" s="23">
        <f>SUMIF('Data thô T6'!$B:$B,A3,'Data thô T6'!$C:$C)</f>
        <v>362</v>
      </c>
      <c r="E3" s="23">
        <f>COUNTIFS('Data thô T6'!$B:$B,A3,'Data thô T6'!$E:$E,"PROX5")</f>
        <v>4</v>
      </c>
      <c r="F3" s="23">
        <f>COUNTIFS('Data thô T6'!$B:$B,A3,'Data thô T6'!$E:$E,"PROX4")</f>
        <v>63</v>
      </c>
      <c r="G3" s="23">
        <f>COUNTIFS('Data thô T6'!$B:$B,A3,'Data thô T6'!$E:$E,"PROX3")</f>
        <v>166</v>
      </c>
      <c r="H3" s="23">
        <f>COUNTIFS('Data thô T6'!$B:$B,A3,'Data thô T6'!$E:$E,"SEM")</f>
        <v>0</v>
      </c>
      <c r="I3" s="23">
        <f>COUNTIFS('Data thô T6'!$B:$B,A3,'Data thô T6'!$E:$E,"SE1")</f>
        <v>0</v>
      </c>
      <c r="J3" s="23">
        <f>COUNTIFS('Data thô T6'!$B:$B,A3,'Data thô T6'!$E:$E,"E0")</f>
        <v>6</v>
      </c>
      <c r="K3" s="17">
        <f t="shared" ref="K3:K27" si="1">SUM(E3:J3)</f>
        <v>239</v>
      </c>
      <c r="L3" s="24">
        <f>IF(C3=0,0,(E3*HS_PROX5+F3*HS_PROX4+G3*HS_PROX3+H3*HS_SEM+I3*HS_SE1+J3*HS_E0+(C3-K3)*HS_DEFAULT)/C3)</f>
        <v>1.1428</v>
      </c>
      <c r="M3" s="25">
        <f>MIN(D3/TASK_TARGET,1)*W_SL</f>
        <v>60</v>
      </c>
      <c r="N3" s="25">
        <f>IF(C3=0,0,MAX(0,MIN(1,(L3-HS_MIN)/(HS_MAX-HS_MIN)))*W_DOKHO)</f>
        <v>8.3025</v>
      </c>
      <c r="O3" s="15"/>
      <c r="P3" s="17" t="str">
        <f>IF(O3="","",(O3/5)*W_CL)</f>
        <v/>
      </c>
      <c r="Q3" s="15">
        <v>0.0</v>
      </c>
      <c r="R3" s="15">
        <v>0.0</v>
      </c>
      <c r="S3" s="15">
        <v>0.0</v>
      </c>
      <c r="T3" s="12"/>
      <c r="U3" s="25">
        <f>MIN(S3,W_BONUS)+Q3*TRE_TASK+R3*TRE_NGAY</f>
        <v>0</v>
      </c>
      <c r="V3" s="26">
        <f t="shared" ref="V3:V27" si="2">M3+N3+IF(P3="",0,P3)+U3</f>
        <v>68.3025</v>
      </c>
      <c r="W3" s="17">
        <f t="shared" ref="W3:W27" si="3">RANK(V3,$V$3:$V$27,0)</f>
        <v>5</v>
      </c>
      <c r="X3" s="17" t="str">
        <f>IF(V3&gt;=(W_SL+W_DOKHO+W_CL+W_BONUS),"✅ Đạt KPI",IF(V3&gt;=PCT_WARN,"⚠️ Gần đạt KPI","❌ Chưa đạt"))</f>
        <v>❌ Chưa đạt</v>
      </c>
      <c r="Z3" s="27">
        <f t="shared" ref="Z3:Z27" si="4">V3+(ROW()-3)/100000000</f>
        <v>68.3025</v>
      </c>
      <c r="AB3" s="28">
        <v>1.0</v>
      </c>
      <c r="AC3" s="29" t="str">
        <f t="array" ref="AC3">INDEX($A$3:$A$27,MATCH(LARGE($Z$3:$Z$27,1),$Z$3:$Z$27,0))</f>
        <v>Sherry</v>
      </c>
      <c r="AD3" s="30" t="str">
        <f t="array" ref="AD3">INDEX($B$3:$B$27,MATCH(LARGE($Z$3:$Z$27,1),$Z$3:$Z$27,0))</f>
        <v>Media Key</v>
      </c>
      <c r="AE3" s="31">
        <f t="array" ref="AE3">INDEX($V$3:$V$27,MATCH(LARGE($Z$3:$Z$27,1),$Z$3:$Z$27,0))</f>
        <v>69.73790323</v>
      </c>
      <c r="AF3" s="30" t="str">
        <f>IF(AE3&gt;=(W_SL+W_DOKHO+W_CL+W_BONUS),"✅ Đạt KPI",IF(AE3&gt;=PCT_WARN,"⚠️ Gần đạt KPI","❌ Chưa đạt"))</f>
        <v>❌ Chưa đạt</v>
      </c>
    </row>
    <row r="4">
      <c r="A4" s="22" t="s">
        <v>119</v>
      </c>
      <c r="B4" s="22" t="s">
        <v>118</v>
      </c>
      <c r="C4" s="23">
        <f>COUNTIF('Data thô T6'!$B:$B,A4)</f>
        <v>250</v>
      </c>
      <c r="D4" s="23">
        <f>SUMIF('Data thô T6'!$B:$B,A4,'Data thô T6'!$C:$C)</f>
        <v>355</v>
      </c>
      <c r="E4" s="23">
        <f>COUNTIFS('Data thô T6'!$B:$B,A4,'Data thô T6'!$E:$E,"PROX5")</f>
        <v>14</v>
      </c>
      <c r="F4" s="23">
        <f>COUNTIFS('Data thô T6'!$B:$B,A4,'Data thô T6'!$E:$E,"PROX4")</f>
        <v>44</v>
      </c>
      <c r="G4" s="23">
        <f>COUNTIFS('Data thô T6'!$B:$B,A4,'Data thô T6'!$E:$E,"PROX3")</f>
        <v>161</v>
      </c>
      <c r="H4" s="23">
        <f>COUNTIFS('Data thô T6'!$B:$B,A4,'Data thô T6'!$E:$E,"SEM")</f>
        <v>0</v>
      </c>
      <c r="I4" s="23">
        <f>COUNTIFS('Data thô T6'!$B:$B,A4,'Data thô T6'!$E:$E,"SE1")</f>
        <v>0</v>
      </c>
      <c r="J4" s="23">
        <f>COUNTIFS('Data thô T6'!$B:$B,A4,'Data thô T6'!$E:$E,"E0")</f>
        <v>11</v>
      </c>
      <c r="K4" s="17">
        <f t="shared" si="1"/>
        <v>230</v>
      </c>
      <c r="L4" s="24">
        <f>IF(C4=0,0,(E4*HS_PROX5+F4*HS_PROX4+G4*HS_PROX3+H4*HS_SEM+I4*HS_SE1+J4*HS_E0+(C4-K4)*HS_DEFAULT)/C4)</f>
        <v>1.132</v>
      </c>
      <c r="M4" s="25">
        <f>MIN(D4/TASK_TARGET,1)*W_SL</f>
        <v>60</v>
      </c>
      <c r="N4" s="25">
        <f>IF(C4=0,0,MAX(0,MIN(1,(L4-HS_MIN)/(HS_MAX-HS_MIN)))*W_DOKHO)</f>
        <v>8.1</v>
      </c>
      <c r="O4" s="15"/>
      <c r="P4" s="17" t="str">
        <f>IF(O4="","",(O4/5)*W_CL)</f>
        <v/>
      </c>
      <c r="Q4" s="15">
        <v>0.0</v>
      </c>
      <c r="R4" s="15">
        <v>0.0</v>
      </c>
      <c r="S4" s="15">
        <v>0.0</v>
      </c>
      <c r="T4" s="12"/>
      <c r="U4" s="25">
        <f>MIN(S4,W_BONUS)+Q4*TRE_TASK+R4*TRE_NGAY</f>
        <v>0</v>
      </c>
      <c r="V4" s="26">
        <f t="shared" si="2"/>
        <v>68.1</v>
      </c>
      <c r="W4" s="17">
        <f t="shared" si="3"/>
        <v>7</v>
      </c>
      <c r="X4" s="17" t="str">
        <f>IF(V4&gt;=(W_SL+W_DOKHO+W_CL+W_BONUS),"✅ Đạt KPI",IF(V4&gt;=PCT_WARN,"⚠️ Gần đạt KPI","❌ Chưa đạt"))</f>
        <v>❌ Chưa đạt</v>
      </c>
      <c r="Z4" s="27">
        <f t="shared" si="4"/>
        <v>68.10000001</v>
      </c>
      <c r="AB4" s="28">
        <v>2.0</v>
      </c>
      <c r="AC4" s="29" t="str">
        <f t="array" ref="AC4">INDEX($A$3:$A$27,MATCH(LARGE($Z$3:$Z$27,2),$Z$3:$Z$27,0))</f>
        <v>Nancy</v>
      </c>
      <c r="AD4" s="30" t="str">
        <f t="array" ref="AD4">INDEX($B$3:$B$27,MATCH(LARGE($Z$3:$Z$27,2),$Z$3:$Z$27,0))</f>
        <v>Media Key</v>
      </c>
      <c r="AE4" s="31">
        <f t="array" ref="AE4">INDEX($V$3:$V$27,MATCH(LARGE($Z$3:$Z$27,2),$Z$3:$Z$27,0))</f>
        <v>69.23611111</v>
      </c>
      <c r="AF4" s="30" t="str">
        <f>IF(AE4&gt;=(W_SL+W_DOKHO+W_CL+W_BONUS),"✅ Đạt KPI",IF(AE4&gt;=PCT_WARN,"⚠️ Gần đạt KPI","❌ Chưa đạt"))</f>
        <v>❌ Chưa đạt</v>
      </c>
    </row>
    <row r="5">
      <c r="A5" s="22" t="s">
        <v>120</v>
      </c>
      <c r="B5" s="22" t="s">
        <v>118</v>
      </c>
      <c r="C5" s="23">
        <f>COUNTIF('Data thô T6'!$B:$B,A5)</f>
        <v>246</v>
      </c>
      <c r="D5" s="23">
        <f>SUMIF('Data thô T6'!$B:$B,A5,'Data thô T6'!$C:$C)</f>
        <v>379</v>
      </c>
      <c r="E5" s="23">
        <f>COUNTIFS('Data thô T6'!$B:$B,A5,'Data thô T6'!$E:$E,"PROX5")</f>
        <v>2</v>
      </c>
      <c r="F5" s="23">
        <f>COUNTIFS('Data thô T6'!$B:$B,A5,'Data thô T6'!$E:$E,"PROX4")</f>
        <v>47</v>
      </c>
      <c r="G5" s="23">
        <f>COUNTIFS('Data thô T6'!$B:$B,A5,'Data thô T6'!$E:$E,"PROX3")</f>
        <v>149</v>
      </c>
      <c r="H5" s="23">
        <f>COUNTIFS('Data thô T6'!$B:$B,A5,'Data thô T6'!$E:$E,"SEM")</f>
        <v>1</v>
      </c>
      <c r="I5" s="23">
        <f>COUNTIFS('Data thô T6'!$B:$B,A5,'Data thô T6'!$E:$E,"SE1")</f>
        <v>0</v>
      </c>
      <c r="J5" s="23">
        <f>COUNTIFS('Data thô T6'!$B:$B,A5,'Data thô T6'!$E:$E,"E0")</f>
        <v>19</v>
      </c>
      <c r="K5" s="17">
        <f t="shared" si="1"/>
        <v>218</v>
      </c>
      <c r="L5" s="24">
        <f>IF(C5=0,0,(E5*HS_PROX5+F5*HS_PROX4+G5*HS_PROX3+H5*HS_SEM+I5*HS_SE1+J5*HS_E0+(C5-K5)*HS_DEFAULT)/C5)</f>
        <v>1.098780488</v>
      </c>
      <c r="M5" s="25">
        <f>MIN(D5/TASK_TARGET,1)*W_SL</f>
        <v>60</v>
      </c>
      <c r="N5" s="25">
        <f>IF(C5=0,0,MAX(0,MIN(1,(L5-HS_MIN)/(HS_MAX-HS_MIN)))*W_DOKHO)</f>
        <v>7.477134146</v>
      </c>
      <c r="O5" s="15"/>
      <c r="P5" s="17" t="str">
        <f>IF(O5="","",(O5/5)*W_CL)</f>
        <v/>
      </c>
      <c r="Q5" s="15">
        <v>0.0</v>
      </c>
      <c r="R5" s="15">
        <v>0.0</v>
      </c>
      <c r="S5" s="15">
        <v>0.0</v>
      </c>
      <c r="T5" s="12"/>
      <c r="U5" s="25">
        <f>MIN(S5,W_BONUS)+Q5*TRE_TASK+R5*TRE_NGAY</f>
        <v>0</v>
      </c>
      <c r="V5" s="26">
        <f t="shared" si="2"/>
        <v>67.47713415</v>
      </c>
      <c r="W5" s="17">
        <f t="shared" si="3"/>
        <v>13</v>
      </c>
      <c r="X5" s="17" t="str">
        <f>IF(V5&gt;=(W_SL+W_DOKHO+W_CL+W_BONUS),"✅ Đạt KPI",IF(V5&gt;=PCT_WARN,"⚠️ Gần đạt KPI","❌ Chưa đạt"))</f>
        <v>❌ Chưa đạt</v>
      </c>
      <c r="Z5" s="27">
        <f t="shared" si="4"/>
        <v>67.47713417</v>
      </c>
      <c r="AB5" s="28">
        <v>3.0</v>
      </c>
      <c r="AC5" s="29" t="str">
        <f t="array" ref="AC5">INDEX($A$3:$A$27,MATCH(LARGE($Z$3:$Z$27,3),$Z$3:$Z$27,0))</f>
        <v>Mio</v>
      </c>
      <c r="AD5" s="30" t="str">
        <f t="array" ref="AD5">INDEX($B$3:$B$27,MATCH(LARGE($Z$3:$Z$27,3),$Z$3:$Z$27,0))</f>
        <v>Media Key</v>
      </c>
      <c r="AE5" s="31">
        <f t="array" ref="AE5">INDEX($V$3:$V$27,MATCH(LARGE($Z$3:$Z$27,3),$Z$3:$Z$27,0))</f>
        <v>68.45723684</v>
      </c>
      <c r="AF5" s="30" t="str">
        <f>IF(AE5&gt;=(W_SL+W_DOKHO+W_CL+W_BONUS),"✅ Đạt KPI",IF(AE5&gt;=PCT_WARN,"⚠️ Gần đạt KPI","❌ Chưa đạt"))</f>
        <v>❌ Chưa đạt</v>
      </c>
    </row>
    <row r="6">
      <c r="A6" s="22" t="s">
        <v>121</v>
      </c>
      <c r="B6" s="22" t="s">
        <v>118</v>
      </c>
      <c r="C6" s="23">
        <f>COUNTIF('Data thô T6'!$B:$B,A6)</f>
        <v>220</v>
      </c>
      <c r="D6" s="23">
        <f>SUMIF('Data thô T6'!$B:$B,A6,'Data thô T6'!$C:$C)</f>
        <v>330</v>
      </c>
      <c r="E6" s="23">
        <f>COUNTIFS('Data thô T6'!$B:$B,A6,'Data thô T6'!$E:$E,"PROX5")</f>
        <v>0</v>
      </c>
      <c r="F6" s="23">
        <f>COUNTIFS('Data thô T6'!$B:$B,A6,'Data thô T6'!$E:$E,"PROX4")</f>
        <v>34</v>
      </c>
      <c r="G6" s="23">
        <f>COUNTIFS('Data thô T6'!$B:$B,A6,'Data thô T6'!$E:$E,"PROX3")</f>
        <v>156</v>
      </c>
      <c r="H6" s="23">
        <f>COUNTIFS('Data thô T6'!$B:$B,A6,'Data thô T6'!$E:$E,"SEM")</f>
        <v>0</v>
      </c>
      <c r="I6" s="23">
        <f>COUNTIFS('Data thô T6'!$B:$B,A6,'Data thô T6'!$E:$E,"SE1")</f>
        <v>0</v>
      </c>
      <c r="J6" s="23">
        <f>COUNTIFS('Data thô T6'!$B:$B,A6,'Data thô T6'!$E:$E,"E0")</f>
        <v>10</v>
      </c>
      <c r="K6" s="17">
        <f t="shared" si="1"/>
        <v>200</v>
      </c>
      <c r="L6" s="24">
        <f>IF(C6=0,0,(E6*HS_PROX5+F6*HS_PROX4+G6*HS_PROX3+H6*HS_SEM+I6*HS_SE1+J6*HS_E0+(C6-K6)*HS_DEFAULT)/C6)</f>
        <v>1.103636364</v>
      </c>
      <c r="M6" s="25">
        <f>MIN(D6/TASK_TARGET,1)*W_SL</f>
        <v>60</v>
      </c>
      <c r="N6" s="25">
        <f>IF(C6=0,0,MAX(0,MIN(1,(L6-HS_MIN)/(HS_MAX-HS_MIN)))*W_DOKHO)</f>
        <v>7.568181818</v>
      </c>
      <c r="O6" s="15"/>
      <c r="P6" s="17" t="str">
        <f>IF(O6="","",(O6/5)*W_CL)</f>
        <v/>
      </c>
      <c r="Q6" s="15">
        <v>0.0</v>
      </c>
      <c r="R6" s="15">
        <v>0.0</v>
      </c>
      <c r="S6" s="15">
        <v>0.0</v>
      </c>
      <c r="T6" s="12"/>
      <c r="U6" s="25">
        <f>MIN(S6,W_BONUS)+Q6*TRE_TASK+R6*TRE_NGAY</f>
        <v>0</v>
      </c>
      <c r="V6" s="26">
        <f t="shared" si="2"/>
        <v>67.56818182</v>
      </c>
      <c r="W6" s="17">
        <f t="shared" si="3"/>
        <v>12</v>
      </c>
      <c r="X6" s="17" t="str">
        <f>IF(V6&gt;=(W_SL+W_DOKHO+W_CL+W_BONUS),"✅ Đạt KPI",IF(V6&gt;=PCT_WARN,"⚠️ Gần đạt KPI","❌ Chưa đạt"))</f>
        <v>❌ Chưa đạt</v>
      </c>
      <c r="Z6" s="27">
        <f t="shared" si="4"/>
        <v>67.56818185</v>
      </c>
      <c r="AB6" s="17">
        <v>4.0</v>
      </c>
      <c r="AC6" s="13" t="str">
        <f t="array" ref="AC6">INDEX($A$3:$A$27,MATCH(LARGE($Z$3:$Z$27,4),$Z$3:$Z$27,0))</f>
        <v>Charlie</v>
      </c>
      <c r="AD6" s="17" t="str">
        <f t="array" ref="AD6">INDEX($B$3:$B$27,MATCH(LARGE($Z$3:$Z$27,4),$Z$3:$Z$27,0))</f>
        <v>Media Key</v>
      </c>
      <c r="AE6" s="26">
        <f t="array" ref="AE6">INDEX($V$3:$V$27,MATCH(LARGE($Z$3:$Z$27,4),$Z$3:$Z$27,0))</f>
        <v>68.4375</v>
      </c>
      <c r="AF6" s="17" t="str">
        <f>IF(AE6&gt;=(W_SL+W_DOKHO+W_CL+W_BONUS),"✅ Đạt KPI",IF(AE6&gt;=PCT_WARN,"⚠️ Gần đạt KPI","❌ Chưa đạt"))</f>
        <v>❌ Chưa đạt</v>
      </c>
    </row>
    <row r="7">
      <c r="A7" s="22" t="s">
        <v>122</v>
      </c>
      <c r="B7" s="22" t="s">
        <v>118</v>
      </c>
      <c r="C7" s="23">
        <f>COUNTIF('Data thô T6'!$B:$B,A7)</f>
        <v>217</v>
      </c>
      <c r="D7" s="23">
        <f>SUMIF('Data thô T6'!$B:$B,A7,'Data thô T6'!$C:$C)</f>
        <v>328</v>
      </c>
      <c r="E7" s="23">
        <f>COUNTIFS('Data thô T6'!$B:$B,A7,'Data thô T6'!$E:$E,"PROX5")</f>
        <v>11</v>
      </c>
      <c r="F7" s="23">
        <f>COUNTIFS('Data thô T6'!$B:$B,A7,'Data thô T6'!$E:$E,"PROX4")</f>
        <v>49</v>
      </c>
      <c r="G7" s="23">
        <f>COUNTIFS('Data thô T6'!$B:$B,A7,'Data thô T6'!$E:$E,"PROX3")</f>
        <v>110</v>
      </c>
      <c r="H7" s="23">
        <f>COUNTIFS('Data thô T6'!$B:$B,A7,'Data thô T6'!$E:$E,"SEM")</f>
        <v>4</v>
      </c>
      <c r="I7" s="23">
        <f>COUNTIFS('Data thô T6'!$B:$B,A7,'Data thô T6'!$E:$E,"SE1")</f>
        <v>5</v>
      </c>
      <c r="J7" s="23">
        <f>COUNTIFS('Data thô T6'!$B:$B,A7,'Data thô T6'!$E:$E,"E0")</f>
        <v>20</v>
      </c>
      <c r="K7" s="17">
        <f t="shared" si="1"/>
        <v>199</v>
      </c>
      <c r="L7" s="24">
        <f>IF(C7=0,0,(E7*HS_PROX5+F7*HS_PROX4+G7*HS_PROX3+H7*HS_SEM+I7*HS_SE1+J7*HS_E0+(C7-K7)*HS_DEFAULT)/C7)</f>
        <v>1.113824885</v>
      </c>
      <c r="M7" s="25">
        <f>MIN(D7/TASK_TARGET,1)*W_SL</f>
        <v>60</v>
      </c>
      <c r="N7" s="25">
        <f>IF(C7=0,0,MAX(0,MIN(1,(L7-HS_MIN)/(HS_MAX-HS_MIN)))*W_DOKHO)</f>
        <v>7.75921659</v>
      </c>
      <c r="O7" s="15"/>
      <c r="P7" s="17" t="str">
        <f>IF(O7="","",(O7/5)*W_CL)</f>
        <v/>
      </c>
      <c r="Q7" s="15">
        <v>0.0</v>
      </c>
      <c r="R7" s="15">
        <v>0.0</v>
      </c>
      <c r="S7" s="15">
        <v>0.0</v>
      </c>
      <c r="T7" s="12"/>
      <c r="U7" s="25">
        <f>MIN(S7,W_BONUS)+Q7*TRE_TASK+R7*TRE_NGAY</f>
        <v>0</v>
      </c>
      <c r="V7" s="26">
        <f t="shared" si="2"/>
        <v>67.75921659</v>
      </c>
      <c r="W7" s="17">
        <f t="shared" si="3"/>
        <v>9</v>
      </c>
      <c r="X7" s="17" t="str">
        <f>IF(V7&gt;=(W_SL+W_DOKHO+W_CL+W_BONUS),"✅ Đạt KPI",IF(V7&gt;=PCT_WARN,"⚠️ Gần đạt KPI","❌ Chưa đạt"))</f>
        <v>❌ Chưa đạt</v>
      </c>
      <c r="Z7" s="27">
        <f t="shared" si="4"/>
        <v>67.75921663</v>
      </c>
      <c r="AB7" s="17">
        <v>5.0</v>
      </c>
      <c r="AC7" s="13" t="str">
        <f t="array" ref="AC7">INDEX($A$3:$A$27,MATCH(LARGE($Z$3:$Z$27,5),$Z$3:$Z$27,0))</f>
        <v>Helia</v>
      </c>
      <c r="AD7" s="17" t="str">
        <f t="array" ref="AD7">INDEX($B$3:$B$27,MATCH(LARGE($Z$3:$Z$27,5),$Z$3:$Z$27,0))</f>
        <v>Media Key</v>
      </c>
      <c r="AE7" s="26">
        <f t="array" ref="AE7">INDEX($V$3:$V$27,MATCH(LARGE($Z$3:$Z$27,5),$Z$3:$Z$27,0))</f>
        <v>68.3025</v>
      </c>
      <c r="AF7" s="17" t="str">
        <f>IF(AE7&gt;=(W_SL+W_DOKHO+W_CL+W_BONUS),"✅ Đạt KPI",IF(AE7&gt;=PCT_WARN,"⚠️ Gần đạt KPI","❌ Chưa đạt"))</f>
        <v>❌ Chưa đạt</v>
      </c>
    </row>
    <row r="8">
      <c r="A8" s="22" t="s">
        <v>123</v>
      </c>
      <c r="B8" s="22" t="s">
        <v>118</v>
      </c>
      <c r="C8" s="23">
        <f>COUNTIF('Data thô T6'!$B:$B,A8)</f>
        <v>213</v>
      </c>
      <c r="D8" s="23">
        <f>SUMIF('Data thô T6'!$B:$B,A8,'Data thô T6'!$C:$C)</f>
        <v>289</v>
      </c>
      <c r="E8" s="23">
        <f>COUNTIFS('Data thô T6'!$B:$B,A8,'Data thô T6'!$E:$E,"PROX5")</f>
        <v>17</v>
      </c>
      <c r="F8" s="23">
        <f>COUNTIFS('Data thô T6'!$B:$B,A8,'Data thô T6'!$E:$E,"PROX4")</f>
        <v>32</v>
      </c>
      <c r="G8" s="23">
        <f>COUNTIFS('Data thô T6'!$B:$B,A8,'Data thô T6'!$E:$E,"PROX3")</f>
        <v>120</v>
      </c>
      <c r="H8" s="23">
        <f>COUNTIFS('Data thô T6'!$B:$B,A8,'Data thô T6'!$E:$E,"SEM")</f>
        <v>0</v>
      </c>
      <c r="I8" s="23">
        <f>COUNTIFS('Data thô T6'!$B:$B,A8,'Data thô T6'!$E:$E,"SE1")</f>
        <v>0</v>
      </c>
      <c r="J8" s="23">
        <f>COUNTIFS('Data thô T6'!$B:$B,A8,'Data thô T6'!$E:$E,"E0")</f>
        <v>33</v>
      </c>
      <c r="K8" s="17">
        <f t="shared" si="1"/>
        <v>202</v>
      </c>
      <c r="L8" s="24">
        <f>IF(C8=0,0,(E8*HS_PROX5+F8*HS_PROX4+G8*HS_PROX3+H8*HS_SEM+I8*HS_SE1+J8*HS_E0+(C8-K8)*HS_DEFAULT)/C8)</f>
        <v>1.094835681</v>
      </c>
      <c r="M8" s="25">
        <f>MIN(D8/TASK_TARGET,1)*W_SL</f>
        <v>60</v>
      </c>
      <c r="N8" s="25">
        <f>IF(C8=0,0,MAX(0,MIN(1,(L8-HS_MIN)/(HS_MAX-HS_MIN)))*W_DOKHO)</f>
        <v>7.403169014</v>
      </c>
      <c r="O8" s="15"/>
      <c r="P8" s="17" t="str">
        <f>IF(O8="","",(O8/5)*W_CL)</f>
        <v/>
      </c>
      <c r="Q8" s="15">
        <v>0.0</v>
      </c>
      <c r="R8" s="15">
        <v>0.0</v>
      </c>
      <c r="S8" s="15">
        <v>0.0</v>
      </c>
      <c r="T8" s="12"/>
      <c r="U8" s="25">
        <f>MIN(S8,W_BONUS)+Q8*TRE_TASK+R8*TRE_NGAY</f>
        <v>0</v>
      </c>
      <c r="V8" s="26">
        <f t="shared" si="2"/>
        <v>67.40316901</v>
      </c>
      <c r="W8" s="17">
        <f t="shared" si="3"/>
        <v>14</v>
      </c>
      <c r="X8" s="17" t="str">
        <f>IF(V8&gt;=(W_SL+W_DOKHO+W_CL+W_BONUS),"✅ Đạt KPI",IF(V8&gt;=PCT_WARN,"⚠️ Gần đạt KPI","❌ Chưa đạt"))</f>
        <v>❌ Chưa đạt</v>
      </c>
      <c r="Z8" s="27">
        <f t="shared" si="4"/>
        <v>67.40316906</v>
      </c>
      <c r="AB8" s="17">
        <v>6.0</v>
      </c>
      <c r="AC8" s="13" t="str">
        <f t="array" ref="AC8">INDEX($A$3:$A$27,MATCH(LARGE($Z$3:$Z$27,6),$Z$3:$Z$27,0))</f>
        <v>Titus</v>
      </c>
      <c r="AD8" s="17" t="str">
        <f t="array" ref="AD8">INDEX($B$3:$B$27,MATCH(LARGE($Z$3:$Z$27,6),$Z$3:$Z$27,0))</f>
        <v>Media Key</v>
      </c>
      <c r="AE8" s="26">
        <f t="array" ref="AE8">INDEX($V$3:$V$27,MATCH(LARGE($Z$3:$Z$27,6),$Z$3:$Z$27,0))</f>
        <v>68.259375</v>
      </c>
      <c r="AF8" s="17" t="str">
        <f>IF(AE8&gt;=(W_SL+W_DOKHO+W_CL+W_BONUS),"✅ Đạt KPI",IF(AE8&gt;=PCT_WARN,"⚠️ Gần đạt KPI","❌ Chưa đạt"))</f>
        <v>❌ Chưa đạt</v>
      </c>
    </row>
    <row r="9">
      <c r="A9" s="22" t="s">
        <v>124</v>
      </c>
      <c r="B9" s="22" t="s">
        <v>118</v>
      </c>
      <c r="C9" s="23">
        <f>COUNTIF('Data thô T6'!$B:$B,A9)</f>
        <v>202</v>
      </c>
      <c r="D9" s="23">
        <f>SUMIF('Data thô T6'!$B:$B,A9,'Data thô T6'!$C:$C)</f>
        <v>279</v>
      </c>
      <c r="E9" s="23">
        <f>COUNTIFS('Data thô T6'!$B:$B,A9,'Data thô T6'!$E:$E,"PROX5")</f>
        <v>13</v>
      </c>
      <c r="F9" s="23">
        <f>COUNTIFS('Data thô T6'!$B:$B,A9,'Data thô T6'!$E:$E,"PROX4")</f>
        <v>42</v>
      </c>
      <c r="G9" s="23">
        <f>COUNTIFS('Data thô T6'!$B:$B,A9,'Data thô T6'!$E:$E,"PROX3")</f>
        <v>102</v>
      </c>
      <c r="H9" s="23">
        <f>COUNTIFS('Data thô T6'!$B:$B,A9,'Data thô T6'!$E:$E,"SEM")</f>
        <v>0</v>
      </c>
      <c r="I9" s="23">
        <f>COUNTIFS('Data thô T6'!$B:$B,A9,'Data thô T6'!$E:$E,"SE1")</f>
        <v>9</v>
      </c>
      <c r="J9" s="23">
        <f>COUNTIFS('Data thô T6'!$B:$B,A9,'Data thô T6'!$E:$E,"E0")</f>
        <v>21</v>
      </c>
      <c r="K9" s="17">
        <f t="shared" si="1"/>
        <v>187</v>
      </c>
      <c r="L9" s="24">
        <f>IF(C9=0,0,(E9*HS_PROX5+F9*HS_PROX4+G9*HS_PROX3+H9*HS_SEM+I9*HS_SE1+J9*HS_E0+(C9-K9)*HS_DEFAULT)/C9)</f>
        <v>1.109405941</v>
      </c>
      <c r="M9" s="25">
        <f>MIN(D9/TASK_TARGET,1)*W_SL</f>
        <v>60</v>
      </c>
      <c r="N9" s="25">
        <f>IF(C9=0,0,MAX(0,MIN(1,(L9-HS_MIN)/(HS_MAX-HS_MIN)))*W_DOKHO)</f>
        <v>7.676361386</v>
      </c>
      <c r="O9" s="15"/>
      <c r="P9" s="17" t="str">
        <f>IF(O9="","",(O9/5)*W_CL)</f>
        <v/>
      </c>
      <c r="Q9" s="15">
        <v>0.0</v>
      </c>
      <c r="R9" s="15">
        <v>0.0</v>
      </c>
      <c r="S9" s="15">
        <v>0.0</v>
      </c>
      <c r="T9" s="12"/>
      <c r="U9" s="25">
        <f>MIN(S9,W_BONUS)+Q9*TRE_TASK+R9*TRE_NGAY</f>
        <v>0</v>
      </c>
      <c r="V9" s="26">
        <f t="shared" si="2"/>
        <v>67.67636139</v>
      </c>
      <c r="W9" s="17">
        <f t="shared" si="3"/>
        <v>10</v>
      </c>
      <c r="X9" s="17" t="str">
        <f>IF(V9&gt;=(W_SL+W_DOKHO+W_CL+W_BONUS),"✅ Đạt KPI",IF(V9&gt;=PCT_WARN,"⚠️ Gần đạt KPI","❌ Chưa đạt"))</f>
        <v>❌ Chưa đạt</v>
      </c>
      <c r="Z9" s="27">
        <f t="shared" si="4"/>
        <v>67.67636145</v>
      </c>
      <c r="AB9" s="17">
        <v>7.0</v>
      </c>
      <c r="AC9" s="13" t="str">
        <f t="array" ref="AC9">INDEX($A$3:$A$27,MATCH(LARGE($Z$3:$Z$27,7),$Z$3:$Z$27,0))</f>
        <v>Clara</v>
      </c>
      <c r="AD9" s="17" t="str">
        <f t="array" ref="AD9">INDEX($B$3:$B$27,MATCH(LARGE($Z$3:$Z$27,7),$Z$3:$Z$27,0))</f>
        <v>Media Key</v>
      </c>
      <c r="AE9" s="26">
        <f t="array" ref="AE9">INDEX($V$3:$V$27,MATCH(LARGE($Z$3:$Z$27,7),$Z$3:$Z$27,0))</f>
        <v>68.1</v>
      </c>
      <c r="AF9" s="17" t="str">
        <f>IF(AE9&gt;=(W_SL+W_DOKHO+W_CL+W_BONUS),"✅ Đạt KPI",IF(AE9&gt;=PCT_WARN,"⚠️ Gần đạt KPI","❌ Chưa đạt"))</f>
        <v>❌ Chưa đạt</v>
      </c>
    </row>
    <row r="10">
      <c r="A10" s="22" t="s">
        <v>125</v>
      </c>
      <c r="B10" s="22" t="s">
        <v>118</v>
      </c>
      <c r="C10" s="23">
        <f>COUNTIF('Data thô T6'!$B:$B,A10)</f>
        <v>200</v>
      </c>
      <c r="D10" s="23">
        <f>SUMIF('Data thô T6'!$B:$B,A10,'Data thô T6'!$C:$C)</f>
        <v>270</v>
      </c>
      <c r="E10" s="23">
        <f>COUNTIFS('Data thô T6'!$B:$B,A10,'Data thô T6'!$E:$E,"PROX5")</f>
        <v>8</v>
      </c>
      <c r="F10" s="23">
        <f>COUNTIFS('Data thô T6'!$B:$B,A10,'Data thô T6'!$E:$E,"PROX4")</f>
        <v>39</v>
      </c>
      <c r="G10" s="23">
        <f>COUNTIFS('Data thô T6'!$B:$B,A10,'Data thô T6'!$E:$E,"PROX3")</f>
        <v>139</v>
      </c>
      <c r="H10" s="23">
        <f>COUNTIFS('Data thô T6'!$B:$B,A10,'Data thô T6'!$E:$E,"SEM")</f>
        <v>2</v>
      </c>
      <c r="I10" s="23">
        <f>COUNTIFS('Data thô T6'!$B:$B,A10,'Data thô T6'!$E:$E,"SE1")</f>
        <v>0</v>
      </c>
      <c r="J10" s="23">
        <f>COUNTIFS('Data thô T6'!$B:$B,A10,'Data thô T6'!$E:$E,"E0")</f>
        <v>5</v>
      </c>
      <c r="K10" s="17">
        <f t="shared" si="1"/>
        <v>193</v>
      </c>
      <c r="L10" s="24">
        <f>IF(C10=0,0,(E10*HS_PROX5+F10*HS_PROX4+G10*HS_PROX3+H10*HS_SEM+I10*HS_SE1+J10*HS_E0+(C10-K10)*HS_DEFAULT)/C10)</f>
        <v>1.1405</v>
      </c>
      <c r="M10" s="25">
        <f>MIN(D10/TASK_TARGET,1)*W_SL</f>
        <v>60</v>
      </c>
      <c r="N10" s="25">
        <f>IF(C10=0,0,MAX(0,MIN(1,(L10-HS_MIN)/(HS_MAX-HS_MIN)))*W_DOKHO)</f>
        <v>8.259375</v>
      </c>
      <c r="O10" s="15"/>
      <c r="P10" s="17" t="str">
        <f>IF(O10="","",(O10/5)*W_CL)</f>
        <v/>
      </c>
      <c r="Q10" s="15">
        <v>0.0</v>
      </c>
      <c r="R10" s="15">
        <v>0.0</v>
      </c>
      <c r="S10" s="15">
        <v>0.0</v>
      </c>
      <c r="T10" s="12"/>
      <c r="U10" s="25">
        <f>MIN(S10,W_BONUS)+Q10*TRE_TASK+R10*TRE_NGAY</f>
        <v>0</v>
      </c>
      <c r="V10" s="26">
        <f t="shared" si="2"/>
        <v>68.259375</v>
      </c>
      <c r="W10" s="17">
        <f t="shared" si="3"/>
        <v>6</v>
      </c>
      <c r="X10" s="17" t="str">
        <f>IF(V10&gt;=(W_SL+W_DOKHO+W_CL+W_BONUS),"✅ Đạt KPI",IF(V10&gt;=PCT_WARN,"⚠️ Gần đạt KPI","❌ Chưa đạt"))</f>
        <v>❌ Chưa đạt</v>
      </c>
      <c r="Z10" s="27">
        <f t="shared" si="4"/>
        <v>68.25937507</v>
      </c>
      <c r="AB10" s="17">
        <v>8.0</v>
      </c>
      <c r="AC10" s="13" t="str">
        <f t="array" ref="AC10">INDEX($A$3:$A$27,MATCH(LARGE($Z$3:$Z$27,8),$Z$3:$Z$27,0))</f>
        <v>Julie</v>
      </c>
      <c r="AD10" s="17" t="str">
        <f t="array" ref="AD10">INDEX($B$3:$B$27,MATCH(LARGE($Z$3:$Z$27,8),$Z$3:$Z$27,0))</f>
        <v>Media Key</v>
      </c>
      <c r="AE10" s="26">
        <f t="array" ref="AE10">INDEX($V$3:$V$27,MATCH(LARGE($Z$3:$Z$27,8),$Z$3:$Z$27,0))</f>
        <v>68.01535088</v>
      </c>
      <c r="AF10" s="17" t="str">
        <f>IF(AE10&gt;=(W_SL+W_DOKHO+W_CL+W_BONUS),"✅ Đạt KPI",IF(AE10&gt;=PCT_WARN,"⚠️ Gần đạt KPI","❌ Chưa đạt"))</f>
        <v>❌ Chưa đạt</v>
      </c>
    </row>
    <row r="11">
      <c r="A11" s="22" t="s">
        <v>126</v>
      </c>
      <c r="B11" s="22" t="s">
        <v>118</v>
      </c>
      <c r="C11" s="23">
        <f>COUNTIF('Data thô T6'!$B:$B,A11)</f>
        <v>194</v>
      </c>
      <c r="D11" s="23">
        <f>SUMIF('Data thô T6'!$B:$B,A11,'Data thô T6'!$C:$C)</f>
        <v>266</v>
      </c>
      <c r="E11" s="23">
        <f>COUNTIFS('Data thô T6'!$B:$B,A11,'Data thô T6'!$E:$E,"PROX5")</f>
        <v>7</v>
      </c>
      <c r="F11" s="23">
        <f>COUNTIFS('Data thô T6'!$B:$B,A11,'Data thô T6'!$E:$E,"PROX4")</f>
        <v>24</v>
      </c>
      <c r="G11" s="23">
        <f>COUNTIFS('Data thô T6'!$B:$B,A11,'Data thô T6'!$E:$E,"PROX3")</f>
        <v>137</v>
      </c>
      <c r="H11" s="23">
        <f>COUNTIFS('Data thô T6'!$B:$B,A11,'Data thô T6'!$E:$E,"SEM")</f>
        <v>1</v>
      </c>
      <c r="I11" s="23">
        <f>COUNTIFS('Data thô T6'!$B:$B,A11,'Data thô T6'!$E:$E,"SE1")</f>
        <v>2</v>
      </c>
      <c r="J11" s="23">
        <f>COUNTIFS('Data thô T6'!$B:$B,A11,'Data thô T6'!$E:$E,"E0")</f>
        <v>13</v>
      </c>
      <c r="K11" s="17">
        <f t="shared" si="1"/>
        <v>184</v>
      </c>
      <c r="L11" s="24">
        <f>IF(C11=0,0,(E11*HS_PROX5+F11*HS_PROX4+G11*HS_PROX3+H11*HS_SEM+I11*HS_SE1+J11*HS_E0+(C11-K11)*HS_DEFAULT)/C11)</f>
        <v>1.104639175</v>
      </c>
      <c r="M11" s="25">
        <f>MIN(D11/TASK_TARGET,1)*W_SL</f>
        <v>60</v>
      </c>
      <c r="N11" s="25">
        <f>IF(C11=0,0,MAX(0,MIN(1,(L11-HS_MIN)/(HS_MAX-HS_MIN)))*W_DOKHO)</f>
        <v>7.586984536</v>
      </c>
      <c r="O11" s="15"/>
      <c r="P11" s="17" t="str">
        <f>IF(O11="","",(O11/5)*W_CL)</f>
        <v/>
      </c>
      <c r="Q11" s="15">
        <v>0.0</v>
      </c>
      <c r="R11" s="15">
        <v>0.0</v>
      </c>
      <c r="S11" s="15">
        <v>0.0</v>
      </c>
      <c r="T11" s="12"/>
      <c r="U11" s="25">
        <f>MIN(S11,W_BONUS)+Q11*TRE_TASK+R11*TRE_NGAY</f>
        <v>0</v>
      </c>
      <c r="V11" s="26">
        <f t="shared" si="2"/>
        <v>67.58698454</v>
      </c>
      <c r="W11" s="17">
        <f t="shared" si="3"/>
        <v>11</v>
      </c>
      <c r="X11" s="17" t="str">
        <f>IF(V11&gt;=(W_SL+W_DOKHO+W_CL+W_BONUS),"✅ Đạt KPI",IF(V11&gt;=PCT_WARN,"⚠️ Gần đạt KPI","❌ Chưa đạt"))</f>
        <v>❌ Chưa đạt</v>
      </c>
      <c r="Z11" s="27">
        <f t="shared" si="4"/>
        <v>67.58698462</v>
      </c>
      <c r="AB11" s="17">
        <v>9.0</v>
      </c>
      <c r="AC11" s="13" t="str">
        <f t="array" ref="AC11">INDEX($A$3:$A$27,MATCH(LARGE($Z$3:$Z$27,9),$Z$3:$Z$27,0))</f>
        <v>Barry</v>
      </c>
      <c r="AD11" s="17" t="str">
        <f t="array" ref="AD11">INDEX($B$3:$B$27,MATCH(LARGE($Z$3:$Z$27,9),$Z$3:$Z$27,0))</f>
        <v>Media Key</v>
      </c>
      <c r="AE11" s="26">
        <f t="array" ref="AE11">INDEX($V$3:$V$27,MATCH(LARGE($Z$3:$Z$27,9),$Z$3:$Z$27,0))</f>
        <v>67.75921659</v>
      </c>
      <c r="AF11" s="17" t="str">
        <f>IF(AE11&gt;=(W_SL+W_DOKHO+W_CL+W_BONUS),"✅ Đạt KPI",IF(AE11&gt;=PCT_WARN,"⚠️ Gần đạt KPI","❌ Chưa đạt"))</f>
        <v>❌ Chưa đạt</v>
      </c>
    </row>
    <row r="12">
      <c r="A12" s="22" t="s">
        <v>127</v>
      </c>
      <c r="B12" s="22" t="s">
        <v>118</v>
      </c>
      <c r="C12" s="23">
        <f>COUNTIF('Data thô T6'!$B:$B,A12)</f>
        <v>190</v>
      </c>
      <c r="D12" s="23">
        <f>SUMIF('Data thô T6'!$B:$B,A12,'Data thô T6'!$C:$C)</f>
        <v>249</v>
      </c>
      <c r="E12" s="23">
        <f>COUNTIFS('Data thô T6'!$B:$B,A12,'Data thô T6'!$E:$E,"PROX5")</f>
        <v>8</v>
      </c>
      <c r="F12" s="23">
        <f>COUNTIFS('Data thô T6'!$B:$B,A12,'Data thô T6'!$E:$E,"PROX4")</f>
        <v>48</v>
      </c>
      <c r="G12" s="23">
        <f>COUNTIFS('Data thô T6'!$B:$B,A12,'Data thô T6'!$E:$E,"PROX3")</f>
        <v>124</v>
      </c>
      <c r="H12" s="23">
        <f>COUNTIFS('Data thô T6'!$B:$B,A12,'Data thô T6'!$E:$E,"SEM")</f>
        <v>1</v>
      </c>
      <c r="I12" s="23">
        <f>COUNTIFS('Data thô T6'!$B:$B,A12,'Data thô T6'!$E:$E,"SE1")</f>
        <v>0</v>
      </c>
      <c r="J12" s="23">
        <f>COUNTIFS('Data thô T6'!$B:$B,A12,'Data thô T6'!$E:$E,"E0")</f>
        <v>7</v>
      </c>
      <c r="K12" s="17">
        <f t="shared" si="1"/>
        <v>188</v>
      </c>
      <c r="L12" s="24">
        <f>IF(C12=0,0,(E12*HS_PROX5+F12*HS_PROX4+G12*HS_PROX3+H12*HS_SEM+I12*HS_SE1+J12*HS_E0+(C12-K12)*HS_DEFAULT)/C12)</f>
        <v>1.151052632</v>
      </c>
      <c r="M12" s="25">
        <f>MIN(D12/TASK_TARGET,1)*W_SL</f>
        <v>60</v>
      </c>
      <c r="N12" s="25">
        <f>IF(C12=0,0,MAX(0,MIN(1,(L12-HS_MIN)/(HS_MAX-HS_MIN)))*W_DOKHO)</f>
        <v>8.457236842</v>
      </c>
      <c r="O12" s="15"/>
      <c r="P12" s="17" t="str">
        <f>IF(O12="","",(O12/5)*W_CL)</f>
        <v/>
      </c>
      <c r="Q12" s="15">
        <v>0.0</v>
      </c>
      <c r="R12" s="15">
        <v>0.0</v>
      </c>
      <c r="S12" s="15">
        <v>0.0</v>
      </c>
      <c r="T12" s="12"/>
      <c r="U12" s="25">
        <f>MIN(S12,W_BONUS)+Q12*TRE_TASK+R12*TRE_NGAY</f>
        <v>0</v>
      </c>
      <c r="V12" s="26">
        <f t="shared" si="2"/>
        <v>68.45723684</v>
      </c>
      <c r="W12" s="17">
        <f t="shared" si="3"/>
        <v>3</v>
      </c>
      <c r="X12" s="17" t="str">
        <f>IF(V12&gt;=(W_SL+W_DOKHO+W_CL+W_BONUS),"✅ Đạt KPI",IF(V12&gt;=PCT_WARN,"⚠️ Gần đạt KPI","❌ Chưa đạt"))</f>
        <v>❌ Chưa đạt</v>
      </c>
      <c r="Z12" s="27">
        <f t="shared" si="4"/>
        <v>68.45723693</v>
      </c>
      <c r="AB12" s="17">
        <v>10.0</v>
      </c>
      <c r="AC12" s="13" t="str">
        <f t="array" ref="AC12">INDEX($A$3:$A$27,MATCH(LARGE($Z$3:$Z$27,10),$Z$3:$Z$27,0))</f>
        <v>Ocean</v>
      </c>
      <c r="AD12" s="17" t="str">
        <f t="array" ref="AD12">INDEX($B$3:$B$27,MATCH(LARGE($Z$3:$Z$27,10),$Z$3:$Z$27,0))</f>
        <v>Media Key</v>
      </c>
      <c r="AE12" s="26">
        <f t="array" ref="AE12">INDEX($V$3:$V$27,MATCH(LARGE($Z$3:$Z$27,10),$Z$3:$Z$27,0))</f>
        <v>67.67636139</v>
      </c>
      <c r="AF12" s="17" t="str">
        <f>IF(AE12&gt;=(W_SL+W_DOKHO+W_CL+W_BONUS),"✅ Đạt KPI",IF(AE12&gt;=PCT_WARN,"⚠️ Gần đạt KPI","❌ Chưa đạt"))</f>
        <v>❌ Chưa đạt</v>
      </c>
    </row>
    <row r="13">
      <c r="A13" s="22" t="s">
        <v>128</v>
      </c>
      <c r="B13" s="22" t="s">
        <v>118</v>
      </c>
      <c r="C13" s="23">
        <f>COUNTIF('Data thô T6'!$B:$B,A13)</f>
        <v>171</v>
      </c>
      <c r="D13" s="23">
        <f>SUMIF('Data thô T6'!$B:$B,A13,'Data thô T6'!$C:$C)</f>
        <v>229</v>
      </c>
      <c r="E13" s="23">
        <f>COUNTIFS('Data thô T6'!$B:$B,A13,'Data thô T6'!$E:$E,"PROX5")</f>
        <v>5</v>
      </c>
      <c r="F13" s="23">
        <f>COUNTIFS('Data thô T6'!$B:$B,A13,'Data thô T6'!$E:$E,"PROX4")</f>
        <v>35</v>
      </c>
      <c r="G13" s="23">
        <f>COUNTIFS('Data thô T6'!$B:$B,A13,'Data thô T6'!$E:$E,"PROX3")</f>
        <v>112</v>
      </c>
      <c r="H13" s="23">
        <f>COUNTIFS('Data thô T6'!$B:$B,A13,'Data thô T6'!$E:$E,"SEM")</f>
        <v>1</v>
      </c>
      <c r="I13" s="23">
        <f>COUNTIFS('Data thô T6'!$B:$B,A13,'Data thô T6'!$E:$E,"SE1")</f>
        <v>0</v>
      </c>
      <c r="J13" s="23">
        <f>COUNTIFS('Data thô T6'!$B:$B,A13,'Data thô T6'!$E:$E,"E0")</f>
        <v>8</v>
      </c>
      <c r="K13" s="17">
        <f t="shared" si="1"/>
        <v>161</v>
      </c>
      <c r="L13" s="24">
        <f>IF(C13=0,0,(E13*HS_PROX5+F13*HS_PROX4+G13*HS_PROX3+H13*HS_SEM+I13*HS_SE1+J13*HS_E0+(C13-K13)*HS_DEFAULT)/C13)</f>
        <v>1.12748538</v>
      </c>
      <c r="M13" s="25">
        <f>MIN(D13/TASK_TARGET,1)*W_SL</f>
        <v>60</v>
      </c>
      <c r="N13" s="25">
        <f>IF(C13=0,0,MAX(0,MIN(1,(L13-HS_MIN)/(HS_MAX-HS_MIN)))*W_DOKHO)</f>
        <v>8.015350877</v>
      </c>
      <c r="O13" s="15"/>
      <c r="P13" s="17" t="str">
        <f>IF(O13="","",(O13/5)*W_CL)</f>
        <v/>
      </c>
      <c r="Q13" s="15">
        <v>0.0</v>
      </c>
      <c r="R13" s="15">
        <v>0.0</v>
      </c>
      <c r="S13" s="15">
        <v>0.0</v>
      </c>
      <c r="T13" s="12"/>
      <c r="U13" s="25">
        <f>MIN(S13,W_BONUS)+Q13*TRE_TASK+R13*TRE_NGAY</f>
        <v>0</v>
      </c>
      <c r="V13" s="26">
        <f t="shared" si="2"/>
        <v>68.01535088</v>
      </c>
      <c r="W13" s="17">
        <f t="shared" si="3"/>
        <v>8</v>
      </c>
      <c r="X13" s="17" t="str">
        <f>IF(V13&gt;=(W_SL+W_DOKHO+W_CL+W_BONUS),"✅ Đạt KPI",IF(V13&gt;=PCT_WARN,"⚠️ Gần đạt KPI","❌ Chưa đạt"))</f>
        <v>❌ Chưa đạt</v>
      </c>
      <c r="Z13" s="27">
        <f t="shared" si="4"/>
        <v>68.01535098</v>
      </c>
      <c r="AB13" s="17">
        <v>11.0</v>
      </c>
      <c r="AC13" s="13" t="str">
        <f t="array" ref="AC13">INDEX($A$3:$A$27,MATCH(LARGE($Z$3:$Z$27,11),$Z$3:$Z$27,0))</f>
        <v>Leon Le</v>
      </c>
      <c r="AD13" s="17" t="str">
        <f t="array" ref="AD13">INDEX($B$3:$B$27,MATCH(LARGE($Z$3:$Z$27,11),$Z$3:$Z$27,0))</f>
        <v>Media Key</v>
      </c>
      <c r="AE13" s="26">
        <f t="array" ref="AE13">INDEX($V$3:$V$27,MATCH(LARGE($Z$3:$Z$27,11),$Z$3:$Z$27,0))</f>
        <v>67.58698454</v>
      </c>
      <c r="AF13" s="17" t="str">
        <f>IF(AE13&gt;=(W_SL+W_DOKHO+W_CL+W_BONUS),"✅ Đạt KPI",IF(AE13&gt;=PCT_WARN,"⚠️ Gần đạt KPI","❌ Chưa đạt"))</f>
        <v>❌ Chưa đạt</v>
      </c>
    </row>
    <row r="14">
      <c r="A14" s="22" t="s">
        <v>129</v>
      </c>
      <c r="B14" s="22" t="s">
        <v>130</v>
      </c>
      <c r="C14" s="23">
        <f>COUNTIF('Data thô T6'!$B:$B,A14)</f>
        <v>81</v>
      </c>
      <c r="D14" s="23">
        <f>SUMIF('Data thô T6'!$B:$B,A14,'Data thô T6'!$C:$C)</f>
        <v>81</v>
      </c>
      <c r="E14" s="23">
        <f>COUNTIFS('Data thô T6'!$B:$B,A14,'Data thô T6'!$E:$E,"PROX5")</f>
        <v>1</v>
      </c>
      <c r="F14" s="23">
        <f>COUNTIFS('Data thô T6'!$B:$B,A14,'Data thô T6'!$E:$E,"PROX4")</f>
        <v>15</v>
      </c>
      <c r="G14" s="23">
        <f>COUNTIFS('Data thô T6'!$B:$B,A14,'Data thô T6'!$E:$E,"PROX3")</f>
        <v>41</v>
      </c>
      <c r="H14" s="23">
        <f>COUNTIFS('Data thô T6'!$B:$B,A14,'Data thô T6'!$E:$E,"SEM")</f>
        <v>1</v>
      </c>
      <c r="I14" s="23">
        <f>COUNTIFS('Data thô T6'!$B:$B,A14,'Data thô T6'!$E:$E,"SE1")</f>
        <v>1</v>
      </c>
      <c r="J14" s="23">
        <f>COUNTIFS('Data thô T6'!$B:$B,A14,'Data thô T6'!$E:$E,"E0")</f>
        <v>11</v>
      </c>
      <c r="K14" s="17">
        <f t="shared" si="1"/>
        <v>70</v>
      </c>
      <c r="L14" s="24">
        <f>IF(C14=0,0,(E14*HS_PROX5+F14*HS_PROX4+G14*HS_PROX3+H14*HS_SEM+I14*HS_SE1+J14*HS_E0+(C14-K14)*HS_DEFAULT)/C14)</f>
        <v>1.07037037</v>
      </c>
      <c r="M14" s="25">
        <f>MIN(D14/TASK_TARGET,1)*W_SL</f>
        <v>32.4</v>
      </c>
      <c r="N14" s="25">
        <f>IF(C14=0,0,MAX(0,MIN(1,(L14-HS_MIN)/(HS_MAX-HS_MIN)))*W_DOKHO)</f>
        <v>6.944444444</v>
      </c>
      <c r="O14" s="15"/>
      <c r="P14" s="17" t="str">
        <f>IF(O14="","",(O14/5)*W_CL)</f>
        <v/>
      </c>
      <c r="Q14" s="15">
        <v>0.0</v>
      </c>
      <c r="R14" s="15">
        <v>0.0</v>
      </c>
      <c r="S14" s="15">
        <v>0.0</v>
      </c>
      <c r="T14" s="12"/>
      <c r="U14" s="25">
        <f>MIN(S14,W_BONUS)+Q14*TRE_TASK+R14*TRE_NGAY</f>
        <v>0</v>
      </c>
      <c r="V14" s="26">
        <f t="shared" si="2"/>
        <v>39.34444444</v>
      </c>
      <c r="W14" s="17">
        <f t="shared" si="3"/>
        <v>20</v>
      </c>
      <c r="X14" s="17" t="str">
        <f>IF(V14&gt;=(W_SL+W_DOKHO+W_CL+W_BONUS),"✅ Đạt KPI",IF(V14&gt;=PCT_WARN,"⚠️ Gần đạt KPI","❌ Chưa đạt"))</f>
        <v>❌ Chưa đạt</v>
      </c>
      <c r="Z14" s="27">
        <f t="shared" si="4"/>
        <v>39.34444455</v>
      </c>
      <c r="AB14" s="17">
        <v>12.0</v>
      </c>
      <c r="AC14" s="13" t="str">
        <f t="array" ref="AC14">INDEX($A$3:$A$27,MATCH(LARGE($Z$3:$Z$27,12),$Z$3:$Z$27,0))</f>
        <v>Heidi</v>
      </c>
      <c r="AD14" s="17" t="str">
        <f t="array" ref="AD14">INDEX($B$3:$B$27,MATCH(LARGE($Z$3:$Z$27,12),$Z$3:$Z$27,0))</f>
        <v>Media Key</v>
      </c>
      <c r="AE14" s="26">
        <f t="array" ref="AE14">INDEX($V$3:$V$27,MATCH(LARGE($Z$3:$Z$27,12),$Z$3:$Z$27,0))</f>
        <v>67.56818182</v>
      </c>
      <c r="AF14" s="17" t="str">
        <f>IF(AE14&gt;=(W_SL+W_DOKHO+W_CL+W_BONUS),"✅ Đạt KPI",IF(AE14&gt;=PCT_WARN,"⚠️ Gần đạt KPI","❌ Chưa đạt"))</f>
        <v>❌ Chưa đạt</v>
      </c>
    </row>
    <row r="15">
      <c r="A15" s="22" t="s">
        <v>131</v>
      </c>
      <c r="B15" s="22" t="s">
        <v>130</v>
      </c>
      <c r="C15" s="23">
        <f>COUNTIF('Data thô T6'!$B:$B,A15)</f>
        <v>80</v>
      </c>
      <c r="D15" s="23">
        <f>SUMIF('Data thô T6'!$B:$B,A15,'Data thô T6'!$C:$C)</f>
        <v>80</v>
      </c>
      <c r="E15" s="23">
        <f>COUNTIFS('Data thô T6'!$B:$B,A15,'Data thô T6'!$E:$E,"PROX5")</f>
        <v>1</v>
      </c>
      <c r="F15" s="23">
        <f>COUNTIFS('Data thô T6'!$B:$B,A15,'Data thô T6'!$E:$E,"PROX4")</f>
        <v>10</v>
      </c>
      <c r="G15" s="23">
        <f>COUNTIFS('Data thô T6'!$B:$B,A15,'Data thô T6'!$E:$E,"PROX3")</f>
        <v>55</v>
      </c>
      <c r="H15" s="23">
        <f>COUNTIFS('Data thô T6'!$B:$B,A15,'Data thô T6'!$E:$E,"SEM")</f>
        <v>0</v>
      </c>
      <c r="I15" s="23">
        <f>COUNTIFS('Data thô T6'!$B:$B,A15,'Data thô T6'!$E:$E,"SE1")</f>
        <v>1</v>
      </c>
      <c r="J15" s="23">
        <f>COUNTIFS('Data thô T6'!$B:$B,A15,'Data thô T6'!$E:$E,"E0")</f>
        <v>5</v>
      </c>
      <c r="K15" s="17">
        <f t="shared" si="1"/>
        <v>72</v>
      </c>
      <c r="L15" s="24">
        <f>IF(C15=0,0,(E15*HS_PROX5+F15*HS_PROX4+G15*HS_PROX3+H15*HS_SEM+I15*HS_SE1+J15*HS_E0+(C15-K15)*HS_DEFAULT)/C15)</f>
        <v>1.0925</v>
      </c>
      <c r="M15" s="25">
        <f>MIN(D15/TASK_TARGET,1)*W_SL</f>
        <v>32</v>
      </c>
      <c r="N15" s="25">
        <f>IF(C15=0,0,MAX(0,MIN(1,(L15-HS_MIN)/(HS_MAX-HS_MIN)))*W_DOKHO)</f>
        <v>7.359375</v>
      </c>
      <c r="O15" s="15"/>
      <c r="P15" s="17" t="str">
        <f>IF(O15="","",(O15/5)*W_CL)</f>
        <v/>
      </c>
      <c r="Q15" s="15">
        <v>0.0</v>
      </c>
      <c r="R15" s="15">
        <v>0.0</v>
      </c>
      <c r="S15" s="15">
        <v>0.0</v>
      </c>
      <c r="T15" s="12"/>
      <c r="U15" s="25">
        <f>MIN(S15,W_BONUS)+Q15*TRE_TASK+R15*TRE_NGAY</f>
        <v>0</v>
      </c>
      <c r="V15" s="26">
        <f t="shared" si="2"/>
        <v>39.359375</v>
      </c>
      <c r="W15" s="17">
        <f t="shared" si="3"/>
        <v>19</v>
      </c>
      <c r="X15" s="17" t="str">
        <f>IF(V15&gt;=(W_SL+W_DOKHO+W_CL+W_BONUS),"✅ Đạt KPI",IF(V15&gt;=PCT_WARN,"⚠️ Gần đạt KPI","❌ Chưa đạt"))</f>
        <v>❌ Chưa đạt</v>
      </c>
      <c r="Z15" s="27">
        <f t="shared" si="4"/>
        <v>39.35937512</v>
      </c>
      <c r="AB15" s="17">
        <v>13.0</v>
      </c>
      <c r="AC15" s="13" t="str">
        <f t="array" ref="AC15">INDEX($A$3:$A$27,MATCH(LARGE($Z$3:$Z$27,13),$Z$3:$Z$27,0))</f>
        <v>Daniel</v>
      </c>
      <c r="AD15" s="17" t="str">
        <f t="array" ref="AD15">INDEX($B$3:$B$27,MATCH(LARGE($Z$3:$Z$27,13),$Z$3:$Z$27,0))</f>
        <v>Media Key</v>
      </c>
      <c r="AE15" s="26">
        <f t="array" ref="AE15">INDEX($V$3:$V$27,MATCH(LARGE($Z$3:$Z$27,13),$Z$3:$Z$27,0))</f>
        <v>67.47713415</v>
      </c>
      <c r="AF15" s="17" t="str">
        <f>IF(AE15&gt;=(W_SL+W_DOKHO+W_CL+W_BONUS),"✅ Đạt KPI",IF(AE15&gt;=PCT_WARN,"⚠️ Gần đạt KPI","❌ Chưa đạt"))</f>
        <v>❌ Chưa đạt</v>
      </c>
    </row>
    <row r="16">
      <c r="A16" s="22" t="s">
        <v>132</v>
      </c>
      <c r="B16" s="22" t="s">
        <v>130</v>
      </c>
      <c r="C16" s="23">
        <f>COUNTIF('Data thô T6'!$B:$B,A16)</f>
        <v>80</v>
      </c>
      <c r="D16" s="23">
        <f>SUMIF('Data thô T6'!$B:$B,A16,'Data thô T6'!$C:$C)</f>
        <v>80</v>
      </c>
      <c r="E16" s="23">
        <f>COUNTIFS('Data thô T6'!$B:$B,A16,'Data thô T6'!$E:$E,"PROX5")</f>
        <v>1</v>
      </c>
      <c r="F16" s="23">
        <f>COUNTIFS('Data thô T6'!$B:$B,A16,'Data thô T6'!$E:$E,"PROX4")</f>
        <v>16</v>
      </c>
      <c r="G16" s="23">
        <f>COUNTIFS('Data thô T6'!$B:$B,A16,'Data thô T6'!$E:$E,"PROX3")</f>
        <v>37</v>
      </c>
      <c r="H16" s="23">
        <f>COUNTIFS('Data thô T6'!$B:$B,A16,'Data thô T6'!$E:$E,"SEM")</f>
        <v>4</v>
      </c>
      <c r="I16" s="23">
        <f>COUNTIFS('Data thô T6'!$B:$B,A16,'Data thô T6'!$E:$E,"SE1")</f>
        <v>3</v>
      </c>
      <c r="J16" s="23">
        <f>COUNTIFS('Data thô T6'!$B:$B,A16,'Data thô T6'!$E:$E,"E0")</f>
        <v>12</v>
      </c>
      <c r="K16" s="17">
        <f t="shared" si="1"/>
        <v>73</v>
      </c>
      <c r="L16" s="24">
        <f>IF(C16=0,0,(E16*HS_PROX5+F16*HS_PROX4+G16*HS_PROX3+H16*HS_SEM+I16*HS_SE1+J16*HS_E0+(C16-K16)*HS_DEFAULT)/C16)</f>
        <v>1.06375</v>
      </c>
      <c r="M16" s="25">
        <f>MIN(D16/TASK_TARGET,1)*W_SL</f>
        <v>32</v>
      </c>
      <c r="N16" s="25">
        <f>IF(C16=0,0,MAX(0,MIN(1,(L16-HS_MIN)/(HS_MAX-HS_MIN)))*W_DOKHO)</f>
        <v>6.8203125</v>
      </c>
      <c r="O16" s="15"/>
      <c r="P16" s="17" t="str">
        <f>IF(O16="","",(O16/5)*W_CL)</f>
        <v/>
      </c>
      <c r="Q16" s="15">
        <v>0.0</v>
      </c>
      <c r="R16" s="15">
        <v>0.0</v>
      </c>
      <c r="S16" s="15">
        <v>0.0</v>
      </c>
      <c r="T16" s="12"/>
      <c r="U16" s="25">
        <f>MIN(S16,W_BONUS)+Q16*TRE_TASK+R16*TRE_NGAY</f>
        <v>0</v>
      </c>
      <c r="V16" s="26">
        <f t="shared" si="2"/>
        <v>38.8203125</v>
      </c>
      <c r="W16" s="17">
        <f t="shared" si="3"/>
        <v>23</v>
      </c>
      <c r="X16" s="17" t="str">
        <f>IF(V16&gt;=(W_SL+W_DOKHO+W_CL+W_BONUS),"✅ Đạt KPI",IF(V16&gt;=PCT_WARN,"⚠️ Gần đạt KPI","❌ Chưa đạt"))</f>
        <v>❌ Chưa đạt</v>
      </c>
      <c r="Z16" s="27">
        <f t="shared" si="4"/>
        <v>38.82031263</v>
      </c>
      <c r="AB16" s="17">
        <v>14.0</v>
      </c>
      <c r="AC16" s="13" t="str">
        <f t="array" ref="AC16">INDEX($A$3:$A$27,MATCH(LARGE($Z$3:$Z$27,14),$Z$3:$Z$27,0))</f>
        <v>Alex</v>
      </c>
      <c r="AD16" s="17" t="str">
        <f t="array" ref="AD16">INDEX($B$3:$B$27,MATCH(LARGE($Z$3:$Z$27,14),$Z$3:$Z$27,0))</f>
        <v>Media Key</v>
      </c>
      <c r="AE16" s="26">
        <f t="array" ref="AE16">INDEX($V$3:$V$27,MATCH(LARGE($Z$3:$Z$27,14),$Z$3:$Z$27,0))</f>
        <v>67.40316901</v>
      </c>
      <c r="AF16" s="17" t="str">
        <f>IF(AE16&gt;=(W_SL+W_DOKHO+W_CL+W_BONUS),"✅ Đạt KPI",IF(AE16&gt;=PCT_WARN,"⚠️ Gần đạt KPI","❌ Chưa đạt"))</f>
        <v>❌ Chưa đạt</v>
      </c>
    </row>
    <row r="17">
      <c r="A17" s="22" t="s">
        <v>133</v>
      </c>
      <c r="B17" s="22" t="s">
        <v>130</v>
      </c>
      <c r="C17" s="23">
        <f>COUNTIF('Data thô T6'!$B:$B,A17)</f>
        <v>80</v>
      </c>
      <c r="D17" s="23">
        <f>SUMIF('Data thô T6'!$B:$B,A17,'Data thô T6'!$C:$C)</f>
        <v>80</v>
      </c>
      <c r="E17" s="23">
        <f>COUNTIFS('Data thô T6'!$B:$B,A17,'Data thô T6'!$E:$E,"PROX5")</f>
        <v>6</v>
      </c>
      <c r="F17" s="23">
        <f>COUNTIFS('Data thô T6'!$B:$B,A17,'Data thô T6'!$E:$E,"PROX4")</f>
        <v>12</v>
      </c>
      <c r="G17" s="23">
        <f>COUNTIFS('Data thô T6'!$B:$B,A17,'Data thô T6'!$E:$E,"PROX3")</f>
        <v>42</v>
      </c>
      <c r="H17" s="23">
        <f>COUNTIFS('Data thô T6'!$B:$B,A17,'Data thô T6'!$E:$E,"SEM")</f>
        <v>1</v>
      </c>
      <c r="I17" s="23">
        <f>COUNTIFS('Data thô T6'!$B:$B,A17,'Data thô T6'!$E:$E,"SE1")</f>
        <v>1</v>
      </c>
      <c r="J17" s="23">
        <f>COUNTIFS('Data thô T6'!$B:$B,A17,'Data thô T6'!$E:$E,"E0")</f>
        <v>8</v>
      </c>
      <c r="K17" s="17">
        <f t="shared" si="1"/>
        <v>70</v>
      </c>
      <c r="L17" s="24">
        <f>IF(C17=0,0,(E17*HS_PROX5+F17*HS_PROX4+G17*HS_PROX3+H17*HS_SEM+I17*HS_SE1+J17*HS_E0+(C17-K17)*HS_DEFAULT)/C17)</f>
        <v>1.10375</v>
      </c>
      <c r="M17" s="25">
        <f>MIN(D17/TASK_TARGET,1)*W_SL</f>
        <v>32</v>
      </c>
      <c r="N17" s="25">
        <f>IF(C17=0,0,MAX(0,MIN(1,(L17-HS_MIN)/(HS_MAX-HS_MIN)))*W_DOKHO)</f>
        <v>7.5703125</v>
      </c>
      <c r="O17" s="15"/>
      <c r="P17" s="17" t="str">
        <f>IF(O17="","",(O17/5)*W_CL)</f>
        <v/>
      </c>
      <c r="Q17" s="15">
        <v>0.0</v>
      </c>
      <c r="R17" s="15">
        <v>0.0</v>
      </c>
      <c r="S17" s="15">
        <v>0.0</v>
      </c>
      <c r="T17" s="12"/>
      <c r="U17" s="25">
        <f>MIN(S17,W_BONUS)+Q17*TRE_TASK+R17*TRE_NGAY</f>
        <v>0</v>
      </c>
      <c r="V17" s="26">
        <f t="shared" si="2"/>
        <v>39.5703125</v>
      </c>
      <c r="W17" s="17">
        <f t="shared" si="3"/>
        <v>16</v>
      </c>
      <c r="X17" s="17" t="str">
        <f>IF(V17&gt;=(W_SL+W_DOKHO+W_CL+W_BONUS),"✅ Đạt KPI",IF(V17&gt;=PCT_WARN,"⚠️ Gần đạt KPI","❌ Chưa đạt"))</f>
        <v>❌ Chưa đạt</v>
      </c>
      <c r="Z17" s="27">
        <f t="shared" si="4"/>
        <v>39.57031264</v>
      </c>
      <c r="AB17" s="17">
        <v>15.0</v>
      </c>
      <c r="AC17" s="13" t="str">
        <f t="array" ref="AC17">INDEX($A$3:$A$27,MATCH(LARGE($Z$3:$Z$27,15),$Z$3:$Z$27,0))</f>
        <v>Nathan</v>
      </c>
      <c r="AD17" s="17" t="str">
        <f t="array" ref="AD17">INDEX($B$3:$B$27,MATCH(LARGE($Z$3:$Z$27,15),$Z$3:$Z$27,0))</f>
        <v>Media Key</v>
      </c>
      <c r="AE17" s="26">
        <f t="array" ref="AE17">INDEX($V$3:$V$27,MATCH(LARGE($Z$3:$Z$27,15),$Z$3:$Z$27,0))</f>
        <v>44.41029412</v>
      </c>
      <c r="AF17" s="17" t="str">
        <f>IF(AE17&gt;=(W_SL+W_DOKHO+W_CL+W_BONUS),"✅ Đạt KPI",IF(AE17&gt;=PCT_WARN,"⚠️ Gần đạt KPI","❌ Chưa đạt"))</f>
        <v>❌ Chưa đạt</v>
      </c>
    </row>
    <row r="18">
      <c r="A18" s="22" t="s">
        <v>134</v>
      </c>
      <c r="B18" s="22" t="s">
        <v>130</v>
      </c>
      <c r="C18" s="23">
        <f>COUNTIF('Data thô T6'!$B:$B,A18)</f>
        <v>80</v>
      </c>
      <c r="D18" s="23">
        <f>SUMIF('Data thô T6'!$B:$B,A18,'Data thô T6'!$C:$C)</f>
        <v>80</v>
      </c>
      <c r="E18" s="23">
        <f>COUNTIFS('Data thô T6'!$B:$B,A18,'Data thô T6'!$E:$E,"PROX5")</f>
        <v>0</v>
      </c>
      <c r="F18" s="23">
        <f>COUNTIFS('Data thô T6'!$B:$B,A18,'Data thô T6'!$E:$E,"PROX4")</f>
        <v>12</v>
      </c>
      <c r="G18" s="23">
        <f>COUNTIFS('Data thô T6'!$B:$B,A18,'Data thô T6'!$E:$E,"PROX3")</f>
        <v>50</v>
      </c>
      <c r="H18" s="23">
        <f>COUNTIFS('Data thô T6'!$B:$B,A18,'Data thô T6'!$E:$E,"SEM")</f>
        <v>0</v>
      </c>
      <c r="I18" s="23">
        <f>COUNTIFS('Data thô T6'!$B:$B,A18,'Data thô T6'!$E:$E,"SE1")</f>
        <v>3</v>
      </c>
      <c r="J18" s="23">
        <f>COUNTIFS('Data thô T6'!$B:$B,A18,'Data thô T6'!$E:$E,"E0")</f>
        <v>7</v>
      </c>
      <c r="K18" s="17">
        <f t="shared" si="1"/>
        <v>72</v>
      </c>
      <c r="L18" s="24">
        <f>IF(C18=0,0,(E18*HS_PROX5+F18*HS_PROX4+G18*HS_PROX3+H18*HS_SEM+I18*HS_SE1+J18*HS_E0+(C18-K18)*HS_DEFAULT)/C18)</f>
        <v>1.0775</v>
      </c>
      <c r="M18" s="25">
        <f>MIN(D18/TASK_TARGET,1)*W_SL</f>
        <v>32</v>
      </c>
      <c r="N18" s="25">
        <f>IF(C18=0,0,MAX(0,MIN(1,(L18-HS_MIN)/(HS_MAX-HS_MIN)))*W_DOKHO)</f>
        <v>7.078125</v>
      </c>
      <c r="O18" s="15"/>
      <c r="P18" s="17" t="str">
        <f>IF(O18="","",(O18/5)*W_CL)</f>
        <v/>
      </c>
      <c r="Q18" s="15">
        <v>0.0</v>
      </c>
      <c r="R18" s="15">
        <v>0.0</v>
      </c>
      <c r="S18" s="15">
        <v>0.0</v>
      </c>
      <c r="T18" s="12"/>
      <c r="U18" s="25">
        <f>MIN(S18,W_BONUS)+Q18*TRE_TASK+R18*TRE_NGAY</f>
        <v>0</v>
      </c>
      <c r="V18" s="26">
        <f t="shared" si="2"/>
        <v>39.078125</v>
      </c>
      <c r="W18" s="17">
        <f t="shared" si="3"/>
        <v>22</v>
      </c>
      <c r="X18" s="17" t="str">
        <f>IF(V18&gt;=(W_SL+W_DOKHO+W_CL+W_BONUS),"✅ Đạt KPI",IF(V18&gt;=PCT_WARN,"⚠️ Gần đạt KPI","❌ Chưa đạt"))</f>
        <v>❌ Chưa đạt</v>
      </c>
      <c r="Z18" s="27">
        <f t="shared" si="4"/>
        <v>39.07812515</v>
      </c>
      <c r="AB18" s="17">
        <v>16.0</v>
      </c>
      <c r="AC18" s="13" t="str">
        <f t="array" ref="AC18">INDEX($A$3:$A$27,MATCH(LARGE($Z$3:$Z$27,16),$Z$3:$Z$27,0))</f>
        <v>Uri</v>
      </c>
      <c r="AD18" s="17" t="str">
        <f t="array" ref="AD18">INDEX($B$3:$B$27,MATCH(LARGE($Z$3:$Z$27,16),$Z$3:$Z$27,0))</f>
        <v>Media CTV</v>
      </c>
      <c r="AE18" s="26">
        <f t="array" ref="AE18">INDEX($V$3:$V$27,MATCH(LARGE($Z$3:$Z$27,16),$Z$3:$Z$27,0))</f>
        <v>39.5703125</v>
      </c>
      <c r="AF18" s="17" t="str">
        <f>IF(AE18&gt;=(W_SL+W_DOKHO+W_CL+W_BONUS),"✅ Đạt KPI",IF(AE18&gt;=PCT_WARN,"⚠️ Gần đạt KPI","❌ Chưa đạt"))</f>
        <v>❌ Chưa đạt</v>
      </c>
    </row>
    <row r="19">
      <c r="A19" s="22" t="s">
        <v>135</v>
      </c>
      <c r="B19" s="22" t="s">
        <v>130</v>
      </c>
      <c r="C19" s="23">
        <f>COUNTIF('Data thô T6'!$B:$B,A19)</f>
        <v>80</v>
      </c>
      <c r="D19" s="23">
        <f>SUMIF('Data thô T6'!$B:$B,A19,'Data thô T6'!$C:$C)</f>
        <v>80</v>
      </c>
      <c r="E19" s="23">
        <f>COUNTIFS('Data thô T6'!$B:$B,A19,'Data thô T6'!$E:$E,"PROX5")</f>
        <v>0</v>
      </c>
      <c r="F19" s="23">
        <f>COUNTIFS('Data thô T6'!$B:$B,A19,'Data thô T6'!$E:$E,"PROX4")</f>
        <v>13</v>
      </c>
      <c r="G19" s="23">
        <f>COUNTIFS('Data thô T6'!$B:$B,A19,'Data thô T6'!$E:$E,"PROX3")</f>
        <v>48</v>
      </c>
      <c r="H19" s="23">
        <f>COUNTIFS('Data thô T6'!$B:$B,A19,'Data thô T6'!$E:$E,"SEM")</f>
        <v>0</v>
      </c>
      <c r="I19" s="23">
        <f>COUNTIFS('Data thô T6'!$B:$B,A19,'Data thô T6'!$E:$E,"SE1")</f>
        <v>0</v>
      </c>
      <c r="J19" s="23">
        <f>COUNTIFS('Data thô T6'!$B:$B,A19,'Data thô T6'!$E:$E,"E0")</f>
        <v>3</v>
      </c>
      <c r="K19" s="17">
        <f t="shared" si="1"/>
        <v>64</v>
      </c>
      <c r="L19" s="24">
        <f>IF(C19=0,0,(E19*HS_PROX5+F19*HS_PROX4+G19*HS_PROX3+H19*HS_SEM+I19*HS_SE1+J19*HS_E0+(C19-K19)*HS_DEFAULT)/C19)</f>
        <v>1.0975</v>
      </c>
      <c r="M19" s="25">
        <f>MIN(D19/TASK_TARGET,1)*W_SL</f>
        <v>32</v>
      </c>
      <c r="N19" s="25">
        <f>IF(C19=0,0,MAX(0,MIN(1,(L19-HS_MIN)/(HS_MAX-HS_MIN)))*W_DOKHO)</f>
        <v>7.453125</v>
      </c>
      <c r="O19" s="15"/>
      <c r="P19" s="17" t="str">
        <f>IF(O19="","",(O19/5)*W_CL)</f>
        <v/>
      </c>
      <c r="Q19" s="15">
        <v>0.0</v>
      </c>
      <c r="R19" s="15">
        <v>0.0</v>
      </c>
      <c r="S19" s="15">
        <v>0.0</v>
      </c>
      <c r="T19" s="12"/>
      <c r="U19" s="25">
        <f>MIN(S19,W_BONUS)+Q19*TRE_TASK+R19*TRE_NGAY</f>
        <v>0</v>
      </c>
      <c r="V19" s="26">
        <f t="shared" si="2"/>
        <v>39.453125</v>
      </c>
      <c r="W19" s="17">
        <f t="shared" si="3"/>
        <v>18</v>
      </c>
      <c r="X19" s="17" t="str">
        <f>IF(V19&gt;=(W_SL+W_DOKHO+W_CL+W_BONUS),"✅ Đạt KPI",IF(V19&gt;=PCT_WARN,"⚠️ Gần đạt KPI","❌ Chưa đạt"))</f>
        <v>❌ Chưa đạt</v>
      </c>
      <c r="Z19" s="27">
        <f t="shared" si="4"/>
        <v>39.45312516</v>
      </c>
      <c r="AB19" s="17">
        <v>17.0</v>
      </c>
      <c r="AC19" s="13" t="str">
        <f t="array" ref="AC19">INDEX($A$3:$A$27,MATCH(LARGE($Z$3:$Z$27,17),$Z$3:$Z$27,0))</f>
        <v>Meran</v>
      </c>
      <c r="AD19" s="17" t="str">
        <f t="array" ref="AD19">INDEX($B$3:$B$27,MATCH(LARGE($Z$3:$Z$27,17),$Z$3:$Z$27,0))</f>
        <v>Media CTV</v>
      </c>
      <c r="AE19" s="26">
        <f t="array" ref="AE19">INDEX($V$3:$V$27,MATCH(LARGE($Z$3:$Z$27,17),$Z$3:$Z$27,0))</f>
        <v>39.546875</v>
      </c>
      <c r="AF19" s="17" t="str">
        <f>IF(AE19&gt;=(W_SL+W_DOKHO+W_CL+W_BONUS),"✅ Đạt KPI",IF(AE19&gt;=PCT_WARN,"⚠️ Gần đạt KPI","❌ Chưa đạt"))</f>
        <v>❌ Chưa đạt</v>
      </c>
    </row>
    <row r="20">
      <c r="A20" s="22" t="s">
        <v>136</v>
      </c>
      <c r="B20" s="22" t="s">
        <v>130</v>
      </c>
      <c r="C20" s="23">
        <f>COUNTIF('Data thô T6'!$B:$B,A20)</f>
        <v>80</v>
      </c>
      <c r="D20" s="23">
        <f>SUMIF('Data thô T6'!$B:$B,A20,'Data thô T6'!$C:$C)</f>
        <v>80</v>
      </c>
      <c r="E20" s="23">
        <f>COUNTIFS('Data thô T6'!$B:$B,A20,'Data thô T6'!$E:$E,"PROX5")</f>
        <v>1</v>
      </c>
      <c r="F20" s="23">
        <f>COUNTIFS('Data thô T6'!$B:$B,A20,'Data thô T6'!$E:$E,"PROX4")</f>
        <v>10</v>
      </c>
      <c r="G20" s="23">
        <f>COUNTIFS('Data thô T6'!$B:$B,A20,'Data thô T6'!$E:$E,"PROX3")</f>
        <v>48</v>
      </c>
      <c r="H20" s="23">
        <f>COUNTIFS('Data thô T6'!$B:$B,A20,'Data thô T6'!$E:$E,"SEM")</f>
        <v>1</v>
      </c>
      <c r="I20" s="23">
        <f>COUNTIFS('Data thô T6'!$B:$B,A20,'Data thô T6'!$E:$E,"SE1")</f>
        <v>1</v>
      </c>
      <c r="J20" s="23">
        <f>COUNTIFS('Data thô T6'!$B:$B,A20,'Data thô T6'!$E:$E,"E0")</f>
        <v>5</v>
      </c>
      <c r="K20" s="17">
        <f t="shared" si="1"/>
        <v>66</v>
      </c>
      <c r="L20" s="24">
        <f>IF(C20=0,0,(E20*HS_PROX5+F20*HS_PROX4+G20*HS_PROX3+H20*HS_SEM+I20*HS_SE1+J20*HS_E0+(C20-K20)*HS_DEFAULT)/C20)</f>
        <v>1.08375</v>
      </c>
      <c r="M20" s="25">
        <f>MIN(D20/TASK_TARGET,1)*W_SL</f>
        <v>32</v>
      </c>
      <c r="N20" s="25">
        <f>IF(C20=0,0,MAX(0,MIN(1,(L20-HS_MIN)/(HS_MAX-HS_MIN)))*W_DOKHO)</f>
        <v>7.1953125</v>
      </c>
      <c r="O20" s="15"/>
      <c r="P20" s="17" t="str">
        <f>IF(O20="","",(O20/5)*W_CL)</f>
        <v/>
      </c>
      <c r="Q20" s="15">
        <v>0.0</v>
      </c>
      <c r="R20" s="15">
        <v>0.0</v>
      </c>
      <c r="S20" s="15">
        <v>0.0</v>
      </c>
      <c r="T20" s="12"/>
      <c r="U20" s="25">
        <f>MIN(S20,W_BONUS)+Q20*TRE_TASK+R20*TRE_NGAY</f>
        <v>0</v>
      </c>
      <c r="V20" s="26">
        <f t="shared" si="2"/>
        <v>39.1953125</v>
      </c>
      <c r="W20" s="17">
        <f t="shared" si="3"/>
        <v>21</v>
      </c>
      <c r="X20" s="17" t="str">
        <f>IF(V20&gt;=(W_SL+W_DOKHO+W_CL+W_BONUS),"✅ Đạt KPI",IF(V20&gt;=PCT_WARN,"⚠️ Gần đạt KPI","❌ Chưa đạt"))</f>
        <v>❌ Chưa đạt</v>
      </c>
      <c r="Z20" s="27">
        <f t="shared" si="4"/>
        <v>39.19531267</v>
      </c>
      <c r="AB20" s="17">
        <v>18.0</v>
      </c>
      <c r="AC20" s="13" t="str">
        <f t="array" ref="AC20">INDEX($A$3:$A$27,MATCH(LARGE($Z$3:$Z$27,18),$Z$3:$Z$27,0))</f>
        <v>Phat</v>
      </c>
      <c r="AD20" s="17" t="str">
        <f t="array" ref="AD20">INDEX($B$3:$B$27,MATCH(LARGE($Z$3:$Z$27,18),$Z$3:$Z$27,0))</f>
        <v>Media CTV</v>
      </c>
      <c r="AE20" s="26">
        <f t="array" ref="AE20">INDEX($V$3:$V$27,MATCH(LARGE($Z$3:$Z$27,18),$Z$3:$Z$27,0))</f>
        <v>39.453125</v>
      </c>
      <c r="AF20" s="17" t="str">
        <f>IF(AE20&gt;=(W_SL+W_DOKHO+W_CL+W_BONUS),"✅ Đạt KPI",IF(AE20&gt;=PCT_WARN,"⚠️ Gần đạt KPI","❌ Chưa đạt"))</f>
        <v>❌ Chưa đạt</v>
      </c>
    </row>
    <row r="21" ht="15.75" customHeight="1">
      <c r="A21" s="22" t="s">
        <v>137</v>
      </c>
      <c r="B21" s="22" t="s">
        <v>130</v>
      </c>
      <c r="C21" s="23">
        <f>COUNTIF('Data thô T6'!$B:$B,A21)</f>
        <v>80</v>
      </c>
      <c r="D21" s="23">
        <f>SUMIF('Data thô T6'!$B:$B,A21,'Data thô T6'!$C:$C)</f>
        <v>80</v>
      </c>
      <c r="E21" s="23">
        <f>COUNTIFS('Data thô T6'!$B:$B,A21,'Data thô T6'!$E:$E,"PROX5")</f>
        <v>0</v>
      </c>
      <c r="F21" s="23">
        <f>COUNTIFS('Data thô T6'!$B:$B,A21,'Data thô T6'!$E:$E,"PROX4")</f>
        <v>8</v>
      </c>
      <c r="G21" s="23">
        <f>COUNTIFS('Data thô T6'!$B:$B,A21,'Data thô T6'!$E:$E,"PROX3")</f>
        <v>62</v>
      </c>
      <c r="H21" s="23">
        <f>COUNTIFS('Data thô T6'!$B:$B,A21,'Data thô T6'!$E:$E,"SEM")</f>
        <v>0</v>
      </c>
      <c r="I21" s="23">
        <f>COUNTIFS('Data thô T6'!$B:$B,A21,'Data thô T6'!$E:$E,"SE1")</f>
        <v>1</v>
      </c>
      <c r="J21" s="23">
        <f>COUNTIFS('Data thô T6'!$B:$B,A21,'Data thô T6'!$E:$E,"E0")</f>
        <v>1</v>
      </c>
      <c r="K21" s="17">
        <f t="shared" si="1"/>
        <v>72</v>
      </c>
      <c r="L21" s="24">
        <f>IF(C21=0,0,(E21*HS_PROX5+F21*HS_PROX4+G21*HS_PROX3+H21*HS_SEM+I21*HS_SE1+J21*HS_E0+(C21-K21)*HS_DEFAULT)/C21)</f>
        <v>1.1025</v>
      </c>
      <c r="M21" s="25">
        <f>MIN(D21/TASK_TARGET,1)*W_SL</f>
        <v>32</v>
      </c>
      <c r="N21" s="25">
        <f>IF(C21=0,0,MAX(0,MIN(1,(L21-HS_MIN)/(HS_MAX-HS_MIN)))*W_DOKHO)</f>
        <v>7.546875</v>
      </c>
      <c r="O21" s="15"/>
      <c r="P21" s="17" t="str">
        <f>IF(O21="","",(O21/5)*W_CL)</f>
        <v/>
      </c>
      <c r="Q21" s="15">
        <v>0.0</v>
      </c>
      <c r="R21" s="15">
        <v>0.0</v>
      </c>
      <c r="S21" s="15">
        <v>0.0</v>
      </c>
      <c r="T21" s="12"/>
      <c r="U21" s="25">
        <f>MIN(S21,W_BONUS)+Q21*TRE_TASK+R21*TRE_NGAY</f>
        <v>0</v>
      </c>
      <c r="V21" s="26">
        <f t="shared" si="2"/>
        <v>39.546875</v>
      </c>
      <c r="W21" s="17">
        <f t="shared" si="3"/>
        <v>17</v>
      </c>
      <c r="X21" s="17" t="str">
        <f>IF(V21&gt;=(W_SL+W_DOKHO+W_CL+W_BONUS),"✅ Đạt KPI",IF(V21&gt;=PCT_WARN,"⚠️ Gần đạt KPI","❌ Chưa đạt"))</f>
        <v>❌ Chưa đạt</v>
      </c>
      <c r="Z21" s="27">
        <f t="shared" si="4"/>
        <v>39.54687518</v>
      </c>
      <c r="AB21" s="17">
        <v>19.0</v>
      </c>
      <c r="AC21" s="13" t="str">
        <f t="array" ref="AC21">INDEX($A$3:$A$27,MATCH(LARGE($Z$3:$Z$27,19),$Z$3:$Z$27,0))</f>
        <v>Vi</v>
      </c>
      <c r="AD21" s="17" t="str">
        <f t="array" ref="AD21">INDEX($B$3:$B$27,MATCH(LARGE($Z$3:$Z$27,19),$Z$3:$Z$27,0))</f>
        <v>Media CTV</v>
      </c>
      <c r="AE21" s="26">
        <f t="array" ref="AE21">INDEX($V$3:$V$27,MATCH(LARGE($Z$3:$Z$27,19),$Z$3:$Z$27,0))</f>
        <v>39.359375</v>
      </c>
      <c r="AF21" s="17" t="str">
        <f>IF(AE21&gt;=(W_SL+W_DOKHO+W_CL+W_BONUS),"✅ Đạt KPI",IF(AE21&gt;=PCT_WARN,"⚠️ Gần đạt KPI","❌ Chưa đạt"))</f>
        <v>❌ Chưa đạt</v>
      </c>
    </row>
    <row r="22" ht="15.75" customHeight="1">
      <c r="A22" s="22" t="s">
        <v>138</v>
      </c>
      <c r="B22" s="22" t="s">
        <v>118</v>
      </c>
      <c r="C22" s="23">
        <f>COUNTIF('Data thô T6'!$B:$B,A22)</f>
        <v>32</v>
      </c>
      <c r="D22" s="23">
        <f>SUMIF('Data thô T6'!$B:$B,A22,'Data thô T6'!$C:$C)</f>
        <v>32</v>
      </c>
      <c r="E22" s="23">
        <f>COUNTIFS('Data thô T6'!$B:$B,A22,'Data thô T6'!$E:$E,"PROX5")</f>
        <v>1</v>
      </c>
      <c r="F22" s="23">
        <f>COUNTIFS('Data thô T6'!$B:$B,A22,'Data thô T6'!$E:$E,"PROX4")</f>
        <v>6</v>
      </c>
      <c r="G22" s="23">
        <f>COUNTIFS('Data thô T6'!$B:$B,A22,'Data thô T6'!$E:$E,"PROX3")</f>
        <v>18</v>
      </c>
      <c r="H22" s="23">
        <f>COUNTIFS('Data thô T6'!$B:$B,A22,'Data thô T6'!$E:$E,"SEM")</f>
        <v>0</v>
      </c>
      <c r="I22" s="23">
        <f>COUNTIFS('Data thô T6'!$B:$B,A22,'Data thô T6'!$E:$E,"SE1")</f>
        <v>0</v>
      </c>
      <c r="J22" s="23">
        <f>COUNTIFS('Data thô T6'!$B:$B,A22,'Data thô T6'!$E:$E,"E0")</f>
        <v>3</v>
      </c>
      <c r="K22" s="17">
        <f t="shared" si="1"/>
        <v>28</v>
      </c>
      <c r="L22" s="24">
        <f>IF(C22=0,0,(E22*HS_PROX5+F22*HS_PROX4+G22*HS_PROX3+H22*HS_SEM+I22*HS_SE1+J22*HS_E0+(C22-K22)*HS_DEFAULT)/C22)</f>
        <v>1.1</v>
      </c>
      <c r="M22" s="25">
        <f>MIN(D22/TASK_TARGET,1)*W_SL</f>
        <v>12.8</v>
      </c>
      <c r="N22" s="25">
        <f>IF(C22=0,0,MAX(0,MIN(1,(L22-HS_MIN)/(HS_MAX-HS_MIN)))*W_DOKHO)</f>
        <v>7.5</v>
      </c>
      <c r="O22" s="15"/>
      <c r="P22" s="17" t="str">
        <f>IF(O22="","",(O22/5)*W_CL)</f>
        <v/>
      </c>
      <c r="Q22" s="15">
        <v>0.0</v>
      </c>
      <c r="R22" s="15">
        <v>0.0</v>
      </c>
      <c r="S22" s="15">
        <v>0.0</v>
      </c>
      <c r="T22" s="12"/>
      <c r="U22" s="25">
        <f>MIN(S22,W_BONUS)+Q22*TRE_TASK+R22*TRE_NGAY</f>
        <v>0</v>
      </c>
      <c r="V22" s="26">
        <f t="shared" si="2"/>
        <v>20.3</v>
      </c>
      <c r="W22" s="17">
        <f t="shared" si="3"/>
        <v>24</v>
      </c>
      <c r="X22" s="17" t="str">
        <f>IF(V22&gt;=(W_SL+W_DOKHO+W_CL+W_BONUS),"✅ Đạt KPI",IF(V22&gt;=PCT_WARN,"⚠️ Gần đạt KPI","❌ Chưa đạt"))</f>
        <v>❌ Chưa đạt</v>
      </c>
      <c r="Z22" s="27">
        <f t="shared" si="4"/>
        <v>20.30000019</v>
      </c>
      <c r="AB22" s="17">
        <v>20.0</v>
      </c>
      <c r="AC22" s="13" t="str">
        <f t="array" ref="AC22">INDEX($A$3:$A$27,MATCH(LARGE($Z$3:$Z$27,20),$Z$3:$Z$27,0))</f>
        <v>My</v>
      </c>
      <c r="AD22" s="17" t="str">
        <f t="array" ref="AD22">INDEX($B$3:$B$27,MATCH(LARGE($Z$3:$Z$27,20),$Z$3:$Z$27,0))</f>
        <v>Media CTV</v>
      </c>
      <c r="AE22" s="26">
        <f t="array" ref="AE22">INDEX($V$3:$V$27,MATCH(LARGE($Z$3:$Z$27,20),$Z$3:$Z$27,0))</f>
        <v>39.34444444</v>
      </c>
      <c r="AF22" s="17" t="str">
        <f>IF(AE22&gt;=(W_SL+W_DOKHO+W_CL+W_BONUS),"✅ Đạt KPI",IF(AE22&gt;=PCT_WARN,"⚠️ Gần đạt KPI","❌ Chưa đạt"))</f>
        <v>❌ Chưa đạt</v>
      </c>
    </row>
    <row r="23" ht="15.75" customHeight="1">
      <c r="A23" s="22" t="s">
        <v>139</v>
      </c>
      <c r="B23" s="22" t="s">
        <v>118</v>
      </c>
      <c r="C23" s="23">
        <f>COUNTIF('Data thô T6'!$B:$B,A23)</f>
        <v>31</v>
      </c>
      <c r="D23" s="23">
        <f>SUMIF('Data thô T6'!$B:$B,A23,'Data thô T6'!$C:$C)</f>
        <v>189</v>
      </c>
      <c r="E23" s="23">
        <f>COUNTIFS('Data thô T6'!$B:$B,A23,'Data thô T6'!$E:$E,"PROX5")</f>
        <v>1</v>
      </c>
      <c r="F23" s="23">
        <f>COUNTIFS('Data thô T6'!$B:$B,A23,'Data thô T6'!$E:$E,"PROX4")</f>
        <v>17</v>
      </c>
      <c r="G23" s="23">
        <f>COUNTIFS('Data thô T6'!$B:$B,A23,'Data thô T6'!$E:$E,"PROX3")</f>
        <v>12</v>
      </c>
      <c r="H23" s="23">
        <f>COUNTIFS('Data thô T6'!$B:$B,A23,'Data thô T6'!$E:$E,"SEM")</f>
        <v>0</v>
      </c>
      <c r="I23" s="23">
        <f>COUNTIFS('Data thô T6'!$B:$B,A23,'Data thô T6'!$E:$E,"SE1")</f>
        <v>0</v>
      </c>
      <c r="J23" s="23">
        <f>COUNTIFS('Data thô T6'!$B:$B,A23,'Data thô T6'!$E:$E,"E0")</f>
        <v>0</v>
      </c>
      <c r="K23" s="17">
        <f t="shared" si="1"/>
        <v>30</v>
      </c>
      <c r="L23" s="24">
        <f>IF(C23=0,0,(E23*HS_PROX5+F23*HS_PROX4+G23*HS_PROX3+H23*HS_SEM+I23*HS_SE1+J23*HS_E0+(C23-K23)*HS_DEFAULT)/C23)</f>
        <v>1.219354839</v>
      </c>
      <c r="M23" s="25">
        <f>MIN(D23/TASK_TARGET,1)*W_SL</f>
        <v>60</v>
      </c>
      <c r="N23" s="25">
        <f>IF(C23=0,0,MAX(0,MIN(1,(L23-HS_MIN)/(HS_MAX-HS_MIN)))*W_DOKHO)</f>
        <v>9.737903226</v>
      </c>
      <c r="O23" s="15"/>
      <c r="P23" s="17" t="str">
        <f>IF(O23="","",(O23/5)*W_CL)</f>
        <v/>
      </c>
      <c r="Q23" s="15">
        <v>0.0</v>
      </c>
      <c r="R23" s="15">
        <v>0.0</v>
      </c>
      <c r="S23" s="15">
        <v>0.0</v>
      </c>
      <c r="T23" s="12"/>
      <c r="U23" s="25">
        <f>MIN(S23,W_BONUS)+Q23*TRE_TASK+R23*TRE_NGAY</f>
        <v>0</v>
      </c>
      <c r="V23" s="26">
        <f t="shared" si="2"/>
        <v>69.73790323</v>
      </c>
      <c r="W23" s="17">
        <f t="shared" si="3"/>
        <v>1</v>
      </c>
      <c r="X23" s="17" t="str">
        <f>IF(V23&gt;=(W_SL+W_DOKHO+W_CL+W_BONUS),"✅ Đạt KPI",IF(V23&gt;=PCT_WARN,"⚠️ Gần đạt KPI","❌ Chưa đạt"))</f>
        <v>❌ Chưa đạt</v>
      </c>
      <c r="Z23" s="27">
        <f t="shared" si="4"/>
        <v>69.73790343</v>
      </c>
      <c r="AB23" s="17">
        <v>21.0</v>
      </c>
      <c r="AC23" s="13" t="str">
        <f t="array" ref="AC23">INDEX($A$3:$A$27,MATCH(LARGE($Z$3:$Z$27,21),$Z$3:$Z$27,0))</f>
        <v>Henri</v>
      </c>
      <c r="AD23" s="17" t="str">
        <f t="array" ref="AD23">INDEX($B$3:$B$27,MATCH(LARGE($Z$3:$Z$27,21),$Z$3:$Z$27,0))</f>
        <v>Media CTV</v>
      </c>
      <c r="AE23" s="26">
        <f t="array" ref="AE23">INDEX($V$3:$V$27,MATCH(LARGE($Z$3:$Z$27,21),$Z$3:$Z$27,0))</f>
        <v>39.1953125</v>
      </c>
      <c r="AF23" s="17" t="str">
        <f>IF(AE23&gt;=(W_SL+W_DOKHO+W_CL+W_BONUS),"✅ Đạt KPI",IF(AE23&gt;=PCT_WARN,"⚠️ Gần đạt KPI","❌ Chưa đạt"))</f>
        <v>❌ Chưa đạt</v>
      </c>
    </row>
    <row r="24" ht="15.75" customHeight="1">
      <c r="A24" s="22" t="s">
        <v>140</v>
      </c>
      <c r="B24" s="22" t="s">
        <v>118</v>
      </c>
      <c r="C24" s="23">
        <f>COUNTIF('Data thô T6'!$B:$B,A24)</f>
        <v>28</v>
      </c>
      <c r="D24" s="23">
        <f>SUMIF('Data thô T6'!$B:$B,A24,'Data thô T6'!$C:$C)</f>
        <v>150</v>
      </c>
      <c r="E24" s="23">
        <f>COUNTIFS('Data thô T6'!$B:$B,A24,'Data thô T6'!$E:$E,"PROX5")</f>
        <v>3</v>
      </c>
      <c r="F24" s="23">
        <f>COUNTIFS('Data thô T6'!$B:$B,A24,'Data thô T6'!$E:$E,"PROX4")</f>
        <v>9</v>
      </c>
      <c r="G24" s="23">
        <f>COUNTIFS('Data thô T6'!$B:$B,A24,'Data thô T6'!$E:$E,"PROX3")</f>
        <v>6</v>
      </c>
      <c r="H24" s="23">
        <f>COUNTIFS('Data thô T6'!$B:$B,A24,'Data thô T6'!$E:$E,"SEM")</f>
        <v>0</v>
      </c>
      <c r="I24" s="23">
        <f>COUNTIFS('Data thô T6'!$B:$B,A24,'Data thô T6'!$E:$E,"SE1")</f>
        <v>0</v>
      </c>
      <c r="J24" s="23">
        <f>COUNTIFS('Data thô T6'!$B:$B,A24,'Data thô T6'!$E:$E,"E0")</f>
        <v>2</v>
      </c>
      <c r="K24" s="17">
        <f t="shared" si="1"/>
        <v>20</v>
      </c>
      <c r="L24" s="24">
        <f>IF(C24=0,0,(E24*HS_PROX5+F24*HS_PROX4+G24*HS_PROX3+H24*HS_SEM+I24*HS_SE1+J24*HS_E0+(C24-K24)*HS_DEFAULT)/C24)</f>
        <v>1.15</v>
      </c>
      <c r="M24" s="25">
        <f>MIN(D24/TASK_TARGET,1)*W_SL</f>
        <v>60</v>
      </c>
      <c r="N24" s="25">
        <f>IF(C24=0,0,MAX(0,MIN(1,(L24-HS_MIN)/(HS_MAX-HS_MIN)))*W_DOKHO)</f>
        <v>8.4375</v>
      </c>
      <c r="O24" s="15"/>
      <c r="P24" s="17" t="str">
        <f>IF(O24="","",(O24/5)*W_CL)</f>
        <v/>
      </c>
      <c r="Q24" s="15">
        <v>0.0</v>
      </c>
      <c r="R24" s="15">
        <v>0.0</v>
      </c>
      <c r="S24" s="15">
        <v>0.0</v>
      </c>
      <c r="T24" s="12"/>
      <c r="U24" s="25">
        <f>MIN(S24,W_BONUS)+Q24*TRE_TASK+R24*TRE_NGAY</f>
        <v>0</v>
      </c>
      <c r="V24" s="26">
        <f t="shared" si="2"/>
        <v>68.4375</v>
      </c>
      <c r="W24" s="17">
        <f t="shared" si="3"/>
        <v>4</v>
      </c>
      <c r="X24" s="17" t="str">
        <f>IF(V24&gt;=(W_SL+W_DOKHO+W_CL+W_BONUS),"✅ Đạt KPI",IF(V24&gt;=PCT_WARN,"⚠️ Gần đạt KPI","❌ Chưa đạt"))</f>
        <v>❌ Chưa đạt</v>
      </c>
      <c r="Z24" s="27">
        <f t="shared" si="4"/>
        <v>68.43750021</v>
      </c>
      <c r="AB24" s="17">
        <v>22.0</v>
      </c>
      <c r="AC24" s="13" t="str">
        <f t="array" ref="AC24">INDEX($A$3:$A$27,MATCH(LARGE($Z$3:$Z$27,22),$Z$3:$Z$27,0))</f>
        <v>Q.Anh</v>
      </c>
      <c r="AD24" s="17" t="str">
        <f t="array" ref="AD24">INDEX($B$3:$B$27,MATCH(LARGE($Z$3:$Z$27,22),$Z$3:$Z$27,0))</f>
        <v>Media CTV</v>
      </c>
      <c r="AE24" s="26">
        <f t="array" ref="AE24">INDEX($V$3:$V$27,MATCH(LARGE($Z$3:$Z$27,22),$Z$3:$Z$27,0))</f>
        <v>39.078125</v>
      </c>
      <c r="AF24" s="17" t="str">
        <f>IF(AE24&gt;=(W_SL+W_DOKHO+W_CL+W_BONUS),"✅ Đạt KPI",IF(AE24&gt;=PCT_WARN,"⚠️ Gần đạt KPI","❌ Chưa đạt"))</f>
        <v>❌ Chưa đạt</v>
      </c>
    </row>
    <row r="25" ht="15.75" customHeight="1">
      <c r="A25" s="22" t="s">
        <v>141</v>
      </c>
      <c r="B25" s="22" t="s">
        <v>118</v>
      </c>
      <c r="C25" s="23">
        <f>COUNTIF('Data thô T6'!$B:$B,A25)</f>
        <v>27</v>
      </c>
      <c r="D25" s="23">
        <f>SUMIF('Data thô T6'!$B:$B,A25,'Data thô T6'!$C:$C)</f>
        <v>155</v>
      </c>
      <c r="E25" s="23">
        <f>COUNTIFS('Data thô T6'!$B:$B,A25,'Data thô T6'!$E:$E,"PROX5")</f>
        <v>3</v>
      </c>
      <c r="F25" s="23">
        <f>COUNTIFS('Data thô T6'!$B:$B,A25,'Data thô T6'!$E:$E,"PROX4")</f>
        <v>11</v>
      </c>
      <c r="G25" s="23">
        <f>COUNTIFS('Data thô T6'!$B:$B,A25,'Data thô T6'!$E:$E,"PROX3")</f>
        <v>4</v>
      </c>
      <c r="H25" s="23">
        <f>COUNTIFS('Data thô T6'!$B:$B,A25,'Data thô T6'!$E:$E,"SEM")</f>
        <v>0</v>
      </c>
      <c r="I25" s="23">
        <f>COUNTIFS('Data thô T6'!$B:$B,A25,'Data thô T6'!$E:$E,"SE1")</f>
        <v>0</v>
      </c>
      <c r="J25" s="23">
        <f>COUNTIFS('Data thô T6'!$B:$B,A25,'Data thô T6'!$E:$E,"E0")</f>
        <v>0</v>
      </c>
      <c r="K25" s="17">
        <f t="shared" si="1"/>
        <v>18</v>
      </c>
      <c r="L25" s="24">
        <f>IF(C25=0,0,(E25*HS_PROX5+F25*HS_PROX4+G25*HS_PROX3+H25*HS_SEM+I25*HS_SE1+J25*HS_E0+(C25-K25)*HS_DEFAULT)/C25)</f>
        <v>1.192592593</v>
      </c>
      <c r="M25" s="25">
        <f>MIN(D25/TASK_TARGET,1)*W_SL</f>
        <v>60</v>
      </c>
      <c r="N25" s="25">
        <f>IF(C25=0,0,MAX(0,MIN(1,(L25-HS_MIN)/(HS_MAX-HS_MIN)))*W_DOKHO)</f>
        <v>9.236111111</v>
      </c>
      <c r="O25" s="15"/>
      <c r="P25" s="17" t="str">
        <f>IF(O25="","",(O25/5)*W_CL)</f>
        <v/>
      </c>
      <c r="Q25" s="15">
        <v>0.0</v>
      </c>
      <c r="R25" s="15">
        <v>0.0</v>
      </c>
      <c r="S25" s="15">
        <v>0.0</v>
      </c>
      <c r="T25" s="12"/>
      <c r="U25" s="25">
        <f>MIN(S25,W_BONUS)+Q25*TRE_TASK+R25*TRE_NGAY</f>
        <v>0</v>
      </c>
      <c r="V25" s="26">
        <f t="shared" si="2"/>
        <v>69.23611111</v>
      </c>
      <c r="W25" s="17">
        <f t="shared" si="3"/>
        <v>2</v>
      </c>
      <c r="X25" s="17" t="str">
        <f>IF(V25&gt;=(W_SL+W_DOKHO+W_CL+W_BONUS),"✅ Đạt KPI",IF(V25&gt;=PCT_WARN,"⚠️ Gần đạt KPI","❌ Chưa đạt"))</f>
        <v>❌ Chưa đạt</v>
      </c>
      <c r="Z25" s="27">
        <f t="shared" si="4"/>
        <v>69.23611133</v>
      </c>
      <c r="AB25" s="17">
        <v>23.0</v>
      </c>
      <c r="AC25" s="13" t="str">
        <f t="array" ref="AC25">INDEX($A$3:$A$27,MATCH(LARGE($Z$3:$Z$27,23),$Z$3:$Z$27,0))</f>
        <v>Nah</v>
      </c>
      <c r="AD25" s="17" t="str">
        <f t="array" ref="AD25">INDEX($B$3:$B$27,MATCH(LARGE($Z$3:$Z$27,23),$Z$3:$Z$27,0))</f>
        <v>Media CTV</v>
      </c>
      <c r="AE25" s="26">
        <f t="array" ref="AE25">INDEX($V$3:$V$27,MATCH(LARGE($Z$3:$Z$27,23),$Z$3:$Z$27,0))</f>
        <v>38.8203125</v>
      </c>
      <c r="AF25" s="17" t="str">
        <f>IF(AE25&gt;=(W_SL+W_DOKHO+W_CL+W_BONUS),"✅ Đạt KPI",IF(AE25&gt;=PCT_WARN,"⚠️ Gần đạt KPI","❌ Chưa đạt"))</f>
        <v>❌ Chưa đạt</v>
      </c>
    </row>
    <row r="26" ht="15.75" customHeight="1">
      <c r="A26" s="22" t="s">
        <v>142</v>
      </c>
      <c r="B26" s="22" t="s">
        <v>118</v>
      </c>
      <c r="C26" s="23">
        <f>COUNTIF('Data thô T6'!$B:$B,A26)</f>
        <v>17</v>
      </c>
      <c r="D26" s="23">
        <f>SUMIF('Data thô T6'!$B:$B,A26,'Data thô T6'!$C:$C)</f>
        <v>92</v>
      </c>
      <c r="E26" s="23">
        <f>COUNTIFS('Data thô T6'!$B:$B,A26,'Data thô T6'!$E:$E,"PROX5")</f>
        <v>3</v>
      </c>
      <c r="F26" s="23">
        <f>COUNTIFS('Data thô T6'!$B:$B,A26,'Data thô T6'!$E:$E,"PROX4")</f>
        <v>1</v>
      </c>
      <c r="G26" s="23">
        <f>COUNTIFS('Data thô T6'!$B:$B,A26,'Data thô T6'!$E:$E,"PROX3")</f>
        <v>6</v>
      </c>
      <c r="H26" s="23">
        <f>COUNTIFS('Data thô T6'!$B:$B,A26,'Data thô T6'!$E:$E,"SEM")</f>
        <v>0</v>
      </c>
      <c r="I26" s="23">
        <f>COUNTIFS('Data thô T6'!$B:$B,A26,'Data thô T6'!$E:$E,"SE1")</f>
        <v>0</v>
      </c>
      <c r="J26" s="23">
        <f>COUNTIFS('Data thô T6'!$B:$B,A26,'Data thô T6'!$E:$E,"E0")</f>
        <v>2</v>
      </c>
      <c r="K26" s="17">
        <f t="shared" si="1"/>
        <v>12</v>
      </c>
      <c r="L26" s="24">
        <f>IF(C26=0,0,(E26*HS_PROX5+F26*HS_PROX4+G26*HS_PROX3+H26*HS_SEM+I26*HS_SE1+J26*HS_E0+(C26-K26)*HS_DEFAULT)/C26)</f>
        <v>1.105882353</v>
      </c>
      <c r="M26" s="25">
        <f>MIN(D26/TASK_TARGET,1)*W_SL</f>
        <v>36.8</v>
      </c>
      <c r="N26" s="25">
        <f>IF(C26=0,0,MAX(0,MIN(1,(L26-HS_MIN)/(HS_MAX-HS_MIN)))*W_DOKHO)</f>
        <v>7.610294118</v>
      </c>
      <c r="O26" s="15"/>
      <c r="P26" s="17" t="str">
        <f>IF(O26="","",(O26/5)*W_CL)</f>
        <v/>
      </c>
      <c r="Q26" s="15">
        <v>0.0</v>
      </c>
      <c r="R26" s="15">
        <v>0.0</v>
      </c>
      <c r="S26" s="15">
        <v>0.0</v>
      </c>
      <c r="T26" s="12"/>
      <c r="U26" s="25">
        <f>MIN(S26,W_BONUS)+Q26*TRE_TASK+R26*TRE_NGAY</f>
        <v>0</v>
      </c>
      <c r="V26" s="26">
        <f t="shared" si="2"/>
        <v>44.41029412</v>
      </c>
      <c r="W26" s="17">
        <f t="shared" si="3"/>
        <v>15</v>
      </c>
      <c r="X26" s="17" t="str">
        <f>IF(V26&gt;=(W_SL+W_DOKHO+W_CL+W_BONUS),"✅ Đạt KPI",IF(V26&gt;=PCT_WARN,"⚠️ Gần đạt KPI","❌ Chưa đạt"))</f>
        <v>❌ Chưa đạt</v>
      </c>
      <c r="Z26" s="27">
        <f t="shared" si="4"/>
        <v>44.41029435</v>
      </c>
      <c r="AB26" s="17">
        <v>24.0</v>
      </c>
      <c r="AC26" s="13" t="str">
        <f t="array" ref="AC26">INDEX($A$3:$A$27,MATCH(LARGE($Z$3:$Z$27,24),$Z$3:$Z$27,0))</f>
        <v>Sean</v>
      </c>
      <c r="AD26" s="17" t="str">
        <f t="array" ref="AD26">INDEX($B$3:$B$27,MATCH(LARGE($Z$3:$Z$27,24),$Z$3:$Z$27,0))</f>
        <v>Media Key</v>
      </c>
      <c r="AE26" s="26">
        <f t="array" ref="AE26">INDEX($V$3:$V$27,MATCH(LARGE($Z$3:$Z$27,24),$Z$3:$Z$27,0))</f>
        <v>20.3</v>
      </c>
      <c r="AF26" s="17" t="str">
        <f>IF(AE26&gt;=(W_SL+W_DOKHO+W_CL+W_BONUS),"✅ Đạt KPI",IF(AE26&gt;=PCT_WARN,"⚠️ Gần đạt KPI","❌ Chưa đạt"))</f>
        <v>❌ Chưa đạt</v>
      </c>
    </row>
    <row r="27" ht="15.75" customHeight="1">
      <c r="A27" s="22" t="s">
        <v>143</v>
      </c>
      <c r="B27" s="22" t="s">
        <v>118</v>
      </c>
      <c r="C27" s="23">
        <f>COUNTIF('Data thô T6'!$B:$B,A27)</f>
        <v>0</v>
      </c>
      <c r="D27" s="23">
        <f>SUMIF('Data thô T6'!$B:$B,A27,'Data thô T6'!$C:$C)</f>
        <v>0</v>
      </c>
      <c r="E27" s="23">
        <f>COUNTIFS('Data thô T6'!$B:$B,A27,'Data thô T6'!$E:$E,"PROX5")</f>
        <v>0</v>
      </c>
      <c r="F27" s="23">
        <f>COUNTIFS('Data thô T6'!$B:$B,A27,'Data thô T6'!$E:$E,"PROX4")</f>
        <v>0</v>
      </c>
      <c r="G27" s="23">
        <f>COUNTIFS('Data thô T6'!$B:$B,A27,'Data thô T6'!$E:$E,"PROX3")</f>
        <v>0</v>
      </c>
      <c r="H27" s="23">
        <f>COUNTIFS('Data thô T6'!$B:$B,A27,'Data thô T6'!$E:$E,"SEM")</f>
        <v>0</v>
      </c>
      <c r="I27" s="23">
        <f>COUNTIFS('Data thô T6'!$B:$B,A27,'Data thô T6'!$E:$E,"SE1")</f>
        <v>0</v>
      </c>
      <c r="J27" s="23">
        <f>COUNTIFS('Data thô T6'!$B:$B,A27,'Data thô T6'!$E:$E,"E0")</f>
        <v>0</v>
      </c>
      <c r="K27" s="17">
        <f t="shared" si="1"/>
        <v>0</v>
      </c>
      <c r="L27" s="24">
        <f>IF(C27=0,0,(E27*HS_PROX5+F27*HS_PROX4+G27*HS_PROX3+H27*HS_SEM+I27*HS_SE1+J27*HS_E0+(C27-K27)*HS_DEFAULT)/C27)</f>
        <v>0</v>
      </c>
      <c r="M27" s="25">
        <f>MIN(D27/TASK_TARGET,1)*W_SL</f>
        <v>0</v>
      </c>
      <c r="N27" s="25">
        <f>IF(C27=0,0,MAX(0,MIN(1,(L27-HS_MIN)/(HS_MAX-HS_MIN)))*W_DOKHO)</f>
        <v>0</v>
      </c>
      <c r="O27" s="15"/>
      <c r="P27" s="17" t="str">
        <f>IF(O27="","",(O27/5)*W_CL)</f>
        <v/>
      </c>
      <c r="Q27" s="15">
        <v>0.0</v>
      </c>
      <c r="R27" s="15">
        <v>0.0</v>
      </c>
      <c r="S27" s="15">
        <v>0.0</v>
      </c>
      <c r="T27" s="12"/>
      <c r="U27" s="25">
        <f>MIN(S27,W_BONUS)+Q27*TRE_TASK+R27*TRE_NGAY</f>
        <v>0</v>
      </c>
      <c r="V27" s="26">
        <f t="shared" si="2"/>
        <v>0</v>
      </c>
      <c r="W27" s="17">
        <f t="shared" si="3"/>
        <v>25</v>
      </c>
      <c r="X27" s="17" t="str">
        <f>IF(V27&gt;=(W_SL+W_DOKHO+W_CL+W_BONUS),"✅ Đạt KPI",IF(V27&gt;=PCT_WARN,"⚠️ Gần đạt KPI","❌ Chưa đạt"))</f>
        <v>❌ Chưa đạt</v>
      </c>
      <c r="Z27" s="27">
        <f t="shared" si="4"/>
        <v>0.00000024</v>
      </c>
      <c r="AB27" s="17">
        <v>25.0</v>
      </c>
      <c r="AC27" s="13" t="str">
        <f t="array" ref="AC27">INDEX($A$3:$A$27,MATCH(LARGE($Z$3:$Z$27,25),$Z$3:$Z$27,0))</f>
        <v>Yollie</v>
      </c>
      <c r="AD27" s="17" t="str">
        <f t="array" ref="AD27">INDEX($B$3:$B$27,MATCH(LARGE($Z$3:$Z$27,25),$Z$3:$Z$27,0))</f>
        <v>Media Key</v>
      </c>
      <c r="AE27" s="26">
        <f t="array" ref="AE27">INDEX($V$3:$V$27,MATCH(LARGE($Z$3:$Z$27,25),$Z$3:$Z$27,0))</f>
        <v>0</v>
      </c>
      <c r="AF27" s="17" t="str">
        <f>IF(AE27&gt;=(W_SL+W_DOKHO+W_CL+W_BONUS),"✅ Đạt KPI",IF(AE27&gt;=PCT_WARN,"⚠️ Gần đạt KPI","❌ Chưa đạt"))</f>
        <v>❌ Chưa đạt</v>
      </c>
    </row>
    <row r="28" ht="15.75" customHeight="1">
      <c r="A28" s="32" t="s">
        <v>144</v>
      </c>
      <c r="B28" s="33"/>
      <c r="C28" s="32">
        <f t="shared" ref="C28:D28" si="5">SUM(C3:C27)</f>
        <v>3129</v>
      </c>
      <c r="D28" s="32">
        <f t="shared" si="5"/>
        <v>4595</v>
      </c>
      <c r="E28" s="33"/>
      <c r="F28" s="33"/>
      <c r="G28" s="33"/>
      <c r="H28" s="33"/>
      <c r="I28" s="33"/>
      <c r="J28" s="33"/>
      <c r="K28" s="32">
        <f>SUM(K3:K27)</f>
        <v>2868</v>
      </c>
      <c r="L28" s="33"/>
      <c r="M28" s="34">
        <f t="shared" ref="M28:N28" si="6">AVERAGE(M3:M27)</f>
        <v>45.84</v>
      </c>
      <c r="N28" s="34">
        <f t="shared" si="6"/>
        <v>7.483808024</v>
      </c>
      <c r="O28" s="33"/>
      <c r="P28" s="33"/>
      <c r="Q28" s="33"/>
      <c r="R28" s="33"/>
      <c r="S28" s="33"/>
      <c r="T28" s="33"/>
      <c r="U28" s="34">
        <f t="shared" ref="U28:V28" si="7">AVERAGE(U3:U27)</f>
        <v>0</v>
      </c>
      <c r="V28" s="34">
        <f t="shared" si="7"/>
        <v>53.32380802</v>
      </c>
      <c r="W28" s="33"/>
      <c r="X28" s="33"/>
    </row>
    <row r="29" ht="15.75" customHeight="1"/>
    <row r="30" ht="15.75" customHeight="1">
      <c r="A30" s="35" t="s">
        <v>145</v>
      </c>
    </row>
    <row r="31" ht="15.75" customHeight="1">
      <c r="A31" s="14" t="s">
        <v>146</v>
      </c>
      <c r="B31" s="14" t="s">
        <v>147</v>
      </c>
      <c r="C31" s="14" t="s">
        <v>148</v>
      </c>
    </row>
    <row r="32" ht="15.75" customHeight="1">
      <c r="A32" s="13" t="s">
        <v>149</v>
      </c>
      <c r="B32" s="13" t="s">
        <v>150</v>
      </c>
      <c r="C32" s="13">
        <v>21.0</v>
      </c>
    </row>
    <row r="33" ht="15.75" customHeight="1">
      <c r="A33" s="13" t="s">
        <v>151</v>
      </c>
      <c r="B33" s="13" t="s">
        <v>152</v>
      </c>
      <c r="C33" s="13">
        <v>20.0</v>
      </c>
    </row>
    <row r="34" ht="15.75" customHeight="1">
      <c r="A34" s="13" t="s">
        <v>153</v>
      </c>
      <c r="B34" s="13" t="s">
        <v>154</v>
      </c>
      <c r="C34" s="13">
        <v>2.0</v>
      </c>
    </row>
    <row r="35" ht="15.75" customHeight="1">
      <c r="A35" s="13" t="s">
        <v>155</v>
      </c>
      <c r="B35" s="13" t="s">
        <v>150</v>
      </c>
      <c r="C35" s="13">
        <v>2.0</v>
      </c>
    </row>
    <row r="36" ht="15.75" customHeight="1">
      <c r="A36" s="13" t="s">
        <v>156</v>
      </c>
      <c r="B36" s="13" t="s">
        <v>152</v>
      </c>
      <c r="C36" s="13">
        <v>1.0</v>
      </c>
    </row>
    <row r="37" ht="15.75" customHeight="1">
      <c r="A37" s="13" t="s">
        <v>157</v>
      </c>
      <c r="B37" s="13" t="s">
        <v>152</v>
      </c>
      <c r="C37" s="13">
        <v>1.0</v>
      </c>
    </row>
    <row r="38" ht="15.75" customHeight="1"/>
    <row r="39" ht="39.75" customHeight="1">
      <c r="A39" s="36" t="s">
        <v>158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X1"/>
    <mergeCell ref="AB1:AF1"/>
    <mergeCell ref="A30:D30"/>
    <mergeCell ref="A39:X3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10.0"/>
    <col customWidth="1" min="4" max="4" width="14.0"/>
    <col customWidth="1" min="5" max="10" width="8.0"/>
    <col customWidth="1" min="11" max="11" width="10.0"/>
    <col customWidth="1" min="12" max="12" width="12.0"/>
    <col customWidth="1" min="13" max="14" width="11.0"/>
    <col customWidth="1" min="15" max="15" width="13.0"/>
    <col customWidth="1" min="16" max="16" width="12.0"/>
    <col customWidth="1" min="17" max="19" width="10.0"/>
    <col customWidth="1" min="20" max="20" width="24.0"/>
    <col customWidth="1" min="21" max="21" width="12.0"/>
    <col customWidth="1" min="22" max="22" width="20.0"/>
    <col customWidth="1" min="23" max="23" width="9.0"/>
    <col customWidth="1" min="24" max="24" width="16.0"/>
    <col customWidth="1" min="25" max="25" width="8.71"/>
    <col customWidth="1" hidden="1" min="26" max="26" width="13.0"/>
    <col customWidth="1" min="27" max="27" width="3.0"/>
    <col customWidth="1" min="28" max="28" width="8.0"/>
    <col customWidth="1" min="29" max="29" width="16.0"/>
    <col customWidth="1" min="30" max="30" width="12.0"/>
    <col customWidth="1" min="31" max="31" width="14.0"/>
    <col customWidth="1" min="32" max="32" width="18.0"/>
  </cols>
  <sheetData>
    <row r="1" ht="21.75" customHeight="1">
      <c r="A1" s="1" t="s">
        <v>159</v>
      </c>
      <c r="B1" s="2"/>
      <c r="C1" s="2"/>
      <c r="D1" s="2"/>
      <c r="E1" s="2"/>
      <c r="F1" s="2"/>
      <c r="G1" s="2"/>
      <c r="H1" s="2"/>
      <c r="I1" s="2"/>
      <c r="J1" s="2"/>
      <c r="K1" s="2"/>
      <c r="L1" s="2"/>
      <c r="M1" s="2"/>
      <c r="N1" s="2"/>
      <c r="O1" s="2"/>
      <c r="P1" s="2"/>
      <c r="Q1" s="2"/>
      <c r="R1" s="2"/>
      <c r="S1" s="2"/>
      <c r="T1" s="2"/>
      <c r="U1" s="2"/>
      <c r="V1" s="2"/>
      <c r="W1" s="2"/>
      <c r="X1" s="3"/>
      <c r="Z1" s="4"/>
      <c r="AA1" s="4"/>
      <c r="AB1" s="18" t="s">
        <v>96</v>
      </c>
      <c r="AC1" s="2"/>
      <c r="AD1" s="2"/>
      <c r="AE1" s="2"/>
      <c r="AF1" s="3"/>
    </row>
    <row r="2" ht="33.75" customHeight="1">
      <c r="A2" s="19" t="s">
        <v>97</v>
      </c>
      <c r="B2" s="19" t="s">
        <v>18</v>
      </c>
      <c r="C2" s="19" t="s">
        <v>98</v>
      </c>
      <c r="D2" s="19" t="s">
        <v>99</v>
      </c>
      <c r="E2" s="19" t="s">
        <v>61</v>
      </c>
      <c r="F2" s="19" t="s">
        <v>62</v>
      </c>
      <c r="G2" s="19" t="s">
        <v>63</v>
      </c>
      <c r="H2" s="19" t="s">
        <v>64</v>
      </c>
      <c r="I2" s="19" t="s">
        <v>65</v>
      </c>
      <c r="J2" s="19" t="s">
        <v>66</v>
      </c>
      <c r="K2" s="19" t="s">
        <v>100</v>
      </c>
      <c r="L2" s="19" t="s">
        <v>101</v>
      </c>
      <c r="M2" s="19" t="s">
        <v>102</v>
      </c>
      <c r="N2" s="19" t="s">
        <v>103</v>
      </c>
      <c r="O2" s="19" t="s">
        <v>104</v>
      </c>
      <c r="P2" s="19" t="s">
        <v>105</v>
      </c>
      <c r="Q2" s="19" t="s">
        <v>106</v>
      </c>
      <c r="R2" s="19" t="s">
        <v>107</v>
      </c>
      <c r="S2" s="19" t="s">
        <v>108</v>
      </c>
      <c r="T2" s="19" t="s">
        <v>109</v>
      </c>
      <c r="U2" s="19" t="s">
        <v>110</v>
      </c>
      <c r="V2" s="19" t="s">
        <v>111</v>
      </c>
      <c r="W2" s="19" t="s">
        <v>112</v>
      </c>
      <c r="X2" s="19" t="s">
        <v>113</v>
      </c>
      <c r="Z2" s="20" t="s">
        <v>114</v>
      </c>
      <c r="AA2" s="4"/>
      <c r="AB2" s="21" t="s">
        <v>115</v>
      </c>
      <c r="AC2" s="21" t="s">
        <v>97</v>
      </c>
      <c r="AD2" s="21" t="s">
        <v>18</v>
      </c>
      <c r="AE2" s="21" t="s">
        <v>116</v>
      </c>
      <c r="AF2" s="21" t="s">
        <v>113</v>
      </c>
    </row>
    <row r="3" ht="15.0" customHeight="1">
      <c r="A3" s="37" t="s">
        <v>121</v>
      </c>
      <c r="B3" s="37" t="s">
        <v>118</v>
      </c>
      <c r="C3" s="23">
        <f>COUNTIF('Data thô (dán hàng tháng)'!$B:$B,A3)</f>
        <v>0</v>
      </c>
      <c r="D3" s="23">
        <f>SUMIF('Data thô (dán hàng tháng)'!$B:$B,A3,'Data thô (dán hàng tháng)'!$C:$C)</f>
        <v>0</v>
      </c>
      <c r="E3" s="15">
        <v>0.0</v>
      </c>
      <c r="F3" s="15">
        <v>0.0</v>
      </c>
      <c r="G3" s="15">
        <v>0.0</v>
      </c>
      <c r="H3" s="15">
        <v>0.0</v>
      </c>
      <c r="I3" s="15">
        <v>0.0</v>
      </c>
      <c r="J3" s="15">
        <v>0.0</v>
      </c>
      <c r="K3" s="17">
        <f t="shared" ref="K3:K25" si="1">SUM(E3:J3)</f>
        <v>0</v>
      </c>
      <c r="L3" s="24">
        <f>IF(C3=0,0,(E3*HS_PROX5+F3*HS_PROX4+G3*HS_PROX3+H3*HS_SEM+I3*HS_SE1+J3*HS_E0+(C3-K3)*HS_DEFAULT)/C3)</f>
        <v>0</v>
      </c>
      <c r="M3" s="25">
        <f>MIN(D3/TASK_TARGET,1)*W_SL</f>
        <v>0</v>
      </c>
      <c r="N3" s="25">
        <f>IF(C3=0,0,MAX(0,MIN(1,(L3-HS_MIN)/(HS_MAX-HS_MIN)))*W_DOKHO)</f>
        <v>0</v>
      </c>
      <c r="O3" s="15"/>
      <c r="P3" s="17" t="str">
        <f>IF(O3="","",(O3/5)*W_CL)</f>
        <v/>
      </c>
      <c r="Q3" s="15">
        <v>0.0</v>
      </c>
      <c r="R3" s="15">
        <v>0.0</v>
      </c>
      <c r="S3" s="15">
        <v>0.0</v>
      </c>
      <c r="T3" s="12"/>
      <c r="U3" s="25">
        <f>MIN(S3,W_BONUS)+Q3*TRE_TASK+R3*TRE_NGAY</f>
        <v>0</v>
      </c>
      <c r="V3" s="26">
        <f t="shared" ref="V3:V25" si="2">M3+N3+IF(P3="",0,P3)+U3</f>
        <v>0</v>
      </c>
      <c r="W3" s="17">
        <f t="shared" ref="W3:W25" si="3">RANK(V3,$V$3:$V$25,0)</f>
        <v>1</v>
      </c>
      <c r="X3" s="17" t="str">
        <f>IF(V3&gt;=(W_SL+W_DOKHO+W_CL+W_BONUS),"✅ Đạt KPI",IF(V3&gt;=PCT_WARN,"⚠️ Gần đạt KPI","❌ Chưa đạt"))</f>
        <v>❌ Chưa đạt</v>
      </c>
      <c r="Z3" s="27">
        <f t="shared" ref="Z3:Z25" si="4">V3+(ROW()-3)/100000000</f>
        <v>0</v>
      </c>
      <c r="AA3" s="4"/>
      <c r="AB3" s="28">
        <v>1.0</v>
      </c>
      <c r="AC3" s="29" t="str">
        <f t="array" ref="AC3">INDEX($A$3:$A$25,MATCH(LARGE($Z$3:$Z$25,1),$Z$3:$Z$25,0))</f>
        <v>Meran</v>
      </c>
      <c r="AD3" s="30" t="str">
        <f t="array" ref="AD3">INDEX($B$3:$B$25,MATCH(LARGE($Z$3:$Z$25,1),$Z$3:$Z$25,0))</f>
        <v>Media CTV</v>
      </c>
      <c r="AE3" s="31">
        <f t="array" ref="AE3">INDEX($V$3:$V$25,MATCH(LARGE($Z$3:$Z$25,1),$Z$3:$Z$25,0))</f>
        <v>0</v>
      </c>
      <c r="AF3" s="30" t="str">
        <f>IF(AE3&gt;=(W_SL+W_DOKHO+W_CL+W_BONUS),"✅ Đạt KPI",IF(AE3&gt;=PCT_WARN,"⚠️ Gần đạt KPI","❌ Chưa đạt"))</f>
        <v>❌ Chưa đạt</v>
      </c>
    </row>
    <row r="4" ht="15.0" customHeight="1">
      <c r="A4" s="37" t="s">
        <v>125</v>
      </c>
      <c r="B4" s="37" t="s">
        <v>118</v>
      </c>
      <c r="C4" s="23">
        <f>COUNTIF('Data thô (dán hàng tháng)'!$B:$B,A4)</f>
        <v>0</v>
      </c>
      <c r="D4" s="23">
        <f>SUMIF('Data thô (dán hàng tháng)'!$B:$B,A4,'Data thô (dán hàng tháng)'!$C:$C)</f>
        <v>0</v>
      </c>
      <c r="E4" s="15">
        <v>0.0</v>
      </c>
      <c r="F4" s="15">
        <v>0.0</v>
      </c>
      <c r="G4" s="15">
        <v>0.0</v>
      </c>
      <c r="H4" s="15">
        <v>0.0</v>
      </c>
      <c r="I4" s="15">
        <v>0.0</v>
      </c>
      <c r="J4" s="15">
        <v>0.0</v>
      </c>
      <c r="K4" s="17">
        <f t="shared" si="1"/>
        <v>0</v>
      </c>
      <c r="L4" s="24">
        <f>IF(C4=0,0,(E4*HS_PROX5+F4*HS_PROX4+G4*HS_PROX3+H4*HS_SEM+I4*HS_SE1+J4*HS_E0+(C4-K4)*HS_DEFAULT)/C4)</f>
        <v>0</v>
      </c>
      <c r="M4" s="25">
        <f>MIN(D4/TASK_TARGET,1)*W_SL</f>
        <v>0</v>
      </c>
      <c r="N4" s="25">
        <f>IF(C4=0,0,MAX(0,MIN(1,(L4-HS_MIN)/(HS_MAX-HS_MIN)))*W_DOKHO)</f>
        <v>0</v>
      </c>
      <c r="O4" s="15"/>
      <c r="P4" s="17" t="str">
        <f>IF(O4="","",(O4/5)*W_CL)</f>
        <v/>
      </c>
      <c r="Q4" s="15">
        <v>0.0</v>
      </c>
      <c r="R4" s="15">
        <v>0.0</v>
      </c>
      <c r="S4" s="15">
        <v>0.0</v>
      </c>
      <c r="T4" s="12"/>
      <c r="U4" s="25">
        <f>MIN(S4,W_BONUS)+Q4*TRE_TASK+R4*TRE_NGAY</f>
        <v>0</v>
      </c>
      <c r="V4" s="26">
        <f t="shared" si="2"/>
        <v>0</v>
      </c>
      <c r="W4" s="17">
        <f t="shared" si="3"/>
        <v>1</v>
      </c>
      <c r="X4" s="17" t="str">
        <f>IF(V4&gt;=(W_SL+W_DOKHO+W_CL+W_BONUS),"✅ Đạt KPI",IF(V4&gt;=PCT_WARN,"⚠️ Gần đạt KPI","❌ Chưa đạt"))</f>
        <v>❌ Chưa đạt</v>
      </c>
      <c r="Z4" s="27">
        <f t="shared" si="4"/>
        <v>0.00000001</v>
      </c>
      <c r="AA4" s="4"/>
      <c r="AB4" s="28">
        <v>2.0</v>
      </c>
      <c r="AC4" s="29" t="str">
        <f t="array" ref="AC4">INDEX($A$3:$A$25,MATCH(LARGE($Z$3:$Z$25,2),$Z$3:$Z$25,0))</f>
        <v>Henri</v>
      </c>
      <c r="AD4" s="30" t="str">
        <f t="array" ref="AD4">INDEX($B$3:$B$25,MATCH(LARGE($Z$3:$Z$25,2),$Z$3:$Z$25,0))</f>
        <v>Media CTV</v>
      </c>
      <c r="AE4" s="31">
        <f t="array" ref="AE4">INDEX($V$3:$V$25,MATCH(LARGE($Z$3:$Z$25,2),$Z$3:$Z$25,0))</f>
        <v>0</v>
      </c>
      <c r="AF4" s="30" t="str">
        <f>IF(AE4&gt;=(W_SL+W_DOKHO+W_CL+W_BONUS),"✅ Đạt KPI",IF(AE4&gt;=PCT_WARN,"⚠️ Gần đạt KPI","❌ Chưa đạt"))</f>
        <v>❌ Chưa đạt</v>
      </c>
    </row>
    <row r="5" ht="15.0" customHeight="1">
      <c r="A5" s="37" t="s">
        <v>124</v>
      </c>
      <c r="B5" s="37" t="s">
        <v>118</v>
      </c>
      <c r="C5" s="23">
        <f>COUNTIF('Data thô (dán hàng tháng)'!$B:$B,A5)</f>
        <v>0</v>
      </c>
      <c r="D5" s="23">
        <f>SUMIF('Data thô (dán hàng tháng)'!$B:$B,A5,'Data thô (dán hàng tháng)'!$C:$C)</f>
        <v>0</v>
      </c>
      <c r="E5" s="15">
        <v>0.0</v>
      </c>
      <c r="F5" s="15">
        <v>0.0</v>
      </c>
      <c r="G5" s="15">
        <v>0.0</v>
      </c>
      <c r="H5" s="15">
        <v>0.0</v>
      </c>
      <c r="I5" s="15">
        <v>0.0</v>
      </c>
      <c r="J5" s="15">
        <v>0.0</v>
      </c>
      <c r="K5" s="17">
        <f t="shared" si="1"/>
        <v>0</v>
      </c>
      <c r="L5" s="24">
        <f>IF(C5=0,0,(E5*HS_PROX5+F5*HS_PROX4+G5*HS_PROX3+H5*HS_SEM+I5*HS_SE1+J5*HS_E0+(C5-K5)*HS_DEFAULT)/C5)</f>
        <v>0</v>
      </c>
      <c r="M5" s="25">
        <f>MIN(D5/TASK_TARGET,1)*W_SL</f>
        <v>0</v>
      </c>
      <c r="N5" s="25">
        <f>IF(C5=0,0,MAX(0,MIN(1,(L5-HS_MIN)/(HS_MAX-HS_MIN)))*W_DOKHO)</f>
        <v>0</v>
      </c>
      <c r="O5" s="15"/>
      <c r="P5" s="17" t="str">
        <f>IF(O5="","",(O5/5)*W_CL)</f>
        <v/>
      </c>
      <c r="Q5" s="15">
        <v>0.0</v>
      </c>
      <c r="R5" s="15">
        <v>0.0</v>
      </c>
      <c r="S5" s="15">
        <v>0.0</v>
      </c>
      <c r="T5" s="12"/>
      <c r="U5" s="25">
        <f>MIN(S5,W_BONUS)+Q5*TRE_TASK+R5*TRE_NGAY</f>
        <v>0</v>
      </c>
      <c r="V5" s="26">
        <f t="shared" si="2"/>
        <v>0</v>
      </c>
      <c r="W5" s="17">
        <f t="shared" si="3"/>
        <v>1</v>
      </c>
      <c r="X5" s="17" t="str">
        <f>IF(V5&gt;=(W_SL+W_DOKHO+W_CL+W_BONUS),"✅ Đạt KPI",IF(V5&gt;=PCT_WARN,"⚠️ Gần đạt KPI","❌ Chưa đạt"))</f>
        <v>❌ Chưa đạt</v>
      </c>
      <c r="Z5" s="27">
        <f t="shared" si="4"/>
        <v>0.00000002</v>
      </c>
      <c r="AA5" s="4"/>
      <c r="AB5" s="28">
        <v>3.0</v>
      </c>
      <c r="AC5" s="29" t="str">
        <f t="array" ref="AC5">INDEX($A$3:$A$25,MATCH(LARGE($Z$3:$Z$25,3),$Z$3:$Z$25,0))</f>
        <v>Phat</v>
      </c>
      <c r="AD5" s="30" t="str">
        <f t="array" ref="AD5">INDEX($B$3:$B$25,MATCH(LARGE($Z$3:$Z$25,3),$Z$3:$Z$25,0))</f>
        <v>Media CTV</v>
      </c>
      <c r="AE5" s="31">
        <f t="array" ref="AE5">INDEX($V$3:$V$25,MATCH(LARGE($Z$3:$Z$25,3),$Z$3:$Z$25,0))</f>
        <v>0</v>
      </c>
      <c r="AF5" s="30" t="str">
        <f>IF(AE5&gt;=(W_SL+W_DOKHO+W_CL+W_BONUS),"✅ Đạt KPI",IF(AE5&gt;=PCT_WARN,"⚠️ Gần đạt KPI","❌ Chưa đạt"))</f>
        <v>❌ Chưa đạt</v>
      </c>
    </row>
    <row r="6" ht="15.0" customHeight="1">
      <c r="A6" s="37" t="s">
        <v>128</v>
      </c>
      <c r="B6" s="37" t="s">
        <v>118</v>
      </c>
      <c r="C6" s="23">
        <f>COUNTIF('Data thô (dán hàng tháng)'!$B:$B,A6)</f>
        <v>0</v>
      </c>
      <c r="D6" s="23">
        <f>SUMIF('Data thô (dán hàng tháng)'!$B:$B,A6,'Data thô (dán hàng tháng)'!$C:$C)</f>
        <v>0</v>
      </c>
      <c r="E6" s="15">
        <v>0.0</v>
      </c>
      <c r="F6" s="15">
        <v>0.0</v>
      </c>
      <c r="G6" s="15">
        <v>0.0</v>
      </c>
      <c r="H6" s="15">
        <v>0.0</v>
      </c>
      <c r="I6" s="15">
        <v>0.0</v>
      </c>
      <c r="J6" s="15">
        <v>0.0</v>
      </c>
      <c r="K6" s="17">
        <f t="shared" si="1"/>
        <v>0</v>
      </c>
      <c r="L6" s="24">
        <f>IF(C6=0,0,(E6*HS_PROX5+F6*HS_PROX4+G6*HS_PROX3+H6*HS_SEM+I6*HS_SE1+J6*HS_E0+(C6-K6)*HS_DEFAULT)/C6)</f>
        <v>0</v>
      </c>
      <c r="M6" s="25">
        <f>MIN(D6/TASK_TARGET,1)*W_SL</f>
        <v>0</v>
      </c>
      <c r="N6" s="25">
        <f>IF(C6=0,0,MAX(0,MIN(1,(L6-HS_MIN)/(HS_MAX-HS_MIN)))*W_DOKHO)</f>
        <v>0</v>
      </c>
      <c r="O6" s="15"/>
      <c r="P6" s="17" t="str">
        <f>IF(O6="","",(O6/5)*W_CL)</f>
        <v/>
      </c>
      <c r="Q6" s="15">
        <v>0.0</v>
      </c>
      <c r="R6" s="15">
        <v>0.0</v>
      </c>
      <c r="S6" s="15">
        <v>0.0</v>
      </c>
      <c r="T6" s="12"/>
      <c r="U6" s="25">
        <f>MIN(S6,W_BONUS)+Q6*TRE_TASK+R6*TRE_NGAY</f>
        <v>0</v>
      </c>
      <c r="V6" s="26">
        <f t="shared" si="2"/>
        <v>0</v>
      </c>
      <c r="W6" s="17">
        <f t="shared" si="3"/>
        <v>1</v>
      </c>
      <c r="X6" s="17" t="str">
        <f>IF(V6&gt;=(W_SL+W_DOKHO+W_CL+W_BONUS),"✅ Đạt KPI",IF(V6&gt;=PCT_WARN,"⚠️ Gần đạt KPI","❌ Chưa đạt"))</f>
        <v>❌ Chưa đạt</v>
      </c>
      <c r="Z6" s="27">
        <f t="shared" si="4"/>
        <v>0.00000003</v>
      </c>
      <c r="AA6" s="4"/>
      <c r="AB6" s="17">
        <v>4.0</v>
      </c>
      <c r="AC6" s="13" t="str">
        <f t="array" ref="AC6">INDEX($A$3:$A$25,MATCH(LARGE($Z$3:$Z$25,4),$Z$3:$Z$25,0))</f>
        <v>Q.Anh</v>
      </c>
      <c r="AD6" s="17" t="str">
        <f t="array" ref="AD6">INDEX($B$3:$B$25,MATCH(LARGE($Z$3:$Z$25,4),$Z$3:$Z$25,0))</f>
        <v>Media CTV</v>
      </c>
      <c r="AE6" s="26">
        <f t="array" ref="AE6">INDEX($V$3:$V$25,MATCH(LARGE($Z$3:$Z$25,4),$Z$3:$Z$25,0))</f>
        <v>0</v>
      </c>
      <c r="AF6" s="17" t="str">
        <f>IF(AE6&gt;=(W_SL+W_DOKHO+W_CL+W_BONUS),"✅ Đạt KPI",IF(AE6&gt;=PCT_WARN,"⚠️ Gần đạt KPI","❌ Chưa đạt"))</f>
        <v>❌ Chưa đạt</v>
      </c>
    </row>
    <row r="7" ht="15.0" customHeight="1">
      <c r="A7" s="37" t="s">
        <v>117</v>
      </c>
      <c r="B7" s="37" t="s">
        <v>118</v>
      </c>
      <c r="C7" s="23">
        <f>COUNTIF('Data thô (dán hàng tháng)'!$B:$B,A7)</f>
        <v>0</v>
      </c>
      <c r="D7" s="23">
        <f>SUMIF('Data thô (dán hàng tháng)'!$B:$B,A7,'Data thô (dán hàng tháng)'!$C:$C)</f>
        <v>0</v>
      </c>
      <c r="E7" s="15">
        <v>0.0</v>
      </c>
      <c r="F7" s="15">
        <v>0.0</v>
      </c>
      <c r="G7" s="15">
        <v>0.0</v>
      </c>
      <c r="H7" s="15">
        <v>0.0</v>
      </c>
      <c r="I7" s="15">
        <v>0.0</v>
      </c>
      <c r="J7" s="15">
        <v>0.0</v>
      </c>
      <c r="K7" s="17">
        <f t="shared" si="1"/>
        <v>0</v>
      </c>
      <c r="L7" s="24">
        <f>IF(C7=0,0,(E7*HS_PROX5+F7*HS_PROX4+G7*HS_PROX3+H7*HS_SEM+I7*HS_SE1+J7*HS_E0+(C7-K7)*HS_DEFAULT)/C7)</f>
        <v>0</v>
      </c>
      <c r="M7" s="25">
        <f>MIN(D7/TASK_TARGET,1)*W_SL</f>
        <v>0</v>
      </c>
      <c r="N7" s="25">
        <f>IF(C7=0,0,MAX(0,MIN(1,(L7-HS_MIN)/(HS_MAX-HS_MIN)))*W_DOKHO)</f>
        <v>0</v>
      </c>
      <c r="O7" s="15"/>
      <c r="P7" s="17" t="str">
        <f>IF(O7="","",(O7/5)*W_CL)</f>
        <v/>
      </c>
      <c r="Q7" s="15">
        <v>0.0</v>
      </c>
      <c r="R7" s="15">
        <v>0.0</v>
      </c>
      <c r="S7" s="15">
        <v>0.0</v>
      </c>
      <c r="T7" s="12"/>
      <c r="U7" s="25">
        <f>MIN(S7,W_BONUS)+Q7*TRE_TASK+R7*TRE_NGAY</f>
        <v>0</v>
      </c>
      <c r="V7" s="26">
        <f t="shared" si="2"/>
        <v>0</v>
      </c>
      <c r="W7" s="17">
        <f t="shared" si="3"/>
        <v>1</v>
      </c>
      <c r="X7" s="17" t="str">
        <f>IF(V7&gt;=(W_SL+W_DOKHO+W_CL+W_BONUS),"✅ Đạt KPI",IF(V7&gt;=PCT_WARN,"⚠️ Gần đạt KPI","❌ Chưa đạt"))</f>
        <v>❌ Chưa đạt</v>
      </c>
      <c r="Z7" s="27">
        <f t="shared" si="4"/>
        <v>0.00000004</v>
      </c>
      <c r="AA7" s="4"/>
      <c r="AB7" s="17">
        <v>5.0</v>
      </c>
      <c r="AC7" s="13" t="str">
        <f t="array" ref="AC7">INDEX($A$3:$A$25,MATCH(LARGE($Z$3:$Z$25,5),$Z$3:$Z$25,0))</f>
        <v>Uri</v>
      </c>
      <c r="AD7" s="17" t="str">
        <f t="array" ref="AD7">INDEX($B$3:$B$25,MATCH(LARGE($Z$3:$Z$25,5),$Z$3:$Z$25,0))</f>
        <v>Media CTV</v>
      </c>
      <c r="AE7" s="26">
        <f t="array" ref="AE7">INDEX($V$3:$V$25,MATCH(LARGE($Z$3:$Z$25,5),$Z$3:$Z$25,0))</f>
        <v>0</v>
      </c>
      <c r="AF7" s="17" t="str">
        <f>IF(AE7&gt;=(W_SL+W_DOKHO+W_CL+W_BONUS),"✅ Đạt KPI",IF(AE7&gt;=PCT_WARN,"⚠️ Gần đạt KPI","❌ Chưa đạt"))</f>
        <v>❌ Chưa đạt</v>
      </c>
    </row>
    <row r="8" ht="15.0" customHeight="1">
      <c r="A8" s="37" t="s">
        <v>119</v>
      </c>
      <c r="B8" s="37" t="s">
        <v>118</v>
      </c>
      <c r="C8" s="23">
        <f>COUNTIF('Data thô (dán hàng tháng)'!$B:$B,A8)</f>
        <v>0</v>
      </c>
      <c r="D8" s="23">
        <f>SUMIF('Data thô (dán hàng tháng)'!$B:$B,A8,'Data thô (dán hàng tháng)'!$C:$C)</f>
        <v>0</v>
      </c>
      <c r="E8" s="15">
        <v>0.0</v>
      </c>
      <c r="F8" s="15">
        <v>0.0</v>
      </c>
      <c r="G8" s="15">
        <v>0.0</v>
      </c>
      <c r="H8" s="15">
        <v>0.0</v>
      </c>
      <c r="I8" s="15">
        <v>0.0</v>
      </c>
      <c r="J8" s="15">
        <v>0.0</v>
      </c>
      <c r="K8" s="17">
        <f t="shared" si="1"/>
        <v>0</v>
      </c>
      <c r="L8" s="24">
        <f>IF(C8=0,0,(E8*HS_PROX5+F8*HS_PROX4+G8*HS_PROX3+H8*HS_SEM+I8*HS_SE1+J8*HS_E0+(C8-K8)*HS_DEFAULT)/C8)</f>
        <v>0</v>
      </c>
      <c r="M8" s="25">
        <f>MIN(D8/TASK_TARGET,1)*W_SL</f>
        <v>0</v>
      </c>
      <c r="N8" s="25">
        <f>IF(C8=0,0,MAX(0,MIN(1,(L8-HS_MIN)/(HS_MAX-HS_MIN)))*W_DOKHO)</f>
        <v>0</v>
      </c>
      <c r="O8" s="15"/>
      <c r="P8" s="17" t="str">
        <f>IF(O8="","",(O8/5)*W_CL)</f>
        <v/>
      </c>
      <c r="Q8" s="15">
        <v>0.0</v>
      </c>
      <c r="R8" s="15">
        <v>0.0</v>
      </c>
      <c r="S8" s="15">
        <v>0.0</v>
      </c>
      <c r="T8" s="12"/>
      <c r="U8" s="25">
        <f>MIN(S8,W_BONUS)+Q8*TRE_TASK+R8*TRE_NGAY</f>
        <v>0</v>
      </c>
      <c r="V8" s="26">
        <f t="shared" si="2"/>
        <v>0</v>
      </c>
      <c r="W8" s="17">
        <f t="shared" si="3"/>
        <v>1</v>
      </c>
      <c r="X8" s="17" t="str">
        <f>IF(V8&gt;=(W_SL+W_DOKHO+W_CL+W_BONUS),"✅ Đạt KPI",IF(V8&gt;=PCT_WARN,"⚠️ Gần đạt KPI","❌ Chưa đạt"))</f>
        <v>❌ Chưa đạt</v>
      </c>
      <c r="Z8" s="27">
        <f t="shared" si="4"/>
        <v>0.00000005</v>
      </c>
      <c r="AA8" s="4"/>
      <c r="AB8" s="17">
        <v>6.0</v>
      </c>
      <c r="AC8" s="13" t="str">
        <f t="array" ref="AC8">INDEX($A$3:$A$25,MATCH(LARGE($Z$3:$Z$25,6),$Z$3:$Z$25,0))</f>
        <v>Nah</v>
      </c>
      <c r="AD8" s="17" t="str">
        <f t="array" ref="AD8">INDEX($B$3:$B$25,MATCH(LARGE($Z$3:$Z$25,6),$Z$3:$Z$25,0))</f>
        <v>Media CTV</v>
      </c>
      <c r="AE8" s="26">
        <f t="array" ref="AE8">INDEX($V$3:$V$25,MATCH(LARGE($Z$3:$Z$25,6),$Z$3:$Z$25,0))</f>
        <v>0</v>
      </c>
      <c r="AF8" s="17" t="str">
        <f>IF(AE8&gt;=(W_SL+W_DOKHO+W_CL+W_BONUS),"✅ Đạt KPI",IF(AE8&gt;=PCT_WARN,"⚠️ Gần đạt KPI","❌ Chưa đạt"))</f>
        <v>❌ Chưa đạt</v>
      </c>
    </row>
    <row r="9" ht="15.0" customHeight="1">
      <c r="A9" s="37" t="s">
        <v>127</v>
      </c>
      <c r="B9" s="37" t="s">
        <v>118</v>
      </c>
      <c r="C9" s="23">
        <f>COUNTIF('Data thô (dán hàng tháng)'!$B:$B,A9)</f>
        <v>0</v>
      </c>
      <c r="D9" s="23">
        <f>SUMIF('Data thô (dán hàng tháng)'!$B:$B,A9,'Data thô (dán hàng tháng)'!$C:$C)</f>
        <v>0</v>
      </c>
      <c r="E9" s="15">
        <v>0.0</v>
      </c>
      <c r="F9" s="15">
        <v>0.0</v>
      </c>
      <c r="G9" s="15">
        <v>0.0</v>
      </c>
      <c r="H9" s="15">
        <v>0.0</v>
      </c>
      <c r="I9" s="15">
        <v>0.0</v>
      </c>
      <c r="J9" s="15">
        <v>0.0</v>
      </c>
      <c r="K9" s="17">
        <f t="shared" si="1"/>
        <v>0</v>
      </c>
      <c r="L9" s="24">
        <f>IF(C9=0,0,(E9*HS_PROX5+F9*HS_PROX4+G9*HS_PROX3+H9*HS_SEM+I9*HS_SE1+J9*HS_E0+(C9-K9)*HS_DEFAULT)/C9)</f>
        <v>0</v>
      </c>
      <c r="M9" s="25">
        <f>MIN(D9/TASK_TARGET,1)*W_SL</f>
        <v>0</v>
      </c>
      <c r="N9" s="25">
        <f>IF(C9=0,0,MAX(0,MIN(1,(L9-HS_MIN)/(HS_MAX-HS_MIN)))*W_DOKHO)</f>
        <v>0</v>
      </c>
      <c r="O9" s="15"/>
      <c r="P9" s="17" t="str">
        <f>IF(O9="","",(O9/5)*W_CL)</f>
        <v/>
      </c>
      <c r="Q9" s="15">
        <v>0.0</v>
      </c>
      <c r="R9" s="15">
        <v>0.0</v>
      </c>
      <c r="S9" s="15">
        <v>0.0</v>
      </c>
      <c r="T9" s="12"/>
      <c r="U9" s="25">
        <f>MIN(S9,W_BONUS)+Q9*TRE_TASK+R9*TRE_NGAY</f>
        <v>0</v>
      </c>
      <c r="V9" s="26">
        <f t="shared" si="2"/>
        <v>0</v>
      </c>
      <c r="W9" s="17">
        <f t="shared" si="3"/>
        <v>1</v>
      </c>
      <c r="X9" s="17" t="str">
        <f>IF(V9&gt;=(W_SL+W_DOKHO+W_CL+W_BONUS),"✅ Đạt KPI",IF(V9&gt;=PCT_WARN,"⚠️ Gần đạt KPI","❌ Chưa đạt"))</f>
        <v>❌ Chưa đạt</v>
      </c>
      <c r="Z9" s="27">
        <f t="shared" si="4"/>
        <v>0.00000006</v>
      </c>
      <c r="AA9" s="4"/>
      <c r="AB9" s="17">
        <v>7.0</v>
      </c>
      <c r="AC9" s="13" t="str">
        <f t="array" ref="AC9">INDEX($A$3:$A$25,MATCH(LARGE($Z$3:$Z$25,7),$Z$3:$Z$25,0))</f>
        <v>Vi</v>
      </c>
      <c r="AD9" s="17" t="str">
        <f t="array" ref="AD9">INDEX($B$3:$B$25,MATCH(LARGE($Z$3:$Z$25,7),$Z$3:$Z$25,0))</f>
        <v>Media CTV</v>
      </c>
      <c r="AE9" s="26">
        <f t="array" ref="AE9">INDEX($V$3:$V$25,MATCH(LARGE($Z$3:$Z$25,7),$Z$3:$Z$25,0))</f>
        <v>0</v>
      </c>
      <c r="AF9" s="17" t="str">
        <f>IF(AE9&gt;=(W_SL+W_DOKHO+W_CL+W_BONUS),"✅ Đạt KPI",IF(AE9&gt;=PCT_WARN,"⚠️ Gần đạt KPI","❌ Chưa đạt"))</f>
        <v>❌ Chưa đạt</v>
      </c>
    </row>
    <row r="10" ht="15.0" customHeight="1">
      <c r="A10" s="37" t="s">
        <v>120</v>
      </c>
      <c r="B10" s="37" t="s">
        <v>118</v>
      </c>
      <c r="C10" s="23">
        <f>COUNTIF('Data thô (dán hàng tháng)'!$B:$B,A10)</f>
        <v>0</v>
      </c>
      <c r="D10" s="23">
        <f>SUMIF('Data thô (dán hàng tháng)'!$B:$B,A10,'Data thô (dán hàng tháng)'!$C:$C)</f>
        <v>0</v>
      </c>
      <c r="E10" s="15">
        <v>0.0</v>
      </c>
      <c r="F10" s="15">
        <v>0.0</v>
      </c>
      <c r="G10" s="15">
        <v>0.0</v>
      </c>
      <c r="H10" s="15">
        <v>0.0</v>
      </c>
      <c r="I10" s="15">
        <v>0.0</v>
      </c>
      <c r="J10" s="15">
        <v>0.0</v>
      </c>
      <c r="K10" s="17">
        <f t="shared" si="1"/>
        <v>0</v>
      </c>
      <c r="L10" s="24">
        <f>IF(C10=0,0,(E10*HS_PROX5+F10*HS_PROX4+G10*HS_PROX3+H10*HS_SEM+I10*HS_SE1+J10*HS_E0+(C10-K10)*HS_DEFAULT)/C10)</f>
        <v>0</v>
      </c>
      <c r="M10" s="25">
        <f>MIN(D10/TASK_TARGET,1)*W_SL</f>
        <v>0</v>
      </c>
      <c r="N10" s="25">
        <f>IF(C10=0,0,MAX(0,MIN(1,(L10-HS_MIN)/(HS_MAX-HS_MIN)))*W_DOKHO)</f>
        <v>0</v>
      </c>
      <c r="O10" s="15"/>
      <c r="P10" s="17" t="str">
        <f>IF(O10="","",(O10/5)*W_CL)</f>
        <v/>
      </c>
      <c r="Q10" s="15">
        <v>0.0</v>
      </c>
      <c r="R10" s="15">
        <v>0.0</v>
      </c>
      <c r="S10" s="15">
        <v>0.0</v>
      </c>
      <c r="T10" s="12"/>
      <c r="U10" s="25">
        <f>MIN(S10,W_BONUS)+Q10*TRE_TASK+R10*TRE_NGAY</f>
        <v>0</v>
      </c>
      <c r="V10" s="26">
        <f t="shared" si="2"/>
        <v>0</v>
      </c>
      <c r="W10" s="17">
        <f t="shared" si="3"/>
        <v>1</v>
      </c>
      <c r="X10" s="17" t="str">
        <f>IF(V10&gt;=(W_SL+W_DOKHO+W_CL+W_BONUS),"✅ Đạt KPI",IF(V10&gt;=PCT_WARN,"⚠️ Gần đạt KPI","❌ Chưa đạt"))</f>
        <v>❌ Chưa đạt</v>
      </c>
      <c r="Z10" s="27">
        <f t="shared" si="4"/>
        <v>0.00000007</v>
      </c>
      <c r="AA10" s="4"/>
      <c r="AB10" s="17">
        <v>8.0</v>
      </c>
      <c r="AC10" s="13" t="str">
        <f t="array" ref="AC10">INDEX($A$3:$A$25,MATCH(LARGE($Z$3:$Z$25,8),$Z$3:$Z$25,0))</f>
        <v>My</v>
      </c>
      <c r="AD10" s="17" t="str">
        <f t="array" ref="AD10">INDEX($B$3:$B$25,MATCH(LARGE($Z$3:$Z$25,8),$Z$3:$Z$25,0))</f>
        <v>Media CTV</v>
      </c>
      <c r="AE10" s="26">
        <f t="array" ref="AE10">INDEX($V$3:$V$25,MATCH(LARGE($Z$3:$Z$25,8),$Z$3:$Z$25,0))</f>
        <v>0</v>
      </c>
      <c r="AF10" s="17" t="str">
        <f>IF(AE10&gt;=(W_SL+W_DOKHO+W_CL+W_BONUS),"✅ Đạt KPI",IF(AE10&gt;=PCT_WARN,"⚠️ Gần đạt KPI","❌ Chưa đạt"))</f>
        <v>❌ Chưa đạt</v>
      </c>
    </row>
    <row r="11" ht="15.0" customHeight="1">
      <c r="A11" s="37" t="s">
        <v>122</v>
      </c>
      <c r="B11" s="37" t="s">
        <v>118</v>
      </c>
      <c r="C11" s="23">
        <f>COUNTIF('Data thô (dán hàng tháng)'!$B:$B,A11)</f>
        <v>0</v>
      </c>
      <c r="D11" s="23">
        <f>SUMIF('Data thô (dán hàng tháng)'!$B:$B,A11,'Data thô (dán hàng tháng)'!$C:$C)</f>
        <v>0</v>
      </c>
      <c r="E11" s="15">
        <v>0.0</v>
      </c>
      <c r="F11" s="15">
        <v>0.0</v>
      </c>
      <c r="G11" s="15">
        <v>0.0</v>
      </c>
      <c r="H11" s="15">
        <v>0.0</v>
      </c>
      <c r="I11" s="15">
        <v>0.0</v>
      </c>
      <c r="J11" s="15">
        <v>0.0</v>
      </c>
      <c r="K11" s="17">
        <f t="shared" si="1"/>
        <v>0</v>
      </c>
      <c r="L11" s="24">
        <f>IF(C11=0,0,(E11*HS_PROX5+F11*HS_PROX4+G11*HS_PROX3+H11*HS_SEM+I11*HS_SE1+J11*HS_E0+(C11-K11)*HS_DEFAULT)/C11)</f>
        <v>0</v>
      </c>
      <c r="M11" s="25">
        <f>MIN(D11/TASK_TARGET,1)*W_SL</f>
        <v>0</v>
      </c>
      <c r="N11" s="25">
        <f>IF(C11=0,0,MAX(0,MIN(1,(L11-HS_MIN)/(HS_MAX-HS_MIN)))*W_DOKHO)</f>
        <v>0</v>
      </c>
      <c r="O11" s="15"/>
      <c r="P11" s="17" t="str">
        <f>IF(O11="","",(O11/5)*W_CL)</f>
        <v/>
      </c>
      <c r="Q11" s="15">
        <v>0.0</v>
      </c>
      <c r="R11" s="15">
        <v>0.0</v>
      </c>
      <c r="S11" s="15">
        <v>0.0</v>
      </c>
      <c r="T11" s="12"/>
      <c r="U11" s="25">
        <f>MIN(S11,W_BONUS)+Q11*TRE_TASK+R11*TRE_NGAY</f>
        <v>0</v>
      </c>
      <c r="V11" s="26">
        <f t="shared" si="2"/>
        <v>0</v>
      </c>
      <c r="W11" s="17">
        <f t="shared" si="3"/>
        <v>1</v>
      </c>
      <c r="X11" s="17" t="str">
        <f>IF(V11&gt;=(W_SL+W_DOKHO+W_CL+W_BONUS),"✅ Đạt KPI",IF(V11&gt;=PCT_WARN,"⚠️ Gần đạt KPI","❌ Chưa đạt"))</f>
        <v>❌ Chưa đạt</v>
      </c>
      <c r="Z11" s="27">
        <f t="shared" si="4"/>
        <v>0.00000008</v>
      </c>
      <c r="AA11" s="4"/>
      <c r="AB11" s="17">
        <v>9.0</v>
      </c>
      <c r="AC11" s="13" t="str">
        <f t="array" ref="AC11">INDEX($A$3:$A$25,MATCH(LARGE($Z$3:$Z$25,9),$Z$3:$Z$25,0))</f>
        <v>Sean</v>
      </c>
      <c r="AD11" s="17" t="str">
        <f t="array" ref="AD11">INDEX($B$3:$B$25,MATCH(LARGE($Z$3:$Z$25,9),$Z$3:$Z$25,0))</f>
        <v>Media Key</v>
      </c>
      <c r="AE11" s="26">
        <f t="array" ref="AE11">INDEX($V$3:$V$25,MATCH(LARGE($Z$3:$Z$25,9),$Z$3:$Z$25,0))</f>
        <v>0</v>
      </c>
      <c r="AF11" s="17" t="str">
        <f>IF(AE11&gt;=(W_SL+W_DOKHO+W_CL+W_BONUS),"✅ Đạt KPI",IF(AE11&gt;=PCT_WARN,"⚠️ Gần đạt KPI","❌ Chưa đạt"))</f>
        <v>❌ Chưa đạt</v>
      </c>
    </row>
    <row r="12" ht="15.0" customHeight="1">
      <c r="A12" s="37" t="s">
        <v>139</v>
      </c>
      <c r="B12" s="37" t="s">
        <v>118</v>
      </c>
      <c r="C12" s="23">
        <f>COUNTIF('Data thô (dán hàng tháng)'!$B:$B,A12)</f>
        <v>0</v>
      </c>
      <c r="D12" s="23">
        <f>SUMIF('Data thô (dán hàng tháng)'!$B:$B,A12,'Data thô (dán hàng tháng)'!$C:$C)</f>
        <v>0</v>
      </c>
      <c r="E12" s="15">
        <v>0.0</v>
      </c>
      <c r="F12" s="15">
        <v>0.0</v>
      </c>
      <c r="G12" s="15">
        <v>0.0</v>
      </c>
      <c r="H12" s="15">
        <v>0.0</v>
      </c>
      <c r="I12" s="15">
        <v>0.0</v>
      </c>
      <c r="J12" s="15">
        <v>0.0</v>
      </c>
      <c r="K12" s="17">
        <f t="shared" si="1"/>
        <v>0</v>
      </c>
      <c r="L12" s="24">
        <f>IF(C12=0,0,(E12*HS_PROX5+F12*HS_PROX4+G12*HS_PROX3+H12*HS_SEM+I12*HS_SE1+J12*HS_E0+(C12-K12)*HS_DEFAULT)/C12)</f>
        <v>0</v>
      </c>
      <c r="M12" s="25">
        <f>MIN(D12/TASK_TARGET,1)*W_SL</f>
        <v>0</v>
      </c>
      <c r="N12" s="25">
        <f>IF(C12=0,0,MAX(0,MIN(1,(L12-HS_MIN)/(HS_MAX-HS_MIN)))*W_DOKHO)</f>
        <v>0</v>
      </c>
      <c r="O12" s="15"/>
      <c r="P12" s="17" t="str">
        <f>IF(O12="","",(O12/5)*W_CL)</f>
        <v/>
      </c>
      <c r="Q12" s="15">
        <v>0.0</v>
      </c>
      <c r="R12" s="15">
        <v>0.0</v>
      </c>
      <c r="S12" s="15">
        <v>0.0</v>
      </c>
      <c r="T12" s="12"/>
      <c r="U12" s="25">
        <f>MIN(S12,W_BONUS)+Q12*TRE_TASK+R12*TRE_NGAY</f>
        <v>0</v>
      </c>
      <c r="V12" s="26">
        <f t="shared" si="2"/>
        <v>0</v>
      </c>
      <c r="W12" s="17">
        <f t="shared" si="3"/>
        <v>1</v>
      </c>
      <c r="X12" s="17" t="str">
        <f>IF(V12&gt;=(W_SL+W_DOKHO+W_CL+W_BONUS),"✅ Đạt KPI",IF(V12&gt;=PCT_WARN,"⚠️ Gần đạt KPI","❌ Chưa đạt"))</f>
        <v>❌ Chưa đạt</v>
      </c>
      <c r="Z12" s="27">
        <f t="shared" si="4"/>
        <v>0.00000009</v>
      </c>
      <c r="AA12" s="4"/>
      <c r="AB12" s="17">
        <v>10.0</v>
      </c>
      <c r="AC12" s="13" t="str">
        <f t="array" ref="AC12">INDEX($A$3:$A$25,MATCH(LARGE($Z$3:$Z$25,10),$Z$3:$Z$25,0))</f>
        <v>Yollie</v>
      </c>
      <c r="AD12" s="17" t="str">
        <f t="array" ref="AD12">INDEX($B$3:$B$25,MATCH(LARGE($Z$3:$Z$25,10),$Z$3:$Z$25,0))</f>
        <v>Media Key</v>
      </c>
      <c r="AE12" s="26">
        <f t="array" ref="AE12">INDEX($V$3:$V$25,MATCH(LARGE($Z$3:$Z$25,10),$Z$3:$Z$25,0))</f>
        <v>0</v>
      </c>
      <c r="AF12" s="17" t="str">
        <f>IF(AE12&gt;=(W_SL+W_DOKHO+W_CL+W_BONUS),"✅ Đạt KPI",IF(AE12&gt;=PCT_WARN,"⚠️ Gần đạt KPI","❌ Chưa đạt"))</f>
        <v>❌ Chưa đạt</v>
      </c>
    </row>
    <row r="13" ht="15.0" customHeight="1">
      <c r="A13" s="37" t="s">
        <v>142</v>
      </c>
      <c r="B13" s="37" t="s">
        <v>118</v>
      </c>
      <c r="C13" s="23">
        <f>COUNTIF('Data thô (dán hàng tháng)'!$B:$B,A13)</f>
        <v>0</v>
      </c>
      <c r="D13" s="23">
        <f>SUMIF('Data thô (dán hàng tháng)'!$B:$B,A13,'Data thô (dán hàng tháng)'!$C:$C)</f>
        <v>0</v>
      </c>
      <c r="E13" s="15">
        <v>0.0</v>
      </c>
      <c r="F13" s="15">
        <v>0.0</v>
      </c>
      <c r="G13" s="15">
        <v>0.0</v>
      </c>
      <c r="H13" s="15">
        <v>0.0</v>
      </c>
      <c r="I13" s="15">
        <v>0.0</v>
      </c>
      <c r="J13" s="15">
        <v>0.0</v>
      </c>
      <c r="K13" s="17">
        <f t="shared" si="1"/>
        <v>0</v>
      </c>
      <c r="L13" s="24">
        <f>IF(C13=0,0,(E13*HS_PROX5+F13*HS_PROX4+G13*HS_PROX3+H13*HS_SEM+I13*HS_SE1+J13*HS_E0+(C13-K13)*HS_DEFAULT)/C13)</f>
        <v>0</v>
      </c>
      <c r="M13" s="25">
        <f>MIN(D13/TASK_TARGET,1)*W_SL</f>
        <v>0</v>
      </c>
      <c r="N13" s="25">
        <f>IF(C13=0,0,MAX(0,MIN(1,(L13-HS_MIN)/(HS_MAX-HS_MIN)))*W_DOKHO)</f>
        <v>0</v>
      </c>
      <c r="O13" s="15"/>
      <c r="P13" s="17" t="str">
        <f>IF(O13="","",(O13/5)*W_CL)</f>
        <v/>
      </c>
      <c r="Q13" s="15">
        <v>0.0</v>
      </c>
      <c r="R13" s="15">
        <v>0.0</v>
      </c>
      <c r="S13" s="15">
        <v>0.0</v>
      </c>
      <c r="T13" s="12"/>
      <c r="U13" s="25">
        <f>MIN(S13,W_BONUS)+Q13*TRE_TASK+R13*TRE_NGAY</f>
        <v>0</v>
      </c>
      <c r="V13" s="26">
        <f t="shared" si="2"/>
        <v>0</v>
      </c>
      <c r="W13" s="17">
        <f t="shared" si="3"/>
        <v>1</v>
      </c>
      <c r="X13" s="17" t="str">
        <f>IF(V13&gt;=(W_SL+W_DOKHO+W_CL+W_BONUS),"✅ Đạt KPI",IF(V13&gt;=PCT_WARN,"⚠️ Gần đạt KPI","❌ Chưa đạt"))</f>
        <v>❌ Chưa đạt</v>
      </c>
      <c r="Z13" s="27">
        <f t="shared" si="4"/>
        <v>0.0000001</v>
      </c>
      <c r="AA13" s="4"/>
      <c r="AB13" s="17">
        <v>11.0</v>
      </c>
      <c r="AC13" s="13" t="str">
        <f t="array" ref="AC13">INDEX($A$3:$A$25,MATCH(LARGE($Z$3:$Z$25,11),$Z$3:$Z$25,0))</f>
        <v>Alex</v>
      </c>
      <c r="AD13" s="17" t="str">
        <f t="array" ref="AD13">INDEX($B$3:$B$25,MATCH(LARGE($Z$3:$Z$25,11),$Z$3:$Z$25,0))</f>
        <v>Media Key</v>
      </c>
      <c r="AE13" s="26">
        <f t="array" ref="AE13">INDEX($V$3:$V$25,MATCH(LARGE($Z$3:$Z$25,11),$Z$3:$Z$25,0))</f>
        <v>0</v>
      </c>
      <c r="AF13" s="17" t="str">
        <f>IF(AE13&gt;=(W_SL+W_DOKHO+W_CL+W_BONUS),"✅ Đạt KPI",IF(AE13&gt;=PCT_WARN,"⚠️ Gần đạt KPI","❌ Chưa đạt"))</f>
        <v>❌ Chưa đạt</v>
      </c>
    </row>
    <row r="14" ht="15.0" customHeight="1">
      <c r="A14" s="37" t="s">
        <v>140</v>
      </c>
      <c r="B14" s="37" t="s">
        <v>118</v>
      </c>
      <c r="C14" s="23">
        <f>COUNTIF('Data thô (dán hàng tháng)'!$B:$B,A14)</f>
        <v>0</v>
      </c>
      <c r="D14" s="23">
        <f>SUMIF('Data thô (dán hàng tháng)'!$B:$B,A14,'Data thô (dán hàng tháng)'!$C:$C)</f>
        <v>0</v>
      </c>
      <c r="E14" s="15">
        <v>0.0</v>
      </c>
      <c r="F14" s="15">
        <v>0.0</v>
      </c>
      <c r="G14" s="15">
        <v>0.0</v>
      </c>
      <c r="H14" s="15">
        <v>0.0</v>
      </c>
      <c r="I14" s="15">
        <v>0.0</v>
      </c>
      <c r="J14" s="15">
        <v>0.0</v>
      </c>
      <c r="K14" s="17">
        <f t="shared" si="1"/>
        <v>0</v>
      </c>
      <c r="L14" s="24">
        <f>IF(C14=0,0,(E14*HS_PROX5+F14*HS_PROX4+G14*HS_PROX3+H14*HS_SEM+I14*HS_SE1+J14*HS_E0+(C14-K14)*HS_DEFAULT)/C14)</f>
        <v>0</v>
      </c>
      <c r="M14" s="25">
        <f>MIN(D14/TASK_TARGET,1)*W_SL</f>
        <v>0</v>
      </c>
      <c r="N14" s="25">
        <f>IF(C14=0,0,MAX(0,MIN(1,(L14-HS_MIN)/(HS_MAX-HS_MIN)))*W_DOKHO)</f>
        <v>0</v>
      </c>
      <c r="O14" s="15"/>
      <c r="P14" s="17" t="str">
        <f>IF(O14="","",(O14/5)*W_CL)</f>
        <v/>
      </c>
      <c r="Q14" s="15">
        <v>0.0</v>
      </c>
      <c r="R14" s="15">
        <v>0.0</v>
      </c>
      <c r="S14" s="15">
        <v>0.0</v>
      </c>
      <c r="T14" s="12"/>
      <c r="U14" s="25">
        <f>MIN(S14,W_BONUS)+Q14*TRE_TASK+R14*TRE_NGAY</f>
        <v>0</v>
      </c>
      <c r="V14" s="26">
        <f t="shared" si="2"/>
        <v>0</v>
      </c>
      <c r="W14" s="17">
        <f t="shared" si="3"/>
        <v>1</v>
      </c>
      <c r="X14" s="17" t="str">
        <f>IF(V14&gt;=(W_SL+W_DOKHO+W_CL+W_BONUS),"✅ Đạt KPI",IF(V14&gt;=PCT_WARN,"⚠️ Gần đạt KPI","❌ Chưa đạt"))</f>
        <v>❌ Chưa đạt</v>
      </c>
      <c r="Z14" s="27">
        <f t="shared" si="4"/>
        <v>0.00000011</v>
      </c>
      <c r="AA14" s="4"/>
      <c r="AB14" s="17">
        <v>12.0</v>
      </c>
      <c r="AC14" s="13" t="str">
        <f t="array" ref="AC14">INDEX($A$3:$A$25,MATCH(LARGE($Z$3:$Z$25,12),$Z$3:$Z$25,0))</f>
        <v>Charlie</v>
      </c>
      <c r="AD14" s="17" t="str">
        <f t="array" ref="AD14">INDEX($B$3:$B$25,MATCH(LARGE($Z$3:$Z$25,12),$Z$3:$Z$25,0))</f>
        <v>Media Key</v>
      </c>
      <c r="AE14" s="26">
        <f t="array" ref="AE14">INDEX($V$3:$V$25,MATCH(LARGE($Z$3:$Z$25,12),$Z$3:$Z$25,0))</f>
        <v>0</v>
      </c>
      <c r="AF14" s="17" t="str">
        <f>IF(AE14&gt;=(W_SL+W_DOKHO+W_CL+W_BONUS),"✅ Đạt KPI",IF(AE14&gt;=PCT_WARN,"⚠️ Gần đạt KPI","❌ Chưa đạt"))</f>
        <v>❌ Chưa đạt</v>
      </c>
    </row>
    <row r="15" ht="15.0" customHeight="1">
      <c r="A15" s="37" t="s">
        <v>123</v>
      </c>
      <c r="B15" s="37" t="s">
        <v>118</v>
      </c>
      <c r="C15" s="23">
        <f>COUNTIF('Data thô (dán hàng tháng)'!$B:$B,A15)</f>
        <v>0</v>
      </c>
      <c r="D15" s="23">
        <f>SUMIF('Data thô (dán hàng tháng)'!$B:$B,A15,'Data thô (dán hàng tháng)'!$C:$C)</f>
        <v>0</v>
      </c>
      <c r="E15" s="15">
        <v>0.0</v>
      </c>
      <c r="F15" s="15">
        <v>0.0</v>
      </c>
      <c r="G15" s="15">
        <v>0.0</v>
      </c>
      <c r="H15" s="15">
        <v>0.0</v>
      </c>
      <c r="I15" s="15">
        <v>0.0</v>
      </c>
      <c r="J15" s="15">
        <v>0.0</v>
      </c>
      <c r="K15" s="17">
        <f t="shared" si="1"/>
        <v>0</v>
      </c>
      <c r="L15" s="24">
        <f>IF(C15=0,0,(E15*HS_PROX5+F15*HS_PROX4+G15*HS_PROX3+H15*HS_SEM+I15*HS_SE1+J15*HS_E0+(C15-K15)*HS_DEFAULT)/C15)</f>
        <v>0</v>
      </c>
      <c r="M15" s="25">
        <f>MIN(D15/TASK_TARGET,1)*W_SL</f>
        <v>0</v>
      </c>
      <c r="N15" s="25">
        <f>IF(C15=0,0,MAX(0,MIN(1,(L15-HS_MIN)/(HS_MAX-HS_MIN)))*W_DOKHO)</f>
        <v>0</v>
      </c>
      <c r="O15" s="15"/>
      <c r="P15" s="17" t="str">
        <f>IF(O15="","",(O15/5)*W_CL)</f>
        <v/>
      </c>
      <c r="Q15" s="15">
        <v>0.0</v>
      </c>
      <c r="R15" s="15">
        <v>0.0</v>
      </c>
      <c r="S15" s="15">
        <v>0.0</v>
      </c>
      <c r="T15" s="12"/>
      <c r="U15" s="25">
        <f>MIN(S15,W_BONUS)+Q15*TRE_TASK+R15*TRE_NGAY</f>
        <v>0</v>
      </c>
      <c r="V15" s="26">
        <f t="shared" si="2"/>
        <v>0</v>
      </c>
      <c r="W15" s="17">
        <f t="shared" si="3"/>
        <v>1</v>
      </c>
      <c r="X15" s="17" t="str">
        <f>IF(V15&gt;=(W_SL+W_DOKHO+W_CL+W_BONUS),"✅ Đạt KPI",IF(V15&gt;=PCT_WARN,"⚠️ Gần đạt KPI","❌ Chưa đạt"))</f>
        <v>❌ Chưa đạt</v>
      </c>
      <c r="Z15" s="27">
        <f t="shared" si="4"/>
        <v>0.00000012</v>
      </c>
      <c r="AA15" s="4"/>
      <c r="AB15" s="17">
        <v>13.0</v>
      </c>
      <c r="AC15" s="13" t="str">
        <f t="array" ref="AC15">INDEX($A$3:$A$25,MATCH(LARGE($Z$3:$Z$25,13),$Z$3:$Z$25,0))</f>
        <v>Nathan</v>
      </c>
      <c r="AD15" s="17" t="str">
        <f t="array" ref="AD15">INDEX($B$3:$B$25,MATCH(LARGE($Z$3:$Z$25,13),$Z$3:$Z$25,0))</f>
        <v>Media Key</v>
      </c>
      <c r="AE15" s="26">
        <f t="array" ref="AE15">INDEX($V$3:$V$25,MATCH(LARGE($Z$3:$Z$25,13),$Z$3:$Z$25,0))</f>
        <v>0</v>
      </c>
      <c r="AF15" s="17" t="str">
        <f>IF(AE15&gt;=(W_SL+W_DOKHO+W_CL+W_BONUS),"✅ Đạt KPI",IF(AE15&gt;=PCT_WARN,"⚠️ Gần đạt KPI","❌ Chưa đạt"))</f>
        <v>❌ Chưa đạt</v>
      </c>
    </row>
    <row r="16" ht="15.0" customHeight="1">
      <c r="A16" s="37" t="s">
        <v>143</v>
      </c>
      <c r="B16" s="37" t="s">
        <v>118</v>
      </c>
      <c r="C16" s="23">
        <f>COUNTIF('Data thô (dán hàng tháng)'!$B:$B,A16)</f>
        <v>0</v>
      </c>
      <c r="D16" s="23">
        <f>SUMIF('Data thô (dán hàng tháng)'!$B:$B,A16,'Data thô (dán hàng tháng)'!$C:$C)</f>
        <v>0</v>
      </c>
      <c r="E16" s="15">
        <v>0.0</v>
      </c>
      <c r="F16" s="15">
        <v>0.0</v>
      </c>
      <c r="G16" s="15">
        <v>0.0</v>
      </c>
      <c r="H16" s="15">
        <v>0.0</v>
      </c>
      <c r="I16" s="15">
        <v>0.0</v>
      </c>
      <c r="J16" s="15">
        <v>0.0</v>
      </c>
      <c r="K16" s="17">
        <f t="shared" si="1"/>
        <v>0</v>
      </c>
      <c r="L16" s="24">
        <f>IF(C16=0,0,(E16*HS_PROX5+F16*HS_PROX4+G16*HS_PROX3+H16*HS_SEM+I16*HS_SE1+J16*HS_E0+(C16-K16)*HS_DEFAULT)/C16)</f>
        <v>0</v>
      </c>
      <c r="M16" s="25">
        <f>MIN(D16/TASK_TARGET,1)*W_SL</f>
        <v>0</v>
      </c>
      <c r="N16" s="25">
        <f>IF(C16=0,0,MAX(0,MIN(1,(L16-HS_MIN)/(HS_MAX-HS_MIN)))*W_DOKHO)</f>
        <v>0</v>
      </c>
      <c r="O16" s="15"/>
      <c r="P16" s="17" t="str">
        <f>IF(O16="","",(O16/5)*W_CL)</f>
        <v/>
      </c>
      <c r="Q16" s="15">
        <v>0.0</v>
      </c>
      <c r="R16" s="15">
        <v>0.0</v>
      </c>
      <c r="S16" s="15">
        <v>0.0</v>
      </c>
      <c r="T16" s="12"/>
      <c r="U16" s="25">
        <f>MIN(S16,W_BONUS)+Q16*TRE_TASK+R16*TRE_NGAY</f>
        <v>0</v>
      </c>
      <c r="V16" s="26">
        <f t="shared" si="2"/>
        <v>0</v>
      </c>
      <c r="W16" s="17">
        <f t="shared" si="3"/>
        <v>1</v>
      </c>
      <c r="X16" s="17" t="str">
        <f>IF(V16&gt;=(W_SL+W_DOKHO+W_CL+W_BONUS),"✅ Đạt KPI",IF(V16&gt;=PCT_WARN,"⚠️ Gần đạt KPI","❌ Chưa đạt"))</f>
        <v>❌ Chưa đạt</v>
      </c>
      <c r="Z16" s="27">
        <f t="shared" si="4"/>
        <v>0.00000013</v>
      </c>
      <c r="AA16" s="4"/>
      <c r="AB16" s="17">
        <v>14.0</v>
      </c>
      <c r="AC16" s="13" t="str">
        <f t="array" ref="AC16">INDEX($A$3:$A$25,MATCH(LARGE($Z$3:$Z$25,14),$Z$3:$Z$25,0))</f>
        <v>Sherry</v>
      </c>
      <c r="AD16" s="17" t="str">
        <f t="array" ref="AD16">INDEX($B$3:$B$25,MATCH(LARGE($Z$3:$Z$25,14),$Z$3:$Z$25,0))</f>
        <v>Media Key</v>
      </c>
      <c r="AE16" s="26">
        <f t="array" ref="AE16">INDEX($V$3:$V$25,MATCH(LARGE($Z$3:$Z$25,14),$Z$3:$Z$25,0))</f>
        <v>0</v>
      </c>
      <c r="AF16" s="17" t="str">
        <f>IF(AE16&gt;=(W_SL+W_DOKHO+W_CL+W_BONUS),"✅ Đạt KPI",IF(AE16&gt;=PCT_WARN,"⚠️ Gần đạt KPI","❌ Chưa đạt"))</f>
        <v>❌ Chưa đạt</v>
      </c>
    </row>
    <row r="17" ht="15.0" customHeight="1">
      <c r="A17" s="37" t="s">
        <v>138</v>
      </c>
      <c r="B17" s="37" t="s">
        <v>118</v>
      </c>
      <c r="C17" s="23">
        <f>COUNTIF('Data thô (dán hàng tháng)'!$B:$B,A17)</f>
        <v>0</v>
      </c>
      <c r="D17" s="23">
        <f>SUMIF('Data thô (dán hàng tháng)'!$B:$B,A17,'Data thô (dán hàng tháng)'!$C:$C)</f>
        <v>0</v>
      </c>
      <c r="E17" s="15">
        <v>0.0</v>
      </c>
      <c r="F17" s="15">
        <v>0.0</v>
      </c>
      <c r="G17" s="15">
        <v>0.0</v>
      </c>
      <c r="H17" s="15">
        <v>0.0</v>
      </c>
      <c r="I17" s="15">
        <v>0.0</v>
      </c>
      <c r="J17" s="15">
        <v>0.0</v>
      </c>
      <c r="K17" s="17">
        <f t="shared" si="1"/>
        <v>0</v>
      </c>
      <c r="L17" s="24">
        <f>IF(C17=0,0,(E17*HS_PROX5+F17*HS_PROX4+G17*HS_PROX3+H17*HS_SEM+I17*HS_SE1+J17*HS_E0+(C17-K17)*HS_DEFAULT)/C17)</f>
        <v>0</v>
      </c>
      <c r="M17" s="25">
        <f>MIN(D17/TASK_TARGET,1)*W_SL</f>
        <v>0</v>
      </c>
      <c r="N17" s="25">
        <f>IF(C17=0,0,MAX(0,MIN(1,(L17-HS_MIN)/(HS_MAX-HS_MIN)))*W_DOKHO)</f>
        <v>0</v>
      </c>
      <c r="O17" s="15"/>
      <c r="P17" s="17" t="str">
        <f>IF(O17="","",(O17/5)*W_CL)</f>
        <v/>
      </c>
      <c r="Q17" s="15">
        <v>0.0</v>
      </c>
      <c r="R17" s="15">
        <v>0.0</v>
      </c>
      <c r="S17" s="15">
        <v>0.0</v>
      </c>
      <c r="T17" s="12"/>
      <c r="U17" s="25">
        <f>MIN(S17,W_BONUS)+Q17*TRE_TASK+R17*TRE_NGAY</f>
        <v>0</v>
      </c>
      <c r="V17" s="26">
        <f t="shared" si="2"/>
        <v>0</v>
      </c>
      <c r="W17" s="17">
        <f t="shared" si="3"/>
        <v>1</v>
      </c>
      <c r="X17" s="17" t="str">
        <f>IF(V17&gt;=(W_SL+W_DOKHO+W_CL+W_BONUS),"✅ Đạt KPI",IF(V17&gt;=PCT_WARN,"⚠️ Gần đạt KPI","❌ Chưa đạt"))</f>
        <v>❌ Chưa đạt</v>
      </c>
      <c r="Z17" s="27">
        <f t="shared" si="4"/>
        <v>0.00000014</v>
      </c>
      <c r="AA17" s="4"/>
      <c r="AB17" s="17">
        <v>15.0</v>
      </c>
      <c r="AC17" s="13" t="str">
        <f t="array" ref="AC17">INDEX($A$3:$A$25,MATCH(LARGE($Z$3:$Z$25,15),$Z$3:$Z$25,0))</f>
        <v>Barry</v>
      </c>
      <c r="AD17" s="17" t="str">
        <f t="array" ref="AD17">INDEX($B$3:$B$25,MATCH(LARGE($Z$3:$Z$25,15),$Z$3:$Z$25,0))</f>
        <v>Media Key</v>
      </c>
      <c r="AE17" s="26">
        <f t="array" ref="AE17">INDEX($V$3:$V$25,MATCH(LARGE($Z$3:$Z$25,15),$Z$3:$Z$25,0))</f>
        <v>0</v>
      </c>
      <c r="AF17" s="17" t="str">
        <f>IF(AE17&gt;=(W_SL+W_DOKHO+W_CL+W_BONUS),"✅ Đạt KPI",IF(AE17&gt;=PCT_WARN,"⚠️ Gần đạt KPI","❌ Chưa đạt"))</f>
        <v>❌ Chưa đạt</v>
      </c>
    </row>
    <row r="18" ht="15.0" customHeight="1">
      <c r="A18" s="38" t="s">
        <v>129</v>
      </c>
      <c r="B18" s="38" t="s">
        <v>130</v>
      </c>
      <c r="C18" s="23">
        <f>COUNTIF('Data thô (dán hàng tháng)'!$B:$B,A18)</f>
        <v>0</v>
      </c>
      <c r="D18" s="23">
        <f>SUMIF('Data thô (dán hàng tháng)'!$B:$B,A18,'Data thô (dán hàng tháng)'!$C:$C)</f>
        <v>0</v>
      </c>
      <c r="E18" s="15">
        <v>0.0</v>
      </c>
      <c r="F18" s="15">
        <v>0.0</v>
      </c>
      <c r="G18" s="15">
        <v>0.0</v>
      </c>
      <c r="H18" s="15">
        <v>0.0</v>
      </c>
      <c r="I18" s="15">
        <v>0.0</v>
      </c>
      <c r="J18" s="15">
        <v>0.0</v>
      </c>
      <c r="K18" s="17">
        <f t="shared" si="1"/>
        <v>0</v>
      </c>
      <c r="L18" s="24">
        <f>IF(C18=0,0,(E18*HS_PROX5+F18*HS_PROX4+G18*HS_PROX3+H18*HS_SEM+I18*HS_SE1+J18*HS_E0+(C18-K18)*HS_DEFAULT)/C18)</f>
        <v>0</v>
      </c>
      <c r="M18" s="25">
        <f>MIN(D18/TASK_TARGET,1)*W_SL</f>
        <v>0</v>
      </c>
      <c r="N18" s="25">
        <f>IF(C18=0,0,MAX(0,MIN(1,(L18-HS_MIN)/(HS_MAX-HS_MIN)))*W_DOKHO)</f>
        <v>0</v>
      </c>
      <c r="O18" s="15"/>
      <c r="P18" s="17" t="str">
        <f>IF(O18="","",(O18/5)*W_CL)</f>
        <v/>
      </c>
      <c r="Q18" s="15">
        <v>0.0</v>
      </c>
      <c r="R18" s="15">
        <v>0.0</v>
      </c>
      <c r="S18" s="15">
        <v>0.0</v>
      </c>
      <c r="T18" s="12"/>
      <c r="U18" s="25">
        <f>MIN(S18,W_BONUS)+Q18*TRE_TASK+R18*TRE_NGAY</f>
        <v>0</v>
      </c>
      <c r="V18" s="26">
        <f t="shared" si="2"/>
        <v>0</v>
      </c>
      <c r="W18" s="17">
        <f t="shared" si="3"/>
        <v>1</v>
      </c>
      <c r="X18" s="17" t="str">
        <f>IF(V18&gt;=(W_SL+W_DOKHO+W_CL+W_BONUS),"✅ Đạt KPI",IF(V18&gt;=PCT_WARN,"⚠️ Gần đạt KPI","❌ Chưa đạt"))</f>
        <v>❌ Chưa đạt</v>
      </c>
      <c r="Z18" s="27">
        <f t="shared" si="4"/>
        <v>0.00000015</v>
      </c>
      <c r="AA18" s="4"/>
      <c r="AB18" s="17">
        <v>16.0</v>
      </c>
      <c r="AC18" s="13" t="str">
        <f t="array" ref="AC18">INDEX($A$3:$A$25,MATCH(LARGE($Z$3:$Z$25,16),$Z$3:$Z$25,0))</f>
        <v>Daniel</v>
      </c>
      <c r="AD18" s="17" t="str">
        <f t="array" ref="AD18">INDEX($B$3:$B$25,MATCH(LARGE($Z$3:$Z$25,16),$Z$3:$Z$25,0))</f>
        <v>Media Key</v>
      </c>
      <c r="AE18" s="26">
        <f t="array" ref="AE18">INDEX($V$3:$V$25,MATCH(LARGE($Z$3:$Z$25,16),$Z$3:$Z$25,0))</f>
        <v>0</v>
      </c>
      <c r="AF18" s="17" t="str">
        <f>IF(AE18&gt;=(W_SL+W_DOKHO+W_CL+W_BONUS),"✅ Đạt KPI",IF(AE18&gt;=PCT_WARN,"⚠️ Gần đạt KPI","❌ Chưa đạt"))</f>
        <v>❌ Chưa đạt</v>
      </c>
    </row>
    <row r="19" ht="15.0" customHeight="1">
      <c r="A19" s="38" t="s">
        <v>131</v>
      </c>
      <c r="B19" s="38" t="s">
        <v>130</v>
      </c>
      <c r="C19" s="23">
        <f>COUNTIF('Data thô (dán hàng tháng)'!$B:$B,A19)</f>
        <v>0</v>
      </c>
      <c r="D19" s="23">
        <f>SUMIF('Data thô (dán hàng tháng)'!$B:$B,A19,'Data thô (dán hàng tháng)'!$C:$C)</f>
        <v>0</v>
      </c>
      <c r="E19" s="15">
        <v>0.0</v>
      </c>
      <c r="F19" s="15">
        <v>0.0</v>
      </c>
      <c r="G19" s="15">
        <v>0.0</v>
      </c>
      <c r="H19" s="15">
        <v>0.0</v>
      </c>
      <c r="I19" s="15">
        <v>0.0</v>
      </c>
      <c r="J19" s="15">
        <v>0.0</v>
      </c>
      <c r="K19" s="17">
        <f t="shared" si="1"/>
        <v>0</v>
      </c>
      <c r="L19" s="24">
        <f>IF(C19=0,0,(E19*HS_PROX5+F19*HS_PROX4+G19*HS_PROX3+H19*HS_SEM+I19*HS_SE1+J19*HS_E0+(C19-K19)*HS_DEFAULT)/C19)</f>
        <v>0</v>
      </c>
      <c r="M19" s="25">
        <f>MIN(D19/TASK_TARGET,1)*W_SL</f>
        <v>0</v>
      </c>
      <c r="N19" s="25">
        <f>IF(C19=0,0,MAX(0,MIN(1,(L19-HS_MIN)/(HS_MAX-HS_MIN)))*W_DOKHO)</f>
        <v>0</v>
      </c>
      <c r="O19" s="15"/>
      <c r="P19" s="17" t="str">
        <f>IF(O19="","",(O19/5)*W_CL)</f>
        <v/>
      </c>
      <c r="Q19" s="15">
        <v>0.0</v>
      </c>
      <c r="R19" s="15">
        <v>0.0</v>
      </c>
      <c r="S19" s="15">
        <v>0.0</v>
      </c>
      <c r="T19" s="12"/>
      <c r="U19" s="25">
        <f>MIN(S19,W_BONUS)+Q19*TRE_TASK+R19*TRE_NGAY</f>
        <v>0</v>
      </c>
      <c r="V19" s="26">
        <f t="shared" si="2"/>
        <v>0</v>
      </c>
      <c r="W19" s="17">
        <f t="shared" si="3"/>
        <v>1</v>
      </c>
      <c r="X19" s="17" t="str">
        <f>IF(V19&gt;=(W_SL+W_DOKHO+W_CL+W_BONUS),"✅ Đạt KPI",IF(V19&gt;=PCT_WARN,"⚠️ Gần đạt KPI","❌ Chưa đạt"))</f>
        <v>❌ Chưa đạt</v>
      </c>
      <c r="Z19" s="27">
        <f t="shared" si="4"/>
        <v>0.00000016</v>
      </c>
      <c r="AA19" s="4"/>
      <c r="AB19" s="17">
        <v>17.0</v>
      </c>
      <c r="AC19" s="13" t="str">
        <f t="array" ref="AC19">INDEX($A$3:$A$25,MATCH(LARGE($Z$3:$Z$25,17),$Z$3:$Z$25,0))</f>
        <v>Mio</v>
      </c>
      <c r="AD19" s="17" t="str">
        <f t="array" ref="AD19">INDEX($B$3:$B$25,MATCH(LARGE($Z$3:$Z$25,17),$Z$3:$Z$25,0))</f>
        <v>Media Key</v>
      </c>
      <c r="AE19" s="26">
        <f t="array" ref="AE19">INDEX($V$3:$V$25,MATCH(LARGE($Z$3:$Z$25,17),$Z$3:$Z$25,0))</f>
        <v>0</v>
      </c>
      <c r="AF19" s="17" t="str">
        <f>IF(AE19&gt;=(W_SL+W_DOKHO+W_CL+W_BONUS),"✅ Đạt KPI",IF(AE19&gt;=PCT_WARN,"⚠️ Gần đạt KPI","❌ Chưa đạt"))</f>
        <v>❌ Chưa đạt</v>
      </c>
    </row>
    <row r="20" ht="15.0" customHeight="1">
      <c r="A20" s="38" t="s">
        <v>132</v>
      </c>
      <c r="B20" s="38" t="s">
        <v>130</v>
      </c>
      <c r="C20" s="23">
        <f>COUNTIF('Data thô (dán hàng tháng)'!$B:$B,A20)</f>
        <v>0</v>
      </c>
      <c r="D20" s="23">
        <f>SUMIF('Data thô (dán hàng tháng)'!$B:$B,A20,'Data thô (dán hàng tháng)'!$C:$C)</f>
        <v>0</v>
      </c>
      <c r="E20" s="15">
        <v>0.0</v>
      </c>
      <c r="F20" s="15">
        <v>0.0</v>
      </c>
      <c r="G20" s="15">
        <v>0.0</v>
      </c>
      <c r="H20" s="15">
        <v>0.0</v>
      </c>
      <c r="I20" s="15">
        <v>0.0</v>
      </c>
      <c r="J20" s="15">
        <v>0.0</v>
      </c>
      <c r="K20" s="17">
        <f t="shared" si="1"/>
        <v>0</v>
      </c>
      <c r="L20" s="24">
        <f>IF(C20=0,0,(E20*HS_PROX5+F20*HS_PROX4+G20*HS_PROX3+H20*HS_SEM+I20*HS_SE1+J20*HS_E0+(C20-K20)*HS_DEFAULT)/C20)</f>
        <v>0</v>
      </c>
      <c r="M20" s="25">
        <f>MIN(D20/TASK_TARGET,1)*W_SL</f>
        <v>0</v>
      </c>
      <c r="N20" s="25">
        <f>IF(C20=0,0,MAX(0,MIN(1,(L20-HS_MIN)/(HS_MAX-HS_MIN)))*W_DOKHO)</f>
        <v>0</v>
      </c>
      <c r="O20" s="15"/>
      <c r="P20" s="17" t="str">
        <f>IF(O20="","",(O20/5)*W_CL)</f>
        <v/>
      </c>
      <c r="Q20" s="15">
        <v>0.0</v>
      </c>
      <c r="R20" s="15">
        <v>0.0</v>
      </c>
      <c r="S20" s="15">
        <v>0.0</v>
      </c>
      <c r="T20" s="12"/>
      <c r="U20" s="25">
        <f>MIN(S20,W_BONUS)+Q20*TRE_TASK+R20*TRE_NGAY</f>
        <v>0</v>
      </c>
      <c r="V20" s="26">
        <f t="shared" si="2"/>
        <v>0</v>
      </c>
      <c r="W20" s="17">
        <f t="shared" si="3"/>
        <v>1</v>
      </c>
      <c r="X20" s="17" t="str">
        <f>IF(V20&gt;=(W_SL+W_DOKHO+W_CL+W_BONUS),"✅ Đạt KPI",IF(V20&gt;=PCT_WARN,"⚠️ Gần đạt KPI","❌ Chưa đạt"))</f>
        <v>❌ Chưa đạt</v>
      </c>
      <c r="Z20" s="27">
        <f t="shared" si="4"/>
        <v>0.00000017</v>
      </c>
      <c r="AA20" s="4"/>
      <c r="AB20" s="17">
        <v>18.0</v>
      </c>
      <c r="AC20" s="13" t="str">
        <f t="array" ref="AC20">INDEX($A$3:$A$25,MATCH(LARGE($Z$3:$Z$25,18),$Z$3:$Z$25,0))</f>
        <v>Clara</v>
      </c>
      <c r="AD20" s="17" t="str">
        <f t="array" ref="AD20">INDEX($B$3:$B$25,MATCH(LARGE($Z$3:$Z$25,18),$Z$3:$Z$25,0))</f>
        <v>Media Key</v>
      </c>
      <c r="AE20" s="26">
        <f t="array" ref="AE20">INDEX($V$3:$V$25,MATCH(LARGE($Z$3:$Z$25,18),$Z$3:$Z$25,0))</f>
        <v>0</v>
      </c>
      <c r="AF20" s="17" t="str">
        <f>IF(AE20&gt;=(W_SL+W_DOKHO+W_CL+W_BONUS),"✅ Đạt KPI",IF(AE20&gt;=PCT_WARN,"⚠️ Gần đạt KPI","❌ Chưa đạt"))</f>
        <v>❌ Chưa đạt</v>
      </c>
    </row>
    <row r="21" ht="15.0" customHeight="1">
      <c r="A21" s="38" t="s">
        <v>133</v>
      </c>
      <c r="B21" s="38" t="s">
        <v>130</v>
      </c>
      <c r="C21" s="23">
        <f>COUNTIF('Data thô (dán hàng tháng)'!$B:$B,A21)</f>
        <v>0</v>
      </c>
      <c r="D21" s="23">
        <f>SUMIF('Data thô (dán hàng tháng)'!$B:$B,A21,'Data thô (dán hàng tháng)'!$C:$C)</f>
        <v>0</v>
      </c>
      <c r="E21" s="15">
        <v>0.0</v>
      </c>
      <c r="F21" s="15">
        <v>0.0</v>
      </c>
      <c r="G21" s="15">
        <v>0.0</v>
      </c>
      <c r="H21" s="15">
        <v>0.0</v>
      </c>
      <c r="I21" s="15">
        <v>0.0</v>
      </c>
      <c r="J21" s="15">
        <v>0.0</v>
      </c>
      <c r="K21" s="17">
        <f t="shared" si="1"/>
        <v>0</v>
      </c>
      <c r="L21" s="24">
        <f>IF(C21=0,0,(E21*HS_PROX5+F21*HS_PROX4+G21*HS_PROX3+H21*HS_SEM+I21*HS_SE1+J21*HS_E0+(C21-K21)*HS_DEFAULT)/C21)</f>
        <v>0</v>
      </c>
      <c r="M21" s="25">
        <f>MIN(D21/TASK_TARGET,1)*W_SL</f>
        <v>0</v>
      </c>
      <c r="N21" s="25">
        <f>IF(C21=0,0,MAX(0,MIN(1,(L21-HS_MIN)/(HS_MAX-HS_MIN)))*W_DOKHO)</f>
        <v>0</v>
      </c>
      <c r="O21" s="15"/>
      <c r="P21" s="17" t="str">
        <f>IF(O21="","",(O21/5)*W_CL)</f>
        <v/>
      </c>
      <c r="Q21" s="15">
        <v>0.0</v>
      </c>
      <c r="R21" s="15">
        <v>0.0</v>
      </c>
      <c r="S21" s="15">
        <v>0.0</v>
      </c>
      <c r="T21" s="12"/>
      <c r="U21" s="25">
        <f>MIN(S21,W_BONUS)+Q21*TRE_TASK+R21*TRE_NGAY</f>
        <v>0</v>
      </c>
      <c r="V21" s="26">
        <f t="shared" si="2"/>
        <v>0</v>
      </c>
      <c r="W21" s="17">
        <f t="shared" si="3"/>
        <v>1</v>
      </c>
      <c r="X21" s="17" t="str">
        <f>IF(V21&gt;=(W_SL+W_DOKHO+W_CL+W_BONUS),"✅ Đạt KPI",IF(V21&gt;=PCT_WARN,"⚠️ Gần đạt KPI","❌ Chưa đạt"))</f>
        <v>❌ Chưa đạt</v>
      </c>
      <c r="Z21" s="27">
        <f t="shared" si="4"/>
        <v>0.00000018</v>
      </c>
      <c r="AA21" s="4"/>
      <c r="AB21" s="17">
        <v>19.0</v>
      </c>
      <c r="AC21" s="13" t="str">
        <f t="array" ref="AC21">INDEX($A$3:$A$25,MATCH(LARGE($Z$3:$Z$25,19),$Z$3:$Z$25,0))</f>
        <v>Helia</v>
      </c>
      <c r="AD21" s="17" t="str">
        <f t="array" ref="AD21">INDEX($B$3:$B$25,MATCH(LARGE($Z$3:$Z$25,19),$Z$3:$Z$25,0))</f>
        <v>Media Key</v>
      </c>
      <c r="AE21" s="26">
        <f t="array" ref="AE21">INDEX($V$3:$V$25,MATCH(LARGE($Z$3:$Z$25,19),$Z$3:$Z$25,0))</f>
        <v>0</v>
      </c>
      <c r="AF21" s="17" t="str">
        <f>IF(AE21&gt;=(W_SL+W_DOKHO+W_CL+W_BONUS),"✅ Đạt KPI",IF(AE21&gt;=PCT_WARN,"⚠️ Gần đạt KPI","❌ Chưa đạt"))</f>
        <v>❌ Chưa đạt</v>
      </c>
    </row>
    <row r="22" ht="15.0" customHeight="1">
      <c r="A22" s="38" t="s">
        <v>134</v>
      </c>
      <c r="B22" s="38" t="s">
        <v>130</v>
      </c>
      <c r="C22" s="23">
        <f>COUNTIF('Data thô (dán hàng tháng)'!$B:$B,A22)</f>
        <v>0</v>
      </c>
      <c r="D22" s="23">
        <f>SUMIF('Data thô (dán hàng tháng)'!$B:$B,A22,'Data thô (dán hàng tháng)'!$C:$C)</f>
        <v>0</v>
      </c>
      <c r="E22" s="15">
        <v>0.0</v>
      </c>
      <c r="F22" s="15">
        <v>0.0</v>
      </c>
      <c r="G22" s="15">
        <v>0.0</v>
      </c>
      <c r="H22" s="15">
        <v>0.0</v>
      </c>
      <c r="I22" s="15">
        <v>0.0</v>
      </c>
      <c r="J22" s="15">
        <v>0.0</v>
      </c>
      <c r="K22" s="17">
        <f t="shared" si="1"/>
        <v>0</v>
      </c>
      <c r="L22" s="24">
        <f>IF(C22=0,0,(E22*HS_PROX5+F22*HS_PROX4+G22*HS_PROX3+H22*HS_SEM+I22*HS_SE1+J22*HS_E0+(C22-K22)*HS_DEFAULT)/C22)</f>
        <v>0</v>
      </c>
      <c r="M22" s="25">
        <f>MIN(D22/TASK_TARGET,1)*W_SL</f>
        <v>0</v>
      </c>
      <c r="N22" s="25">
        <f>IF(C22=0,0,MAX(0,MIN(1,(L22-HS_MIN)/(HS_MAX-HS_MIN)))*W_DOKHO)</f>
        <v>0</v>
      </c>
      <c r="O22" s="15"/>
      <c r="P22" s="17" t="str">
        <f>IF(O22="","",(O22/5)*W_CL)</f>
        <v/>
      </c>
      <c r="Q22" s="15">
        <v>0.0</v>
      </c>
      <c r="R22" s="15">
        <v>0.0</v>
      </c>
      <c r="S22" s="15">
        <v>0.0</v>
      </c>
      <c r="T22" s="12"/>
      <c r="U22" s="25">
        <f>MIN(S22,W_BONUS)+Q22*TRE_TASK+R22*TRE_NGAY</f>
        <v>0</v>
      </c>
      <c r="V22" s="26">
        <f t="shared" si="2"/>
        <v>0</v>
      </c>
      <c r="W22" s="17">
        <f t="shared" si="3"/>
        <v>1</v>
      </c>
      <c r="X22" s="17" t="str">
        <f>IF(V22&gt;=(W_SL+W_DOKHO+W_CL+W_BONUS),"✅ Đạt KPI",IF(V22&gt;=PCT_WARN,"⚠️ Gần đạt KPI","❌ Chưa đạt"))</f>
        <v>❌ Chưa đạt</v>
      </c>
      <c r="Z22" s="27">
        <f t="shared" si="4"/>
        <v>0.00000019</v>
      </c>
      <c r="AA22" s="4"/>
      <c r="AB22" s="17">
        <v>20.0</v>
      </c>
      <c r="AC22" s="13" t="str">
        <f t="array" ref="AC22">INDEX($A$3:$A$25,MATCH(LARGE($Z$3:$Z$25,20),$Z$3:$Z$25,0))</f>
        <v>Julie</v>
      </c>
      <c r="AD22" s="17" t="str">
        <f t="array" ref="AD22">INDEX($B$3:$B$25,MATCH(LARGE($Z$3:$Z$25,20),$Z$3:$Z$25,0))</f>
        <v>Media Key</v>
      </c>
      <c r="AE22" s="26">
        <f t="array" ref="AE22">INDEX($V$3:$V$25,MATCH(LARGE($Z$3:$Z$25,20),$Z$3:$Z$25,0))</f>
        <v>0</v>
      </c>
      <c r="AF22" s="17" t="str">
        <f>IF(AE22&gt;=(W_SL+W_DOKHO+W_CL+W_BONUS),"✅ Đạt KPI",IF(AE22&gt;=PCT_WARN,"⚠️ Gần đạt KPI","❌ Chưa đạt"))</f>
        <v>❌ Chưa đạt</v>
      </c>
    </row>
    <row r="23" ht="15.0" customHeight="1">
      <c r="A23" s="38" t="s">
        <v>135</v>
      </c>
      <c r="B23" s="38" t="s">
        <v>130</v>
      </c>
      <c r="C23" s="23">
        <f>COUNTIF('Data thô (dán hàng tháng)'!$B:$B,A23)</f>
        <v>0</v>
      </c>
      <c r="D23" s="23">
        <f>SUMIF('Data thô (dán hàng tháng)'!$B:$B,A23,'Data thô (dán hàng tháng)'!$C:$C)</f>
        <v>0</v>
      </c>
      <c r="E23" s="15">
        <v>0.0</v>
      </c>
      <c r="F23" s="15">
        <v>0.0</v>
      </c>
      <c r="G23" s="15">
        <v>0.0</v>
      </c>
      <c r="H23" s="15">
        <v>0.0</v>
      </c>
      <c r="I23" s="15">
        <v>0.0</v>
      </c>
      <c r="J23" s="15">
        <v>0.0</v>
      </c>
      <c r="K23" s="17">
        <f t="shared" si="1"/>
        <v>0</v>
      </c>
      <c r="L23" s="24">
        <f>IF(C23=0,0,(E23*HS_PROX5+F23*HS_PROX4+G23*HS_PROX3+H23*HS_SEM+I23*HS_SE1+J23*HS_E0+(C23-K23)*HS_DEFAULT)/C23)</f>
        <v>0</v>
      </c>
      <c r="M23" s="25">
        <f>MIN(D23/TASK_TARGET,1)*W_SL</f>
        <v>0</v>
      </c>
      <c r="N23" s="25">
        <f>IF(C23=0,0,MAX(0,MIN(1,(L23-HS_MIN)/(HS_MAX-HS_MIN)))*W_DOKHO)</f>
        <v>0</v>
      </c>
      <c r="O23" s="15"/>
      <c r="P23" s="17" t="str">
        <f>IF(O23="","",(O23/5)*W_CL)</f>
        <v/>
      </c>
      <c r="Q23" s="15">
        <v>0.0</v>
      </c>
      <c r="R23" s="15">
        <v>0.0</v>
      </c>
      <c r="S23" s="15">
        <v>0.0</v>
      </c>
      <c r="T23" s="12"/>
      <c r="U23" s="25">
        <f>MIN(S23,W_BONUS)+Q23*TRE_TASK+R23*TRE_NGAY</f>
        <v>0</v>
      </c>
      <c r="V23" s="26">
        <f t="shared" si="2"/>
        <v>0</v>
      </c>
      <c r="W23" s="17">
        <f t="shared" si="3"/>
        <v>1</v>
      </c>
      <c r="X23" s="17" t="str">
        <f>IF(V23&gt;=(W_SL+W_DOKHO+W_CL+W_BONUS),"✅ Đạt KPI",IF(V23&gt;=PCT_WARN,"⚠️ Gần đạt KPI","❌ Chưa đạt"))</f>
        <v>❌ Chưa đạt</v>
      </c>
      <c r="Z23" s="27">
        <f t="shared" si="4"/>
        <v>0.0000002</v>
      </c>
      <c r="AA23" s="4"/>
      <c r="AB23" s="17">
        <v>21.0</v>
      </c>
      <c r="AC23" s="13" t="str">
        <f t="array" ref="AC23">INDEX($A$3:$A$25,MATCH(LARGE($Z$3:$Z$25,21),$Z$3:$Z$25,0))</f>
        <v>Ocean</v>
      </c>
      <c r="AD23" s="17" t="str">
        <f t="array" ref="AD23">INDEX($B$3:$B$25,MATCH(LARGE($Z$3:$Z$25,21),$Z$3:$Z$25,0))</f>
        <v>Media Key</v>
      </c>
      <c r="AE23" s="26">
        <f t="array" ref="AE23">INDEX($V$3:$V$25,MATCH(LARGE($Z$3:$Z$25,21),$Z$3:$Z$25,0))</f>
        <v>0</v>
      </c>
      <c r="AF23" s="17" t="str">
        <f>IF(AE23&gt;=(W_SL+W_DOKHO+W_CL+W_BONUS),"✅ Đạt KPI",IF(AE23&gt;=PCT_WARN,"⚠️ Gần đạt KPI","❌ Chưa đạt"))</f>
        <v>❌ Chưa đạt</v>
      </c>
    </row>
    <row r="24" ht="15.0" customHeight="1">
      <c r="A24" s="38" t="s">
        <v>136</v>
      </c>
      <c r="B24" s="38" t="s">
        <v>130</v>
      </c>
      <c r="C24" s="23">
        <f>COUNTIF('Data thô (dán hàng tháng)'!$B:$B,A24)</f>
        <v>0</v>
      </c>
      <c r="D24" s="23">
        <f>SUMIF('Data thô (dán hàng tháng)'!$B:$B,A24,'Data thô (dán hàng tháng)'!$C:$C)</f>
        <v>0</v>
      </c>
      <c r="E24" s="15">
        <v>0.0</v>
      </c>
      <c r="F24" s="15">
        <v>0.0</v>
      </c>
      <c r="G24" s="15">
        <v>0.0</v>
      </c>
      <c r="H24" s="15">
        <v>0.0</v>
      </c>
      <c r="I24" s="15">
        <v>0.0</v>
      </c>
      <c r="J24" s="15">
        <v>0.0</v>
      </c>
      <c r="K24" s="17">
        <f t="shared" si="1"/>
        <v>0</v>
      </c>
      <c r="L24" s="24">
        <f>IF(C24=0,0,(E24*HS_PROX5+F24*HS_PROX4+G24*HS_PROX3+H24*HS_SEM+I24*HS_SE1+J24*HS_E0+(C24-K24)*HS_DEFAULT)/C24)</f>
        <v>0</v>
      </c>
      <c r="M24" s="25">
        <f>MIN(D24/TASK_TARGET,1)*W_SL</f>
        <v>0</v>
      </c>
      <c r="N24" s="25">
        <f>IF(C24=0,0,MAX(0,MIN(1,(L24-HS_MIN)/(HS_MAX-HS_MIN)))*W_DOKHO)</f>
        <v>0</v>
      </c>
      <c r="O24" s="15"/>
      <c r="P24" s="17" t="str">
        <f>IF(O24="","",(O24/5)*W_CL)</f>
        <v/>
      </c>
      <c r="Q24" s="15">
        <v>0.0</v>
      </c>
      <c r="R24" s="15">
        <v>0.0</v>
      </c>
      <c r="S24" s="15">
        <v>0.0</v>
      </c>
      <c r="T24" s="12"/>
      <c r="U24" s="25">
        <f>MIN(S24,W_BONUS)+Q24*TRE_TASK+R24*TRE_NGAY</f>
        <v>0</v>
      </c>
      <c r="V24" s="26">
        <f t="shared" si="2"/>
        <v>0</v>
      </c>
      <c r="W24" s="17">
        <f t="shared" si="3"/>
        <v>1</v>
      </c>
      <c r="X24" s="17" t="str">
        <f>IF(V24&gt;=(W_SL+W_DOKHO+W_CL+W_BONUS),"✅ Đạt KPI",IF(V24&gt;=PCT_WARN,"⚠️ Gần đạt KPI","❌ Chưa đạt"))</f>
        <v>❌ Chưa đạt</v>
      </c>
      <c r="Z24" s="27">
        <f t="shared" si="4"/>
        <v>0.00000021</v>
      </c>
      <c r="AA24" s="4"/>
      <c r="AB24" s="17">
        <v>22.0</v>
      </c>
      <c r="AC24" s="13" t="str">
        <f t="array" ref="AC24">INDEX($A$3:$A$25,MATCH(LARGE($Z$3:$Z$25,22),$Z$3:$Z$25,0))</f>
        <v>Titus</v>
      </c>
      <c r="AD24" s="17" t="str">
        <f t="array" ref="AD24">INDEX($B$3:$B$25,MATCH(LARGE($Z$3:$Z$25,22),$Z$3:$Z$25,0))</f>
        <v>Media Key</v>
      </c>
      <c r="AE24" s="26">
        <f t="array" ref="AE24">INDEX($V$3:$V$25,MATCH(LARGE($Z$3:$Z$25,22),$Z$3:$Z$25,0))</f>
        <v>0</v>
      </c>
      <c r="AF24" s="17" t="str">
        <f>IF(AE24&gt;=(W_SL+W_DOKHO+W_CL+W_BONUS),"✅ Đạt KPI",IF(AE24&gt;=PCT_WARN,"⚠️ Gần đạt KPI","❌ Chưa đạt"))</f>
        <v>❌ Chưa đạt</v>
      </c>
    </row>
    <row r="25" ht="15.0" customHeight="1">
      <c r="A25" s="38" t="s">
        <v>137</v>
      </c>
      <c r="B25" s="38" t="s">
        <v>130</v>
      </c>
      <c r="C25" s="23">
        <f>COUNTIF('Data thô (dán hàng tháng)'!$B:$B,A25)</f>
        <v>0</v>
      </c>
      <c r="D25" s="23">
        <f>SUMIF('Data thô (dán hàng tháng)'!$B:$B,A25,'Data thô (dán hàng tháng)'!$C:$C)</f>
        <v>0</v>
      </c>
      <c r="E25" s="15">
        <v>0.0</v>
      </c>
      <c r="F25" s="15">
        <v>0.0</v>
      </c>
      <c r="G25" s="15">
        <v>0.0</v>
      </c>
      <c r="H25" s="15">
        <v>0.0</v>
      </c>
      <c r="I25" s="15">
        <v>0.0</v>
      </c>
      <c r="J25" s="15">
        <v>0.0</v>
      </c>
      <c r="K25" s="17">
        <f t="shared" si="1"/>
        <v>0</v>
      </c>
      <c r="L25" s="24">
        <f>IF(C25=0,0,(E25*HS_PROX5+F25*HS_PROX4+G25*HS_PROX3+H25*HS_SEM+I25*HS_SE1+J25*HS_E0+(C25-K25)*HS_DEFAULT)/C25)</f>
        <v>0</v>
      </c>
      <c r="M25" s="25">
        <f>MIN(D25/TASK_TARGET,1)*W_SL</f>
        <v>0</v>
      </c>
      <c r="N25" s="25">
        <f>IF(C25=0,0,MAX(0,MIN(1,(L25-HS_MIN)/(HS_MAX-HS_MIN)))*W_DOKHO)</f>
        <v>0</v>
      </c>
      <c r="O25" s="15"/>
      <c r="P25" s="17" t="str">
        <f>IF(O25="","",(O25/5)*W_CL)</f>
        <v/>
      </c>
      <c r="Q25" s="15">
        <v>0.0</v>
      </c>
      <c r="R25" s="15">
        <v>0.0</v>
      </c>
      <c r="S25" s="15">
        <v>0.0</v>
      </c>
      <c r="T25" s="12"/>
      <c r="U25" s="25">
        <f>MIN(S25,W_BONUS)+Q25*TRE_TASK+R25*TRE_NGAY</f>
        <v>0</v>
      </c>
      <c r="V25" s="26">
        <f t="shared" si="2"/>
        <v>0</v>
      </c>
      <c r="W25" s="17">
        <f t="shared" si="3"/>
        <v>1</v>
      </c>
      <c r="X25" s="17" t="str">
        <f>IF(V25&gt;=(W_SL+W_DOKHO+W_CL+W_BONUS),"✅ Đạt KPI",IF(V25&gt;=PCT_WARN,"⚠️ Gần đạt KPI","❌ Chưa đạt"))</f>
        <v>❌ Chưa đạt</v>
      </c>
      <c r="Z25" s="27">
        <f t="shared" si="4"/>
        <v>0.00000022</v>
      </c>
      <c r="AA25" s="4"/>
      <c r="AB25" s="17">
        <v>23.0</v>
      </c>
      <c r="AC25" s="13" t="str">
        <f t="array" ref="AC25">INDEX($A$3:$A$25,MATCH(LARGE($Z$3:$Z$25,23),$Z$3:$Z$25,0))</f>
        <v>Heidi</v>
      </c>
      <c r="AD25" s="17" t="str">
        <f t="array" ref="AD25">INDEX($B$3:$B$25,MATCH(LARGE($Z$3:$Z$25,23),$Z$3:$Z$25,0))</f>
        <v>Media Key</v>
      </c>
      <c r="AE25" s="26">
        <f t="array" ref="AE25">INDEX($V$3:$V$25,MATCH(LARGE($Z$3:$Z$25,23),$Z$3:$Z$25,0))</f>
        <v>0</v>
      </c>
      <c r="AF25" s="17" t="str">
        <f>IF(AE25&gt;=(W_SL+W_DOKHO+W_CL+W_BONUS),"✅ Đạt KPI",IF(AE25&gt;=PCT_WARN,"⚠️ Gần đạt KPI","❌ Chưa đạt"))</f>
        <v>❌ Chưa đạt</v>
      </c>
    </row>
    <row r="26" ht="15.0" customHeight="1">
      <c r="A26" s="32" t="s">
        <v>144</v>
      </c>
      <c r="B26" s="33"/>
      <c r="C26" s="32">
        <f t="shared" ref="C26:D26" si="5">SUM(C3:C25)</f>
        <v>0</v>
      </c>
      <c r="D26" s="32">
        <f t="shared" si="5"/>
        <v>0</v>
      </c>
      <c r="E26" s="33"/>
      <c r="F26" s="33"/>
      <c r="G26" s="33"/>
      <c r="H26" s="33"/>
      <c r="I26" s="33"/>
      <c r="J26" s="33"/>
      <c r="K26" s="32">
        <f>SUM(K3:K25)</f>
        <v>0</v>
      </c>
      <c r="L26" s="33"/>
      <c r="M26" s="34">
        <f t="shared" ref="M26:N26" si="6">AVERAGE(M3:M25)</f>
        <v>0</v>
      </c>
      <c r="N26" s="34">
        <f t="shared" si="6"/>
        <v>0</v>
      </c>
      <c r="O26" s="33"/>
      <c r="P26" s="33"/>
      <c r="Q26" s="33"/>
      <c r="R26" s="33"/>
      <c r="S26" s="33"/>
      <c r="T26" s="33"/>
      <c r="U26" s="34">
        <f t="shared" ref="U26:V26" si="7">AVERAGE(U3:U25)</f>
        <v>0</v>
      </c>
      <c r="V26" s="34">
        <f t="shared" si="7"/>
        <v>0</v>
      </c>
      <c r="W26" s="33"/>
      <c r="X26" s="33"/>
      <c r="Z26" s="4"/>
      <c r="AA26" s="4"/>
      <c r="AB26" s="4"/>
      <c r="AC26" s="4"/>
      <c r="AD26" s="4"/>
      <c r="AE26" s="4"/>
      <c r="AF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Z27" s="4"/>
      <c r="AA27" s="4"/>
      <c r="AB27" s="4"/>
      <c r="AC27" s="4"/>
      <c r="AD27" s="4"/>
      <c r="AE27" s="4"/>
      <c r="AF27" s="4"/>
    </row>
    <row r="28" ht="54.75" customHeight="1">
      <c r="A28" s="39" t="s">
        <v>160</v>
      </c>
      <c r="Z28" s="4"/>
      <c r="AA28" s="4"/>
      <c r="AB28" s="4"/>
      <c r="AC28" s="4"/>
      <c r="AD28" s="4"/>
      <c r="AE28" s="4"/>
      <c r="AF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Z29" s="4"/>
      <c r="AA29" s="4"/>
      <c r="AB29" s="4"/>
      <c r="AC29" s="4"/>
      <c r="AD29" s="4"/>
      <c r="AE29" s="4"/>
      <c r="AF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Z30" s="4"/>
      <c r="AA30" s="4"/>
      <c r="AB30" s="4"/>
      <c r="AC30" s="4"/>
      <c r="AD30" s="4"/>
      <c r="AE30" s="4"/>
      <c r="AF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Z31" s="4"/>
      <c r="AA31" s="4"/>
      <c r="AB31" s="4"/>
      <c r="AC31" s="4"/>
      <c r="AD31" s="4"/>
      <c r="AE31" s="4"/>
      <c r="AF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Z32" s="4"/>
      <c r="AA32" s="4"/>
      <c r="AB32" s="4"/>
      <c r="AC32" s="4"/>
      <c r="AD32" s="4"/>
      <c r="AE32" s="4"/>
      <c r="AF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Z33" s="4"/>
      <c r="AA33" s="4"/>
      <c r="AB33" s="4"/>
      <c r="AC33" s="4"/>
      <c r="AD33" s="4"/>
      <c r="AE33" s="4"/>
      <c r="AF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Z34" s="4"/>
      <c r="AA34" s="4"/>
      <c r="AB34" s="4"/>
      <c r="AC34" s="4"/>
      <c r="AD34" s="4"/>
      <c r="AE34" s="4"/>
      <c r="AF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Z35" s="4"/>
      <c r="AA35" s="4"/>
      <c r="AB35" s="4"/>
      <c r="AC35" s="4"/>
      <c r="AD35" s="4"/>
      <c r="AE35" s="4"/>
      <c r="AF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Z36" s="4"/>
      <c r="AA36" s="4"/>
      <c r="AB36" s="4"/>
      <c r="AC36" s="4"/>
      <c r="AD36" s="4"/>
      <c r="AE36" s="4"/>
      <c r="AF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Z37" s="4"/>
      <c r="AA37" s="4"/>
      <c r="AB37" s="4"/>
      <c r="AC37" s="4"/>
      <c r="AD37" s="4"/>
      <c r="AE37" s="4"/>
      <c r="AF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Z38" s="4"/>
      <c r="AA38" s="4"/>
      <c r="AB38" s="4"/>
      <c r="AC38" s="4"/>
      <c r="AD38" s="4"/>
      <c r="AE38" s="4"/>
      <c r="AF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Z39" s="4"/>
      <c r="AA39" s="4"/>
      <c r="AB39" s="4"/>
      <c r="AC39" s="4"/>
      <c r="AD39" s="4"/>
      <c r="AE39" s="4"/>
      <c r="AF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Z40" s="4"/>
      <c r="AA40" s="4"/>
      <c r="AB40" s="4"/>
      <c r="AC40" s="4"/>
      <c r="AD40" s="4"/>
      <c r="AE40" s="4"/>
      <c r="AF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Z41" s="4"/>
      <c r="AA41" s="4"/>
      <c r="AB41" s="4"/>
      <c r="AC41" s="4"/>
      <c r="AD41" s="4"/>
      <c r="AE41" s="4"/>
      <c r="AF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Z42" s="4"/>
      <c r="AA42" s="4"/>
      <c r="AB42" s="4"/>
      <c r="AC42" s="4"/>
      <c r="AD42" s="4"/>
      <c r="AE42" s="4"/>
      <c r="AF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Z43" s="4"/>
      <c r="AA43" s="4"/>
      <c r="AB43" s="4"/>
      <c r="AC43" s="4"/>
      <c r="AD43" s="4"/>
      <c r="AE43" s="4"/>
      <c r="AF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Z44" s="4"/>
      <c r="AA44" s="4"/>
      <c r="AB44" s="4"/>
      <c r="AC44" s="4"/>
      <c r="AD44" s="4"/>
      <c r="AE44" s="4"/>
      <c r="AF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Z45" s="4"/>
      <c r="AA45" s="4"/>
      <c r="AB45" s="4"/>
      <c r="AC45" s="4"/>
      <c r="AD45" s="4"/>
      <c r="AE45" s="4"/>
      <c r="AF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Z46" s="4"/>
      <c r="AA46" s="4"/>
      <c r="AB46" s="4"/>
      <c r="AC46" s="4"/>
      <c r="AD46" s="4"/>
      <c r="AE46" s="4"/>
      <c r="AF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Z47" s="4"/>
      <c r="AA47" s="4"/>
      <c r="AB47" s="4"/>
      <c r="AC47" s="4"/>
      <c r="AD47" s="4"/>
      <c r="AE47" s="4"/>
      <c r="AF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Z48" s="4"/>
      <c r="AA48" s="4"/>
      <c r="AB48" s="4"/>
      <c r="AC48" s="4"/>
      <c r="AD48" s="4"/>
      <c r="AE48" s="4"/>
      <c r="AF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Z49" s="4"/>
      <c r="AA49" s="4"/>
      <c r="AB49" s="4"/>
      <c r="AC49" s="4"/>
      <c r="AD49" s="4"/>
      <c r="AE49" s="4"/>
      <c r="AF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Z50" s="4"/>
      <c r="AA50" s="4"/>
      <c r="AB50" s="4"/>
      <c r="AC50" s="4"/>
      <c r="AD50" s="4"/>
      <c r="AE50" s="4"/>
      <c r="AF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Z51" s="4"/>
      <c r="AA51" s="4"/>
      <c r="AB51" s="4"/>
      <c r="AC51" s="4"/>
      <c r="AD51" s="4"/>
      <c r="AE51" s="4"/>
      <c r="AF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Z52" s="4"/>
      <c r="AA52" s="4"/>
      <c r="AB52" s="4"/>
      <c r="AC52" s="4"/>
      <c r="AD52" s="4"/>
      <c r="AE52" s="4"/>
      <c r="AF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Z53" s="4"/>
      <c r="AA53" s="4"/>
      <c r="AB53" s="4"/>
      <c r="AC53" s="4"/>
      <c r="AD53" s="4"/>
      <c r="AE53" s="4"/>
      <c r="AF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Z54" s="4"/>
      <c r="AA54" s="4"/>
      <c r="AB54" s="4"/>
      <c r="AC54" s="4"/>
      <c r="AD54" s="4"/>
      <c r="AE54" s="4"/>
      <c r="AF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Z55" s="4"/>
      <c r="AA55" s="4"/>
      <c r="AB55" s="4"/>
      <c r="AC55" s="4"/>
      <c r="AD55" s="4"/>
      <c r="AE55" s="4"/>
      <c r="AF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Z56" s="4"/>
      <c r="AA56" s="4"/>
      <c r="AB56" s="4"/>
      <c r="AC56" s="4"/>
      <c r="AD56" s="4"/>
      <c r="AE56" s="4"/>
      <c r="AF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Z57" s="4"/>
      <c r="AA57" s="4"/>
      <c r="AB57" s="4"/>
      <c r="AC57" s="4"/>
      <c r="AD57" s="4"/>
      <c r="AE57" s="4"/>
      <c r="AF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Z58" s="4"/>
      <c r="AA58" s="4"/>
      <c r="AB58" s="4"/>
      <c r="AC58" s="4"/>
      <c r="AD58" s="4"/>
      <c r="AE58" s="4"/>
      <c r="AF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Z59" s="4"/>
      <c r="AA59" s="4"/>
      <c r="AB59" s="4"/>
      <c r="AC59" s="4"/>
      <c r="AD59" s="4"/>
      <c r="AE59" s="4"/>
      <c r="AF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Z60" s="4"/>
      <c r="AA60" s="4"/>
      <c r="AB60" s="4"/>
      <c r="AC60" s="4"/>
      <c r="AD60" s="4"/>
      <c r="AE60" s="4"/>
      <c r="AF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Z61" s="4"/>
      <c r="AA61" s="4"/>
      <c r="AB61" s="4"/>
      <c r="AC61" s="4"/>
      <c r="AD61" s="4"/>
      <c r="AE61" s="4"/>
      <c r="AF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Z62" s="4"/>
      <c r="AA62" s="4"/>
      <c r="AB62" s="4"/>
      <c r="AC62" s="4"/>
      <c r="AD62" s="4"/>
      <c r="AE62" s="4"/>
      <c r="AF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Z63" s="4"/>
      <c r="AA63" s="4"/>
      <c r="AB63" s="4"/>
      <c r="AC63" s="4"/>
      <c r="AD63" s="4"/>
      <c r="AE63" s="4"/>
      <c r="AF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Z64" s="4"/>
      <c r="AA64" s="4"/>
      <c r="AB64" s="4"/>
      <c r="AC64" s="4"/>
      <c r="AD64" s="4"/>
      <c r="AE64" s="4"/>
      <c r="AF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Z65" s="4"/>
      <c r="AA65" s="4"/>
      <c r="AB65" s="4"/>
      <c r="AC65" s="4"/>
      <c r="AD65" s="4"/>
      <c r="AE65" s="4"/>
      <c r="AF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Z66" s="4"/>
      <c r="AA66" s="4"/>
      <c r="AB66" s="4"/>
      <c r="AC66" s="4"/>
      <c r="AD66" s="4"/>
      <c r="AE66" s="4"/>
      <c r="AF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Z67" s="4"/>
      <c r="AA67" s="4"/>
      <c r="AB67" s="4"/>
      <c r="AC67" s="4"/>
      <c r="AD67" s="4"/>
      <c r="AE67" s="4"/>
      <c r="AF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Z68" s="4"/>
      <c r="AA68" s="4"/>
      <c r="AB68" s="4"/>
      <c r="AC68" s="4"/>
      <c r="AD68" s="4"/>
      <c r="AE68" s="4"/>
      <c r="AF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Z69" s="4"/>
      <c r="AA69" s="4"/>
      <c r="AB69" s="4"/>
      <c r="AC69" s="4"/>
      <c r="AD69" s="4"/>
      <c r="AE69" s="4"/>
      <c r="AF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Z70" s="4"/>
      <c r="AA70" s="4"/>
      <c r="AB70" s="4"/>
      <c r="AC70" s="4"/>
      <c r="AD70" s="4"/>
      <c r="AE70" s="4"/>
      <c r="AF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Z71" s="4"/>
      <c r="AA71" s="4"/>
      <c r="AB71" s="4"/>
      <c r="AC71" s="4"/>
      <c r="AD71" s="4"/>
      <c r="AE71" s="4"/>
      <c r="AF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Z72" s="4"/>
      <c r="AA72" s="4"/>
      <c r="AB72" s="4"/>
      <c r="AC72" s="4"/>
      <c r="AD72" s="4"/>
      <c r="AE72" s="4"/>
      <c r="AF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Z73" s="4"/>
      <c r="AA73" s="4"/>
      <c r="AB73" s="4"/>
      <c r="AC73" s="4"/>
      <c r="AD73" s="4"/>
      <c r="AE73" s="4"/>
      <c r="AF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Z74" s="4"/>
      <c r="AA74" s="4"/>
      <c r="AB74" s="4"/>
      <c r="AC74" s="4"/>
      <c r="AD74" s="4"/>
      <c r="AE74" s="4"/>
      <c r="AF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Z75" s="4"/>
      <c r="AA75" s="4"/>
      <c r="AB75" s="4"/>
      <c r="AC75" s="4"/>
      <c r="AD75" s="4"/>
      <c r="AE75" s="4"/>
      <c r="AF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Z76" s="4"/>
      <c r="AA76" s="4"/>
      <c r="AB76" s="4"/>
      <c r="AC76" s="4"/>
      <c r="AD76" s="4"/>
      <c r="AE76" s="4"/>
      <c r="AF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Z77" s="4"/>
      <c r="AA77" s="4"/>
      <c r="AB77" s="4"/>
      <c r="AC77" s="4"/>
      <c r="AD77" s="4"/>
      <c r="AE77" s="4"/>
      <c r="AF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Z78" s="4"/>
      <c r="AA78" s="4"/>
      <c r="AB78" s="4"/>
      <c r="AC78" s="4"/>
      <c r="AD78" s="4"/>
      <c r="AE78" s="4"/>
      <c r="AF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Z79" s="4"/>
      <c r="AA79" s="4"/>
      <c r="AB79" s="4"/>
      <c r="AC79" s="4"/>
      <c r="AD79" s="4"/>
      <c r="AE79" s="4"/>
      <c r="AF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Z80" s="4"/>
      <c r="AA80" s="4"/>
      <c r="AB80" s="4"/>
      <c r="AC80" s="4"/>
      <c r="AD80" s="4"/>
      <c r="AE80" s="4"/>
      <c r="AF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Z81" s="4"/>
      <c r="AA81" s="4"/>
      <c r="AB81" s="4"/>
      <c r="AC81" s="4"/>
      <c r="AD81" s="4"/>
      <c r="AE81" s="4"/>
      <c r="AF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Z82" s="4"/>
      <c r="AA82" s="4"/>
      <c r="AB82" s="4"/>
      <c r="AC82" s="4"/>
      <c r="AD82" s="4"/>
      <c r="AE82" s="4"/>
      <c r="AF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Z83" s="4"/>
      <c r="AA83" s="4"/>
      <c r="AB83" s="4"/>
      <c r="AC83" s="4"/>
      <c r="AD83" s="4"/>
      <c r="AE83" s="4"/>
      <c r="AF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Z84" s="4"/>
      <c r="AA84" s="4"/>
      <c r="AB84" s="4"/>
      <c r="AC84" s="4"/>
      <c r="AD84" s="4"/>
      <c r="AE84" s="4"/>
      <c r="AF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Z85" s="4"/>
      <c r="AA85" s="4"/>
      <c r="AB85" s="4"/>
      <c r="AC85" s="4"/>
      <c r="AD85" s="4"/>
      <c r="AE85" s="4"/>
      <c r="AF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Z86" s="4"/>
      <c r="AA86" s="4"/>
      <c r="AB86" s="4"/>
      <c r="AC86" s="4"/>
      <c r="AD86" s="4"/>
      <c r="AE86" s="4"/>
      <c r="AF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Z87" s="4"/>
      <c r="AA87" s="4"/>
      <c r="AB87" s="4"/>
      <c r="AC87" s="4"/>
      <c r="AD87" s="4"/>
      <c r="AE87" s="4"/>
      <c r="AF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Z88" s="4"/>
      <c r="AA88" s="4"/>
      <c r="AB88" s="4"/>
      <c r="AC88" s="4"/>
      <c r="AD88" s="4"/>
      <c r="AE88" s="4"/>
      <c r="AF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Z89" s="4"/>
      <c r="AA89" s="4"/>
      <c r="AB89" s="4"/>
      <c r="AC89" s="4"/>
      <c r="AD89" s="4"/>
      <c r="AE89" s="4"/>
      <c r="AF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Z90" s="4"/>
      <c r="AA90" s="4"/>
      <c r="AB90" s="4"/>
      <c r="AC90" s="4"/>
      <c r="AD90" s="4"/>
      <c r="AE90" s="4"/>
      <c r="AF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Z91" s="4"/>
      <c r="AA91" s="4"/>
      <c r="AB91" s="4"/>
      <c r="AC91" s="4"/>
      <c r="AD91" s="4"/>
      <c r="AE91" s="4"/>
      <c r="AF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Z92" s="4"/>
      <c r="AA92" s="4"/>
      <c r="AB92" s="4"/>
      <c r="AC92" s="4"/>
      <c r="AD92" s="4"/>
      <c r="AE92" s="4"/>
      <c r="AF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Z93" s="4"/>
      <c r="AA93" s="4"/>
      <c r="AB93" s="4"/>
      <c r="AC93" s="4"/>
      <c r="AD93" s="4"/>
      <c r="AE93" s="4"/>
      <c r="AF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Z94" s="4"/>
      <c r="AA94" s="4"/>
      <c r="AB94" s="4"/>
      <c r="AC94" s="4"/>
      <c r="AD94" s="4"/>
      <c r="AE94" s="4"/>
      <c r="AF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Z95" s="4"/>
      <c r="AA95" s="4"/>
      <c r="AB95" s="4"/>
      <c r="AC95" s="4"/>
      <c r="AD95" s="4"/>
      <c r="AE95" s="4"/>
      <c r="AF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Z96" s="4"/>
      <c r="AA96" s="4"/>
      <c r="AB96" s="4"/>
      <c r="AC96" s="4"/>
      <c r="AD96" s="4"/>
      <c r="AE96" s="4"/>
      <c r="AF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Z97" s="4"/>
      <c r="AA97" s="4"/>
      <c r="AB97" s="4"/>
      <c r="AC97" s="4"/>
      <c r="AD97" s="4"/>
      <c r="AE97" s="4"/>
      <c r="AF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Z98" s="4"/>
      <c r="AA98" s="4"/>
      <c r="AB98" s="4"/>
      <c r="AC98" s="4"/>
      <c r="AD98" s="4"/>
      <c r="AE98" s="4"/>
      <c r="AF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Z99" s="4"/>
      <c r="AA99" s="4"/>
      <c r="AB99" s="4"/>
      <c r="AC99" s="4"/>
      <c r="AD99" s="4"/>
      <c r="AE99" s="4"/>
      <c r="AF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Z100" s="4"/>
      <c r="AA100" s="4"/>
      <c r="AB100" s="4"/>
      <c r="AC100" s="4"/>
      <c r="AD100" s="4"/>
      <c r="AE100" s="4"/>
      <c r="AF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Z101" s="4"/>
      <c r="AA101" s="4"/>
      <c r="AB101" s="4"/>
      <c r="AC101" s="4"/>
      <c r="AD101" s="4"/>
      <c r="AE101" s="4"/>
      <c r="AF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Z102" s="4"/>
      <c r="AA102" s="4"/>
      <c r="AB102" s="4"/>
      <c r="AC102" s="4"/>
      <c r="AD102" s="4"/>
      <c r="AE102" s="4"/>
      <c r="AF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Z103" s="4"/>
      <c r="AA103" s="4"/>
      <c r="AB103" s="4"/>
      <c r="AC103" s="4"/>
      <c r="AD103" s="4"/>
      <c r="AE103" s="4"/>
      <c r="AF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Z104" s="4"/>
      <c r="AA104" s="4"/>
      <c r="AB104" s="4"/>
      <c r="AC104" s="4"/>
      <c r="AD104" s="4"/>
      <c r="AE104" s="4"/>
      <c r="AF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Z105" s="4"/>
      <c r="AA105" s="4"/>
      <c r="AB105" s="4"/>
      <c r="AC105" s="4"/>
      <c r="AD105" s="4"/>
      <c r="AE105" s="4"/>
      <c r="AF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Z106" s="4"/>
      <c r="AA106" s="4"/>
      <c r="AB106" s="4"/>
      <c r="AC106" s="4"/>
      <c r="AD106" s="4"/>
      <c r="AE106" s="4"/>
      <c r="AF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Z107" s="4"/>
      <c r="AA107" s="4"/>
      <c r="AB107" s="4"/>
      <c r="AC107" s="4"/>
      <c r="AD107" s="4"/>
      <c r="AE107" s="4"/>
      <c r="AF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Z108" s="4"/>
      <c r="AA108" s="4"/>
      <c r="AB108" s="4"/>
      <c r="AC108" s="4"/>
      <c r="AD108" s="4"/>
      <c r="AE108" s="4"/>
      <c r="AF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Z109" s="4"/>
      <c r="AA109" s="4"/>
      <c r="AB109" s="4"/>
      <c r="AC109" s="4"/>
      <c r="AD109" s="4"/>
      <c r="AE109" s="4"/>
      <c r="AF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Z110" s="4"/>
      <c r="AA110" s="4"/>
      <c r="AB110" s="4"/>
      <c r="AC110" s="4"/>
      <c r="AD110" s="4"/>
      <c r="AE110" s="4"/>
      <c r="AF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Z111" s="4"/>
      <c r="AA111" s="4"/>
      <c r="AB111" s="4"/>
      <c r="AC111" s="4"/>
      <c r="AD111" s="4"/>
      <c r="AE111" s="4"/>
      <c r="AF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Z112" s="4"/>
      <c r="AA112" s="4"/>
      <c r="AB112" s="4"/>
      <c r="AC112" s="4"/>
      <c r="AD112" s="4"/>
      <c r="AE112" s="4"/>
      <c r="AF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Z113" s="4"/>
      <c r="AA113" s="4"/>
      <c r="AB113" s="4"/>
      <c r="AC113" s="4"/>
      <c r="AD113" s="4"/>
      <c r="AE113" s="4"/>
      <c r="AF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Z114" s="4"/>
      <c r="AA114" s="4"/>
      <c r="AB114" s="4"/>
      <c r="AC114" s="4"/>
      <c r="AD114" s="4"/>
      <c r="AE114" s="4"/>
      <c r="AF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Z115" s="4"/>
      <c r="AA115" s="4"/>
      <c r="AB115" s="4"/>
      <c r="AC115" s="4"/>
      <c r="AD115" s="4"/>
      <c r="AE115" s="4"/>
      <c r="AF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Z116" s="4"/>
      <c r="AA116" s="4"/>
      <c r="AB116" s="4"/>
      <c r="AC116" s="4"/>
      <c r="AD116" s="4"/>
      <c r="AE116" s="4"/>
      <c r="AF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Z117" s="4"/>
      <c r="AA117" s="4"/>
      <c r="AB117" s="4"/>
      <c r="AC117" s="4"/>
      <c r="AD117" s="4"/>
      <c r="AE117" s="4"/>
      <c r="AF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Z118" s="4"/>
      <c r="AA118" s="4"/>
      <c r="AB118" s="4"/>
      <c r="AC118" s="4"/>
      <c r="AD118" s="4"/>
      <c r="AE118" s="4"/>
      <c r="AF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Z119" s="4"/>
      <c r="AA119" s="4"/>
      <c r="AB119" s="4"/>
      <c r="AC119" s="4"/>
      <c r="AD119" s="4"/>
      <c r="AE119" s="4"/>
      <c r="AF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Z120" s="4"/>
      <c r="AA120" s="4"/>
      <c r="AB120" s="4"/>
      <c r="AC120" s="4"/>
      <c r="AD120" s="4"/>
      <c r="AE120" s="4"/>
      <c r="AF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Z1000" s="4"/>
      <c r="AA1000" s="4"/>
      <c r="AB1000" s="4"/>
      <c r="AC1000" s="4"/>
      <c r="AD1000" s="4"/>
      <c r="AE1000" s="4"/>
      <c r="AF1000" s="4"/>
    </row>
  </sheetData>
  <mergeCells count="3">
    <mergeCell ref="A1:X1"/>
    <mergeCell ref="AB1:AF1"/>
    <mergeCell ref="A28:X2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0.0"/>
    <col customWidth="1" min="2" max="2" width="20.0"/>
    <col customWidth="1" min="3" max="3" width="12.0"/>
    <col customWidth="1" min="4" max="26" width="8.71"/>
  </cols>
  <sheetData>
    <row r="1" ht="15.0" customHeight="1">
      <c r="A1" s="20" t="s">
        <v>161</v>
      </c>
      <c r="B1" s="20" t="s">
        <v>162</v>
      </c>
      <c r="C1" s="20" t="s">
        <v>163</v>
      </c>
    </row>
    <row r="2" ht="15.0" customHeight="1">
      <c r="A2" s="40" t="s">
        <v>164</v>
      </c>
    </row>
    <row r="3" ht="15.0" customHeight="1">
      <c r="A3" s="4"/>
      <c r="B3" s="4"/>
      <c r="C3" s="41" t="str">
        <f t="array" ref="C3">IF(A3="","",IF(IFERROR(INDEX(CATALOG_POINTS,MATCH(A3,CATALOG_TASK,0)),"")="",IF(MAX(IF(IFERROR(FIND(CATALOG_BASE,A3),0)=1,CATALOG_POINTS,0))=0,OTHER_POINTS,MAX(IF(IFERROR(FIND(CATALOG_BASE,A3),0)=1,CATALOG_POINTS,0))),IFERROR(INDEX(CATALOG_POINTS,MATCH(A3,CATALOG_TASK,0)),"")))</f>
        <v/>
      </c>
    </row>
    <row r="4" ht="15.0" customHeight="1">
      <c r="A4" s="4"/>
      <c r="B4" s="4"/>
      <c r="C4" s="41" t="str">
        <f t="array" ref="C4">IF(A4="","",IF(IFERROR(INDEX(CATALOG_POINTS,MATCH(A4,CATALOG_TASK,0)),"")="",IF(MAX(IF(IFERROR(FIND(CATALOG_BASE,A4),0)=1,CATALOG_POINTS,0))=0,OTHER_POINTS,MAX(IF(IFERROR(FIND(CATALOG_BASE,A4),0)=1,CATALOG_POINTS,0))),IFERROR(INDEX(CATALOG_POINTS,MATCH(A4,CATALOG_TASK,0)),"")))</f>
        <v/>
      </c>
    </row>
    <row r="5" ht="15.0" customHeight="1">
      <c r="A5" s="4"/>
      <c r="B5" s="4"/>
      <c r="C5" s="41" t="str">
        <f t="array" ref="C5">IF(A5="","",IF(IFERROR(INDEX(CATALOG_POINTS,MATCH(A5,CATALOG_TASK,0)),"")="",IF(MAX(IF(IFERROR(FIND(CATALOG_BASE,A5),0)=1,CATALOG_POINTS,0))=0,OTHER_POINTS,MAX(IF(IFERROR(FIND(CATALOG_BASE,A5),0)=1,CATALOG_POINTS,0))),IFERROR(INDEX(CATALOG_POINTS,MATCH(A5,CATALOG_TASK,0)),"")))</f>
        <v/>
      </c>
    </row>
    <row r="6" ht="15.0" customHeight="1">
      <c r="A6" s="4"/>
      <c r="B6" s="4"/>
      <c r="C6" s="41" t="str">
        <f t="array" ref="C6">IF(A6="","",IF(IFERROR(INDEX(CATALOG_POINTS,MATCH(A6,CATALOG_TASK,0)),"")="",IF(MAX(IF(IFERROR(FIND(CATALOG_BASE,A6),0)=1,CATALOG_POINTS,0))=0,OTHER_POINTS,MAX(IF(IFERROR(FIND(CATALOG_BASE,A6),0)=1,CATALOG_POINTS,0))),IFERROR(INDEX(CATALOG_POINTS,MATCH(A6,CATALOG_TASK,0)),"")))</f>
        <v/>
      </c>
    </row>
    <row r="7" ht="15.0" customHeight="1">
      <c r="A7" s="4"/>
      <c r="B7" s="4"/>
      <c r="C7" s="41" t="str">
        <f t="array" ref="C7">IF(A7="","",IF(IFERROR(INDEX(CATALOG_POINTS,MATCH(A7,CATALOG_TASK,0)),"")="",IF(MAX(IF(IFERROR(FIND(CATALOG_BASE,A7),0)=1,CATALOG_POINTS,0))=0,OTHER_POINTS,MAX(IF(IFERROR(FIND(CATALOG_BASE,A7),0)=1,CATALOG_POINTS,0))),IFERROR(INDEX(CATALOG_POINTS,MATCH(A7,CATALOG_TASK,0)),"")))</f>
        <v/>
      </c>
    </row>
    <row r="8" ht="15.0" customHeight="1">
      <c r="A8" s="4"/>
      <c r="B8" s="4"/>
      <c r="C8" s="41" t="str">
        <f t="array" ref="C8">IF(A8="","",IF(IFERROR(INDEX(CATALOG_POINTS,MATCH(A8,CATALOG_TASK,0)),"")="",IF(MAX(IF(IFERROR(FIND(CATALOG_BASE,A8),0)=1,CATALOG_POINTS,0))=0,OTHER_POINTS,MAX(IF(IFERROR(FIND(CATALOG_BASE,A8),0)=1,CATALOG_POINTS,0))),IFERROR(INDEX(CATALOG_POINTS,MATCH(A8,CATALOG_TASK,0)),"")))</f>
        <v/>
      </c>
    </row>
    <row r="9" ht="15.0" customHeight="1">
      <c r="A9" s="4"/>
      <c r="B9" s="4"/>
      <c r="C9" s="41" t="str">
        <f t="array" ref="C9">IF(A9="","",IF(IFERROR(INDEX(CATALOG_POINTS,MATCH(A9,CATALOG_TASK,0)),"")="",IF(MAX(IF(IFERROR(FIND(CATALOG_BASE,A9),0)=1,CATALOG_POINTS,0))=0,OTHER_POINTS,MAX(IF(IFERROR(FIND(CATALOG_BASE,A9),0)=1,CATALOG_POINTS,0))),IFERROR(INDEX(CATALOG_POINTS,MATCH(A9,CATALOG_TASK,0)),"")))</f>
        <v/>
      </c>
    </row>
    <row r="10" ht="15.0" customHeight="1">
      <c r="A10" s="4"/>
      <c r="B10" s="4"/>
      <c r="C10" s="41" t="str">
        <f t="array" ref="C10">IF(A10="","",IF(IFERROR(INDEX(CATALOG_POINTS,MATCH(A10,CATALOG_TASK,0)),"")="",IF(MAX(IF(IFERROR(FIND(CATALOG_BASE,A10),0)=1,CATALOG_POINTS,0))=0,OTHER_POINTS,MAX(IF(IFERROR(FIND(CATALOG_BASE,A10),0)=1,CATALOG_POINTS,0))),IFERROR(INDEX(CATALOG_POINTS,MATCH(A10,CATALOG_TASK,0)),"")))</f>
        <v/>
      </c>
    </row>
    <row r="11" ht="15.0" customHeight="1">
      <c r="A11" s="4"/>
      <c r="B11" s="4"/>
      <c r="C11" s="41" t="str">
        <f t="array" ref="C11">IF(A11="","",IF(IFERROR(INDEX(CATALOG_POINTS,MATCH(A11,CATALOG_TASK,0)),"")="",IF(MAX(IF(IFERROR(FIND(CATALOG_BASE,A11),0)=1,CATALOG_POINTS,0))=0,OTHER_POINTS,MAX(IF(IFERROR(FIND(CATALOG_BASE,A11),0)=1,CATALOG_POINTS,0))),IFERROR(INDEX(CATALOG_POINTS,MATCH(A11,CATALOG_TASK,0)),"")))</f>
        <v/>
      </c>
    </row>
    <row r="12" ht="15.0" customHeight="1">
      <c r="A12" s="4"/>
      <c r="B12" s="4"/>
      <c r="C12" s="41" t="str">
        <f t="array" ref="C12">IF(A12="","",IF(IFERROR(INDEX(CATALOG_POINTS,MATCH(A12,CATALOG_TASK,0)),"")="",IF(MAX(IF(IFERROR(FIND(CATALOG_BASE,A12),0)=1,CATALOG_POINTS,0))=0,OTHER_POINTS,MAX(IF(IFERROR(FIND(CATALOG_BASE,A12),0)=1,CATALOG_POINTS,0))),IFERROR(INDEX(CATALOG_POINTS,MATCH(A12,CATALOG_TASK,0)),"")))</f>
        <v/>
      </c>
    </row>
    <row r="13" ht="15.0" customHeight="1">
      <c r="A13" s="4"/>
      <c r="B13" s="4"/>
      <c r="C13" s="41" t="str">
        <f t="array" ref="C13">IF(A13="","",IF(IFERROR(INDEX(CATALOG_POINTS,MATCH(A13,CATALOG_TASK,0)),"")="",IF(MAX(IF(IFERROR(FIND(CATALOG_BASE,A13),0)=1,CATALOG_POINTS,0))=0,OTHER_POINTS,MAX(IF(IFERROR(FIND(CATALOG_BASE,A13),0)=1,CATALOG_POINTS,0))),IFERROR(INDEX(CATALOG_POINTS,MATCH(A13,CATALOG_TASK,0)),"")))</f>
        <v/>
      </c>
    </row>
    <row r="14" ht="15.0" customHeight="1">
      <c r="A14" s="4"/>
      <c r="B14" s="4"/>
      <c r="C14" s="41" t="str">
        <f t="array" ref="C14">IF(A14="","",IF(IFERROR(INDEX(CATALOG_POINTS,MATCH(A14,CATALOG_TASK,0)),"")="",IF(MAX(IF(IFERROR(FIND(CATALOG_BASE,A14),0)=1,CATALOG_POINTS,0))=0,OTHER_POINTS,MAX(IF(IFERROR(FIND(CATALOG_BASE,A14),0)=1,CATALOG_POINTS,0))),IFERROR(INDEX(CATALOG_POINTS,MATCH(A14,CATALOG_TASK,0)),"")))</f>
        <v/>
      </c>
    </row>
    <row r="15" ht="15.0" customHeight="1">
      <c r="A15" s="4"/>
      <c r="B15" s="4"/>
      <c r="C15" s="41" t="str">
        <f t="array" ref="C15">IF(A15="","",IF(IFERROR(INDEX(CATALOG_POINTS,MATCH(A15,CATALOG_TASK,0)),"")="",IF(MAX(IF(IFERROR(FIND(CATALOG_BASE,A15),0)=1,CATALOG_POINTS,0))=0,OTHER_POINTS,MAX(IF(IFERROR(FIND(CATALOG_BASE,A15),0)=1,CATALOG_POINTS,0))),IFERROR(INDEX(CATALOG_POINTS,MATCH(A15,CATALOG_TASK,0)),"")))</f>
        <v/>
      </c>
    </row>
    <row r="16" ht="15.0" customHeight="1">
      <c r="A16" s="4"/>
      <c r="B16" s="4"/>
      <c r="C16" s="41" t="str">
        <f t="array" ref="C16">IF(A16="","",IF(IFERROR(INDEX(CATALOG_POINTS,MATCH(A16,CATALOG_TASK,0)),"")="",IF(MAX(IF(IFERROR(FIND(CATALOG_BASE,A16),0)=1,CATALOG_POINTS,0))=0,OTHER_POINTS,MAX(IF(IFERROR(FIND(CATALOG_BASE,A16),0)=1,CATALOG_POINTS,0))),IFERROR(INDEX(CATALOG_POINTS,MATCH(A16,CATALOG_TASK,0)),"")))</f>
        <v/>
      </c>
    </row>
    <row r="17" ht="15.0" customHeight="1">
      <c r="A17" s="4"/>
      <c r="B17" s="4"/>
      <c r="C17" s="41" t="str">
        <f t="array" ref="C17">IF(A17="","",IF(IFERROR(INDEX(CATALOG_POINTS,MATCH(A17,CATALOG_TASK,0)),"")="",IF(MAX(IF(IFERROR(FIND(CATALOG_BASE,A17),0)=1,CATALOG_POINTS,0))=0,OTHER_POINTS,MAX(IF(IFERROR(FIND(CATALOG_BASE,A17),0)=1,CATALOG_POINTS,0))),IFERROR(INDEX(CATALOG_POINTS,MATCH(A17,CATALOG_TASK,0)),"")))</f>
        <v/>
      </c>
    </row>
    <row r="18" ht="15.0" customHeight="1">
      <c r="A18" s="4"/>
      <c r="B18" s="4"/>
      <c r="C18" s="41" t="str">
        <f t="array" ref="C18">IF(A18="","",IF(IFERROR(INDEX(CATALOG_POINTS,MATCH(A18,CATALOG_TASK,0)),"")="",IF(MAX(IF(IFERROR(FIND(CATALOG_BASE,A18),0)=1,CATALOG_POINTS,0))=0,OTHER_POINTS,MAX(IF(IFERROR(FIND(CATALOG_BASE,A18),0)=1,CATALOG_POINTS,0))),IFERROR(INDEX(CATALOG_POINTS,MATCH(A18,CATALOG_TASK,0)),"")))</f>
        <v/>
      </c>
    </row>
    <row r="19" ht="15.0" customHeight="1">
      <c r="A19" s="4"/>
      <c r="B19" s="4"/>
      <c r="C19" s="41" t="str">
        <f t="array" ref="C19">IF(A19="","",IF(IFERROR(INDEX(CATALOG_POINTS,MATCH(A19,CATALOG_TASK,0)),"")="",IF(MAX(IF(IFERROR(FIND(CATALOG_BASE,A19),0)=1,CATALOG_POINTS,0))=0,OTHER_POINTS,MAX(IF(IFERROR(FIND(CATALOG_BASE,A19),0)=1,CATALOG_POINTS,0))),IFERROR(INDEX(CATALOG_POINTS,MATCH(A19,CATALOG_TASK,0)),"")))</f>
        <v/>
      </c>
    </row>
    <row r="20" ht="15.0" customHeight="1">
      <c r="A20" s="4"/>
      <c r="B20" s="4"/>
      <c r="C20" s="41" t="str">
        <f t="array" ref="C20">IF(A20="","",IF(IFERROR(INDEX(CATALOG_POINTS,MATCH(A20,CATALOG_TASK,0)),"")="",IF(MAX(IF(IFERROR(FIND(CATALOG_BASE,A20),0)=1,CATALOG_POINTS,0))=0,OTHER_POINTS,MAX(IF(IFERROR(FIND(CATALOG_BASE,A20),0)=1,CATALOG_POINTS,0))),IFERROR(INDEX(CATALOG_POINTS,MATCH(A20,CATALOG_TASK,0)),"")))</f>
        <v/>
      </c>
    </row>
    <row r="21" ht="15.0" customHeight="1">
      <c r="A21" s="4"/>
      <c r="B21" s="4"/>
      <c r="C21" s="41" t="str">
        <f t="array" ref="C21">IF(A21="","",IF(IFERROR(INDEX(CATALOG_POINTS,MATCH(A21,CATALOG_TASK,0)),"")="",IF(MAX(IF(IFERROR(FIND(CATALOG_BASE,A21),0)=1,CATALOG_POINTS,0))=0,OTHER_POINTS,MAX(IF(IFERROR(FIND(CATALOG_BASE,A21),0)=1,CATALOG_POINTS,0))),IFERROR(INDEX(CATALOG_POINTS,MATCH(A21,CATALOG_TASK,0)),"")))</f>
        <v/>
      </c>
    </row>
    <row r="22" ht="15.0" customHeight="1">
      <c r="A22" s="4"/>
      <c r="B22" s="4"/>
      <c r="C22" s="41" t="str">
        <f t="array" ref="C22">IF(A22="","",IF(IFERROR(INDEX(CATALOG_POINTS,MATCH(A22,CATALOG_TASK,0)),"")="",IF(MAX(IF(IFERROR(FIND(CATALOG_BASE,A22),0)=1,CATALOG_POINTS,0))=0,OTHER_POINTS,MAX(IF(IFERROR(FIND(CATALOG_BASE,A22),0)=1,CATALOG_POINTS,0))),IFERROR(INDEX(CATALOG_POINTS,MATCH(A22,CATALOG_TASK,0)),"")))</f>
        <v/>
      </c>
    </row>
    <row r="23" ht="15.0" customHeight="1">
      <c r="A23" s="4"/>
      <c r="B23" s="4"/>
      <c r="C23" s="41" t="str">
        <f t="array" ref="C23">IF(A23="","",IF(IFERROR(INDEX(CATALOG_POINTS,MATCH(A23,CATALOG_TASK,0)),"")="",IF(MAX(IF(IFERROR(FIND(CATALOG_BASE,A23),0)=1,CATALOG_POINTS,0))=0,OTHER_POINTS,MAX(IF(IFERROR(FIND(CATALOG_BASE,A23),0)=1,CATALOG_POINTS,0))),IFERROR(INDEX(CATALOG_POINTS,MATCH(A23,CATALOG_TASK,0)),"")))</f>
        <v/>
      </c>
    </row>
    <row r="24" ht="15.0" customHeight="1">
      <c r="A24" s="4"/>
      <c r="B24" s="4"/>
      <c r="C24" s="41" t="str">
        <f t="array" ref="C24">IF(A24="","",IF(IFERROR(INDEX(CATALOG_POINTS,MATCH(A24,CATALOG_TASK,0)),"")="",IF(MAX(IF(IFERROR(FIND(CATALOG_BASE,A24),0)=1,CATALOG_POINTS,0))=0,OTHER_POINTS,MAX(IF(IFERROR(FIND(CATALOG_BASE,A24),0)=1,CATALOG_POINTS,0))),IFERROR(INDEX(CATALOG_POINTS,MATCH(A24,CATALOG_TASK,0)),"")))</f>
        <v/>
      </c>
    </row>
    <row r="25" ht="15.0" customHeight="1">
      <c r="A25" s="4"/>
      <c r="B25" s="4"/>
      <c r="C25" s="41" t="str">
        <f t="array" ref="C25">IF(A25="","",IF(IFERROR(INDEX(CATALOG_POINTS,MATCH(A25,CATALOG_TASK,0)),"")="",IF(MAX(IF(IFERROR(FIND(CATALOG_BASE,A25),0)=1,CATALOG_POINTS,0))=0,OTHER_POINTS,MAX(IF(IFERROR(FIND(CATALOG_BASE,A25),0)=1,CATALOG_POINTS,0))),IFERROR(INDEX(CATALOG_POINTS,MATCH(A25,CATALOG_TASK,0)),"")))</f>
        <v/>
      </c>
    </row>
    <row r="26" ht="15.0" customHeight="1">
      <c r="A26" s="4"/>
      <c r="B26" s="4"/>
      <c r="C26" s="41" t="str">
        <f t="array" ref="C26">IF(A26="","",IF(IFERROR(INDEX(CATALOG_POINTS,MATCH(A26,CATALOG_TASK,0)),"")="",IF(MAX(IF(IFERROR(FIND(CATALOG_BASE,A26),0)=1,CATALOG_POINTS,0))=0,OTHER_POINTS,MAX(IF(IFERROR(FIND(CATALOG_BASE,A26),0)=1,CATALOG_POINTS,0))),IFERROR(INDEX(CATALOG_POINTS,MATCH(A26,CATALOG_TASK,0)),"")))</f>
        <v/>
      </c>
    </row>
    <row r="27" ht="15.0" customHeight="1">
      <c r="A27" s="4"/>
      <c r="B27" s="4"/>
      <c r="C27" s="41" t="str">
        <f t="array" ref="C27">IF(A27="","",IF(IFERROR(INDEX(CATALOG_POINTS,MATCH(A27,CATALOG_TASK,0)),"")="",IF(MAX(IF(IFERROR(FIND(CATALOG_BASE,A27),0)=1,CATALOG_POINTS,0))=0,OTHER_POINTS,MAX(IF(IFERROR(FIND(CATALOG_BASE,A27),0)=1,CATALOG_POINTS,0))),IFERROR(INDEX(CATALOG_POINTS,MATCH(A27,CATALOG_TASK,0)),"")))</f>
        <v/>
      </c>
    </row>
    <row r="28" ht="15.0" customHeight="1">
      <c r="A28" s="4"/>
      <c r="B28" s="4"/>
      <c r="C28" s="41" t="str">
        <f t="array" ref="C28">IF(A28="","",IF(IFERROR(INDEX(CATALOG_POINTS,MATCH(A28,CATALOG_TASK,0)),"")="",IF(MAX(IF(IFERROR(FIND(CATALOG_BASE,A28),0)=1,CATALOG_POINTS,0))=0,OTHER_POINTS,MAX(IF(IFERROR(FIND(CATALOG_BASE,A28),0)=1,CATALOG_POINTS,0))),IFERROR(INDEX(CATALOG_POINTS,MATCH(A28,CATALOG_TASK,0)),"")))</f>
        <v/>
      </c>
    </row>
    <row r="29" ht="15.0" customHeight="1">
      <c r="A29" s="4"/>
      <c r="B29" s="4"/>
      <c r="C29" s="41" t="str">
        <f t="array" ref="C29">IF(A29="","",IF(IFERROR(INDEX(CATALOG_POINTS,MATCH(A29,CATALOG_TASK,0)),"")="",IF(MAX(IF(IFERROR(FIND(CATALOG_BASE,A29),0)=1,CATALOG_POINTS,0))=0,OTHER_POINTS,MAX(IF(IFERROR(FIND(CATALOG_BASE,A29),0)=1,CATALOG_POINTS,0))),IFERROR(INDEX(CATALOG_POINTS,MATCH(A29,CATALOG_TASK,0)),"")))</f>
        <v/>
      </c>
    </row>
    <row r="30" ht="15.0" customHeight="1">
      <c r="A30" s="4"/>
      <c r="B30" s="4"/>
      <c r="C30" s="41" t="str">
        <f t="array" ref="C30">IF(A30="","",IF(IFERROR(INDEX(CATALOG_POINTS,MATCH(A30,CATALOG_TASK,0)),"")="",IF(MAX(IF(IFERROR(FIND(CATALOG_BASE,A30),0)=1,CATALOG_POINTS,0))=0,OTHER_POINTS,MAX(IF(IFERROR(FIND(CATALOG_BASE,A30),0)=1,CATALOG_POINTS,0))),IFERROR(INDEX(CATALOG_POINTS,MATCH(A30,CATALOG_TASK,0)),"")))</f>
        <v/>
      </c>
    </row>
    <row r="31" ht="15.0" customHeight="1">
      <c r="A31" s="4"/>
      <c r="B31" s="4"/>
      <c r="C31" s="41" t="str">
        <f t="array" ref="C31">IF(A31="","",IF(IFERROR(INDEX(CATALOG_POINTS,MATCH(A31,CATALOG_TASK,0)),"")="",IF(MAX(IF(IFERROR(FIND(CATALOG_BASE,A31),0)=1,CATALOG_POINTS,0))=0,OTHER_POINTS,MAX(IF(IFERROR(FIND(CATALOG_BASE,A31),0)=1,CATALOG_POINTS,0))),IFERROR(INDEX(CATALOG_POINTS,MATCH(A31,CATALOG_TASK,0)),"")))</f>
        <v/>
      </c>
    </row>
    <row r="32" ht="15.0" customHeight="1">
      <c r="A32" s="4"/>
      <c r="B32" s="4"/>
      <c r="C32" s="41" t="str">
        <f t="array" ref="C32">IF(A32="","",IF(IFERROR(INDEX(CATALOG_POINTS,MATCH(A32,CATALOG_TASK,0)),"")="",IF(MAX(IF(IFERROR(FIND(CATALOG_BASE,A32),0)=1,CATALOG_POINTS,0))=0,OTHER_POINTS,MAX(IF(IFERROR(FIND(CATALOG_BASE,A32),0)=1,CATALOG_POINTS,0))),IFERROR(INDEX(CATALOG_POINTS,MATCH(A32,CATALOG_TASK,0)),"")))</f>
        <v/>
      </c>
    </row>
    <row r="33" ht="15.0" customHeight="1">
      <c r="A33" s="4"/>
      <c r="B33" s="4"/>
      <c r="C33" s="41" t="str">
        <f t="array" ref="C33">IF(A33="","",IF(IFERROR(INDEX(CATALOG_POINTS,MATCH(A33,CATALOG_TASK,0)),"")="",IF(MAX(IF(IFERROR(FIND(CATALOG_BASE,A33),0)=1,CATALOG_POINTS,0))=0,OTHER_POINTS,MAX(IF(IFERROR(FIND(CATALOG_BASE,A33),0)=1,CATALOG_POINTS,0))),IFERROR(INDEX(CATALOG_POINTS,MATCH(A33,CATALOG_TASK,0)),"")))</f>
        <v/>
      </c>
    </row>
    <row r="34" ht="15.0" customHeight="1">
      <c r="A34" s="4"/>
      <c r="B34" s="4"/>
      <c r="C34" s="41" t="str">
        <f t="array" ref="C34">IF(A34="","",IF(IFERROR(INDEX(CATALOG_POINTS,MATCH(A34,CATALOG_TASK,0)),"")="",IF(MAX(IF(IFERROR(FIND(CATALOG_BASE,A34),0)=1,CATALOG_POINTS,0))=0,OTHER_POINTS,MAX(IF(IFERROR(FIND(CATALOG_BASE,A34),0)=1,CATALOG_POINTS,0))),IFERROR(INDEX(CATALOG_POINTS,MATCH(A34,CATALOG_TASK,0)),"")))</f>
        <v/>
      </c>
    </row>
    <row r="35" ht="15.0" customHeight="1">
      <c r="A35" s="4"/>
      <c r="B35" s="4"/>
      <c r="C35" s="41" t="str">
        <f t="array" ref="C35">IF(A35="","",IF(IFERROR(INDEX(CATALOG_POINTS,MATCH(A35,CATALOG_TASK,0)),"")="",IF(MAX(IF(IFERROR(FIND(CATALOG_BASE,A35),0)=1,CATALOG_POINTS,0))=0,OTHER_POINTS,MAX(IF(IFERROR(FIND(CATALOG_BASE,A35),0)=1,CATALOG_POINTS,0))),IFERROR(INDEX(CATALOG_POINTS,MATCH(A35,CATALOG_TASK,0)),"")))</f>
        <v/>
      </c>
    </row>
    <row r="36" ht="15.0" customHeight="1">
      <c r="A36" s="4"/>
      <c r="B36" s="4"/>
      <c r="C36" s="41" t="str">
        <f t="array" ref="C36">IF(A36="","",IF(IFERROR(INDEX(CATALOG_POINTS,MATCH(A36,CATALOG_TASK,0)),"")="",IF(MAX(IF(IFERROR(FIND(CATALOG_BASE,A36),0)=1,CATALOG_POINTS,0))=0,OTHER_POINTS,MAX(IF(IFERROR(FIND(CATALOG_BASE,A36),0)=1,CATALOG_POINTS,0))),IFERROR(INDEX(CATALOG_POINTS,MATCH(A36,CATALOG_TASK,0)),"")))</f>
        <v/>
      </c>
    </row>
    <row r="37" ht="15.0" customHeight="1">
      <c r="A37" s="4"/>
      <c r="B37" s="4"/>
      <c r="C37" s="41" t="str">
        <f t="array" ref="C37">IF(A37="","",IF(IFERROR(INDEX(CATALOG_POINTS,MATCH(A37,CATALOG_TASK,0)),"")="",IF(MAX(IF(IFERROR(FIND(CATALOG_BASE,A37),0)=1,CATALOG_POINTS,0))=0,OTHER_POINTS,MAX(IF(IFERROR(FIND(CATALOG_BASE,A37),0)=1,CATALOG_POINTS,0))),IFERROR(INDEX(CATALOG_POINTS,MATCH(A37,CATALOG_TASK,0)),"")))</f>
        <v/>
      </c>
    </row>
    <row r="38" ht="15.0" customHeight="1">
      <c r="A38" s="4"/>
      <c r="B38" s="4"/>
      <c r="C38" s="41" t="str">
        <f t="array" ref="C38">IF(A38="","",IF(IFERROR(INDEX(CATALOG_POINTS,MATCH(A38,CATALOG_TASK,0)),"")="",IF(MAX(IF(IFERROR(FIND(CATALOG_BASE,A38),0)=1,CATALOG_POINTS,0))=0,OTHER_POINTS,MAX(IF(IFERROR(FIND(CATALOG_BASE,A38),0)=1,CATALOG_POINTS,0))),IFERROR(INDEX(CATALOG_POINTS,MATCH(A38,CATALOG_TASK,0)),"")))</f>
        <v/>
      </c>
    </row>
    <row r="39" ht="15.0" customHeight="1">
      <c r="A39" s="4"/>
      <c r="B39" s="4"/>
      <c r="C39" s="41" t="str">
        <f t="array" ref="C39">IF(A39="","",IF(IFERROR(INDEX(CATALOG_POINTS,MATCH(A39,CATALOG_TASK,0)),"")="",IF(MAX(IF(IFERROR(FIND(CATALOG_BASE,A39),0)=1,CATALOG_POINTS,0))=0,OTHER_POINTS,MAX(IF(IFERROR(FIND(CATALOG_BASE,A39),0)=1,CATALOG_POINTS,0))),IFERROR(INDEX(CATALOG_POINTS,MATCH(A39,CATALOG_TASK,0)),"")))</f>
        <v/>
      </c>
    </row>
    <row r="40" ht="15.0" customHeight="1">
      <c r="A40" s="4"/>
      <c r="B40" s="4"/>
      <c r="C40" s="41" t="str">
        <f t="array" ref="C40">IF(A40="","",IF(IFERROR(INDEX(CATALOG_POINTS,MATCH(A40,CATALOG_TASK,0)),"")="",IF(MAX(IF(IFERROR(FIND(CATALOG_BASE,A40),0)=1,CATALOG_POINTS,0))=0,OTHER_POINTS,MAX(IF(IFERROR(FIND(CATALOG_BASE,A40),0)=1,CATALOG_POINTS,0))),IFERROR(INDEX(CATALOG_POINTS,MATCH(A40,CATALOG_TASK,0)),"")))</f>
        <v/>
      </c>
    </row>
    <row r="41" ht="15.0" customHeight="1">
      <c r="A41" s="4"/>
      <c r="B41" s="4"/>
      <c r="C41" s="41" t="str">
        <f t="array" ref="C41">IF(A41="","",IF(IFERROR(INDEX(CATALOG_POINTS,MATCH(A41,CATALOG_TASK,0)),"")="",IF(MAX(IF(IFERROR(FIND(CATALOG_BASE,A41),0)=1,CATALOG_POINTS,0))=0,OTHER_POINTS,MAX(IF(IFERROR(FIND(CATALOG_BASE,A41),0)=1,CATALOG_POINTS,0))),IFERROR(INDEX(CATALOG_POINTS,MATCH(A41,CATALOG_TASK,0)),"")))</f>
        <v/>
      </c>
    </row>
    <row r="42" ht="15.0" customHeight="1">
      <c r="A42" s="4"/>
      <c r="B42" s="4"/>
      <c r="C42" s="41" t="str">
        <f t="array" ref="C42">IF(A42="","",IF(IFERROR(INDEX(CATALOG_POINTS,MATCH(A42,CATALOG_TASK,0)),"")="",IF(MAX(IF(IFERROR(FIND(CATALOG_BASE,A42),0)=1,CATALOG_POINTS,0))=0,OTHER_POINTS,MAX(IF(IFERROR(FIND(CATALOG_BASE,A42),0)=1,CATALOG_POINTS,0))),IFERROR(INDEX(CATALOG_POINTS,MATCH(A42,CATALOG_TASK,0)),"")))</f>
        <v/>
      </c>
    </row>
    <row r="43" ht="15.0" customHeight="1">
      <c r="A43" s="4"/>
      <c r="B43" s="4"/>
      <c r="C43" s="41" t="str">
        <f t="array" ref="C43">IF(A43="","",IF(IFERROR(INDEX(CATALOG_POINTS,MATCH(A43,CATALOG_TASK,0)),"")="",IF(MAX(IF(IFERROR(FIND(CATALOG_BASE,A43),0)=1,CATALOG_POINTS,0))=0,OTHER_POINTS,MAX(IF(IFERROR(FIND(CATALOG_BASE,A43),0)=1,CATALOG_POINTS,0))),IFERROR(INDEX(CATALOG_POINTS,MATCH(A43,CATALOG_TASK,0)),"")))</f>
        <v/>
      </c>
    </row>
    <row r="44" ht="15.0" customHeight="1">
      <c r="A44" s="4"/>
      <c r="B44" s="4"/>
      <c r="C44" s="41" t="str">
        <f t="array" ref="C44">IF(A44="","",IF(IFERROR(INDEX(CATALOG_POINTS,MATCH(A44,CATALOG_TASK,0)),"")="",IF(MAX(IF(IFERROR(FIND(CATALOG_BASE,A44),0)=1,CATALOG_POINTS,0))=0,OTHER_POINTS,MAX(IF(IFERROR(FIND(CATALOG_BASE,A44),0)=1,CATALOG_POINTS,0))),IFERROR(INDEX(CATALOG_POINTS,MATCH(A44,CATALOG_TASK,0)),"")))</f>
        <v/>
      </c>
    </row>
    <row r="45" ht="15.0" customHeight="1">
      <c r="A45" s="4"/>
      <c r="B45" s="4"/>
      <c r="C45" s="41" t="str">
        <f t="array" ref="C45">IF(A45="","",IF(IFERROR(INDEX(CATALOG_POINTS,MATCH(A45,CATALOG_TASK,0)),"")="",IF(MAX(IF(IFERROR(FIND(CATALOG_BASE,A45),0)=1,CATALOG_POINTS,0))=0,OTHER_POINTS,MAX(IF(IFERROR(FIND(CATALOG_BASE,A45),0)=1,CATALOG_POINTS,0))),IFERROR(INDEX(CATALOG_POINTS,MATCH(A45,CATALOG_TASK,0)),"")))</f>
        <v/>
      </c>
    </row>
    <row r="46" ht="15.0" customHeight="1">
      <c r="A46" s="4"/>
      <c r="B46" s="4"/>
      <c r="C46" s="41" t="str">
        <f t="array" ref="C46">IF(A46="","",IF(IFERROR(INDEX(CATALOG_POINTS,MATCH(A46,CATALOG_TASK,0)),"")="",IF(MAX(IF(IFERROR(FIND(CATALOG_BASE,A46),0)=1,CATALOG_POINTS,0))=0,OTHER_POINTS,MAX(IF(IFERROR(FIND(CATALOG_BASE,A46),0)=1,CATALOG_POINTS,0))),IFERROR(INDEX(CATALOG_POINTS,MATCH(A46,CATALOG_TASK,0)),"")))</f>
        <v/>
      </c>
    </row>
    <row r="47" ht="15.0" customHeight="1">
      <c r="A47" s="4"/>
      <c r="B47" s="4"/>
      <c r="C47" s="41" t="str">
        <f t="array" ref="C47">IF(A47="","",IF(IFERROR(INDEX(CATALOG_POINTS,MATCH(A47,CATALOG_TASK,0)),"")="",IF(MAX(IF(IFERROR(FIND(CATALOG_BASE,A47),0)=1,CATALOG_POINTS,0))=0,OTHER_POINTS,MAX(IF(IFERROR(FIND(CATALOG_BASE,A47),0)=1,CATALOG_POINTS,0))),IFERROR(INDEX(CATALOG_POINTS,MATCH(A47,CATALOG_TASK,0)),"")))</f>
        <v/>
      </c>
    </row>
    <row r="48" ht="15.0" customHeight="1">
      <c r="A48" s="4"/>
      <c r="B48" s="4"/>
      <c r="C48" s="41" t="str">
        <f t="array" ref="C48">IF(A48="","",IF(IFERROR(INDEX(CATALOG_POINTS,MATCH(A48,CATALOG_TASK,0)),"")="",IF(MAX(IF(IFERROR(FIND(CATALOG_BASE,A48),0)=1,CATALOG_POINTS,0))=0,OTHER_POINTS,MAX(IF(IFERROR(FIND(CATALOG_BASE,A48),0)=1,CATALOG_POINTS,0))),IFERROR(INDEX(CATALOG_POINTS,MATCH(A48,CATALOG_TASK,0)),"")))</f>
        <v/>
      </c>
    </row>
    <row r="49" ht="15.0" customHeight="1">
      <c r="A49" s="4"/>
      <c r="B49" s="4"/>
      <c r="C49" s="41" t="str">
        <f t="array" ref="C49">IF(A49="","",IF(IFERROR(INDEX(CATALOG_POINTS,MATCH(A49,CATALOG_TASK,0)),"")="",IF(MAX(IF(IFERROR(FIND(CATALOG_BASE,A49),0)=1,CATALOG_POINTS,0))=0,OTHER_POINTS,MAX(IF(IFERROR(FIND(CATALOG_BASE,A49),0)=1,CATALOG_POINTS,0))),IFERROR(INDEX(CATALOG_POINTS,MATCH(A49,CATALOG_TASK,0)),"")))</f>
        <v/>
      </c>
    </row>
    <row r="50" ht="15.0" customHeight="1">
      <c r="A50" s="4"/>
      <c r="B50" s="4"/>
      <c r="C50" s="41" t="str">
        <f t="array" ref="C50">IF(A50="","",IF(IFERROR(INDEX(CATALOG_POINTS,MATCH(A50,CATALOG_TASK,0)),"")="",IF(MAX(IF(IFERROR(FIND(CATALOG_BASE,A50),0)=1,CATALOG_POINTS,0))=0,OTHER_POINTS,MAX(IF(IFERROR(FIND(CATALOG_BASE,A50),0)=1,CATALOG_POINTS,0))),IFERROR(INDEX(CATALOG_POINTS,MATCH(A50,CATALOG_TASK,0)),"")))</f>
        <v/>
      </c>
    </row>
    <row r="51" ht="15.0" customHeight="1">
      <c r="A51" s="4"/>
      <c r="B51" s="4"/>
      <c r="C51" s="41" t="str">
        <f t="array" ref="C51">IF(A51="","",IF(IFERROR(INDEX(CATALOG_POINTS,MATCH(A51,CATALOG_TASK,0)),"")="",IF(MAX(IF(IFERROR(FIND(CATALOG_BASE,A51),0)=1,CATALOG_POINTS,0))=0,OTHER_POINTS,MAX(IF(IFERROR(FIND(CATALOG_BASE,A51),0)=1,CATALOG_POINTS,0))),IFERROR(INDEX(CATALOG_POINTS,MATCH(A51,CATALOG_TASK,0)),"")))</f>
        <v/>
      </c>
    </row>
    <row r="52" ht="15.0" customHeight="1">
      <c r="A52" s="4"/>
      <c r="B52" s="4"/>
      <c r="C52" s="41" t="str">
        <f t="array" ref="C52">IF(A52="","",IF(IFERROR(INDEX(CATALOG_POINTS,MATCH(A52,CATALOG_TASK,0)),"")="",IF(MAX(IF(IFERROR(FIND(CATALOG_BASE,A52),0)=1,CATALOG_POINTS,0))=0,OTHER_POINTS,MAX(IF(IFERROR(FIND(CATALOG_BASE,A52),0)=1,CATALOG_POINTS,0))),IFERROR(INDEX(CATALOG_POINTS,MATCH(A52,CATALOG_TASK,0)),"")))</f>
        <v/>
      </c>
    </row>
    <row r="53" ht="15.0" customHeight="1">
      <c r="A53" s="4"/>
      <c r="B53" s="4"/>
      <c r="C53" s="41" t="str">
        <f t="array" ref="C53">IF(A53="","",IF(IFERROR(INDEX(CATALOG_POINTS,MATCH(A53,CATALOG_TASK,0)),"")="",IF(MAX(IF(IFERROR(FIND(CATALOG_BASE,A53),0)=1,CATALOG_POINTS,0))=0,OTHER_POINTS,MAX(IF(IFERROR(FIND(CATALOG_BASE,A53),0)=1,CATALOG_POINTS,0))),IFERROR(INDEX(CATALOG_POINTS,MATCH(A53,CATALOG_TASK,0)),"")))</f>
        <v/>
      </c>
    </row>
    <row r="54" ht="15.0" customHeight="1">
      <c r="A54" s="4"/>
      <c r="B54" s="4"/>
      <c r="C54" s="41" t="str">
        <f t="array" ref="C54">IF(A54="","",IF(IFERROR(INDEX(CATALOG_POINTS,MATCH(A54,CATALOG_TASK,0)),"")="",IF(MAX(IF(IFERROR(FIND(CATALOG_BASE,A54),0)=1,CATALOG_POINTS,0))=0,OTHER_POINTS,MAX(IF(IFERROR(FIND(CATALOG_BASE,A54),0)=1,CATALOG_POINTS,0))),IFERROR(INDEX(CATALOG_POINTS,MATCH(A54,CATALOG_TASK,0)),"")))</f>
        <v/>
      </c>
    </row>
    <row r="55" ht="15.0" customHeight="1">
      <c r="A55" s="4"/>
      <c r="B55" s="4"/>
      <c r="C55" s="41" t="str">
        <f t="array" ref="C55">IF(A55="","",IF(IFERROR(INDEX(CATALOG_POINTS,MATCH(A55,CATALOG_TASK,0)),"")="",IF(MAX(IF(IFERROR(FIND(CATALOG_BASE,A55),0)=1,CATALOG_POINTS,0))=0,OTHER_POINTS,MAX(IF(IFERROR(FIND(CATALOG_BASE,A55),0)=1,CATALOG_POINTS,0))),IFERROR(INDEX(CATALOG_POINTS,MATCH(A55,CATALOG_TASK,0)),"")))</f>
        <v/>
      </c>
    </row>
    <row r="56" ht="15.0" customHeight="1">
      <c r="A56" s="4"/>
      <c r="B56" s="4"/>
      <c r="C56" s="41" t="str">
        <f t="array" ref="C56">IF(A56="","",IF(IFERROR(INDEX(CATALOG_POINTS,MATCH(A56,CATALOG_TASK,0)),"")="",IF(MAX(IF(IFERROR(FIND(CATALOG_BASE,A56),0)=1,CATALOG_POINTS,0))=0,OTHER_POINTS,MAX(IF(IFERROR(FIND(CATALOG_BASE,A56),0)=1,CATALOG_POINTS,0))),IFERROR(INDEX(CATALOG_POINTS,MATCH(A56,CATALOG_TASK,0)),"")))</f>
        <v/>
      </c>
    </row>
    <row r="57" ht="15.0" customHeight="1">
      <c r="A57" s="4"/>
      <c r="B57" s="4"/>
      <c r="C57" s="41" t="str">
        <f t="array" ref="C57">IF(A57="","",IF(IFERROR(INDEX(CATALOG_POINTS,MATCH(A57,CATALOG_TASK,0)),"")="",IF(MAX(IF(IFERROR(FIND(CATALOG_BASE,A57),0)=1,CATALOG_POINTS,0))=0,OTHER_POINTS,MAX(IF(IFERROR(FIND(CATALOG_BASE,A57),0)=1,CATALOG_POINTS,0))),IFERROR(INDEX(CATALOG_POINTS,MATCH(A57,CATALOG_TASK,0)),"")))</f>
        <v/>
      </c>
    </row>
    <row r="58" ht="15.0" customHeight="1">
      <c r="A58" s="4"/>
      <c r="B58" s="4"/>
      <c r="C58" s="41" t="str">
        <f t="array" ref="C58">IF(A58="","",IF(IFERROR(INDEX(CATALOG_POINTS,MATCH(A58,CATALOG_TASK,0)),"")="",IF(MAX(IF(IFERROR(FIND(CATALOG_BASE,A58),0)=1,CATALOG_POINTS,0))=0,OTHER_POINTS,MAX(IF(IFERROR(FIND(CATALOG_BASE,A58),0)=1,CATALOG_POINTS,0))),IFERROR(INDEX(CATALOG_POINTS,MATCH(A58,CATALOG_TASK,0)),"")))</f>
        <v/>
      </c>
    </row>
    <row r="59" ht="15.0" customHeight="1">
      <c r="A59" s="4"/>
      <c r="B59" s="4"/>
      <c r="C59" s="41" t="str">
        <f t="array" ref="C59">IF(A59="","",IF(IFERROR(INDEX(CATALOG_POINTS,MATCH(A59,CATALOG_TASK,0)),"")="",IF(MAX(IF(IFERROR(FIND(CATALOG_BASE,A59),0)=1,CATALOG_POINTS,0))=0,OTHER_POINTS,MAX(IF(IFERROR(FIND(CATALOG_BASE,A59),0)=1,CATALOG_POINTS,0))),IFERROR(INDEX(CATALOG_POINTS,MATCH(A59,CATALOG_TASK,0)),"")))</f>
        <v/>
      </c>
    </row>
    <row r="60" ht="15.0" customHeight="1">
      <c r="A60" s="4"/>
      <c r="B60" s="4"/>
      <c r="C60" s="41" t="str">
        <f t="array" ref="C60">IF(A60="","",IF(IFERROR(INDEX(CATALOG_POINTS,MATCH(A60,CATALOG_TASK,0)),"")="",IF(MAX(IF(IFERROR(FIND(CATALOG_BASE,A60),0)=1,CATALOG_POINTS,0))=0,OTHER_POINTS,MAX(IF(IFERROR(FIND(CATALOG_BASE,A60),0)=1,CATALOG_POINTS,0))),IFERROR(INDEX(CATALOG_POINTS,MATCH(A60,CATALOG_TASK,0)),"")))</f>
        <v/>
      </c>
    </row>
    <row r="61" ht="15.0" customHeight="1">
      <c r="A61" s="4"/>
      <c r="B61" s="4"/>
      <c r="C61" s="41" t="str">
        <f t="array" ref="C61">IF(A61="","",IF(IFERROR(INDEX(CATALOG_POINTS,MATCH(A61,CATALOG_TASK,0)),"")="",IF(MAX(IF(IFERROR(FIND(CATALOG_BASE,A61),0)=1,CATALOG_POINTS,0))=0,OTHER_POINTS,MAX(IF(IFERROR(FIND(CATALOG_BASE,A61),0)=1,CATALOG_POINTS,0))),IFERROR(INDEX(CATALOG_POINTS,MATCH(A61,CATALOG_TASK,0)),"")))</f>
        <v/>
      </c>
    </row>
    <row r="62" ht="15.0" customHeight="1">
      <c r="A62" s="4"/>
      <c r="B62" s="4"/>
      <c r="C62" s="41" t="str">
        <f t="array" ref="C62">IF(A62="","",IF(IFERROR(INDEX(CATALOG_POINTS,MATCH(A62,CATALOG_TASK,0)),"")="",IF(MAX(IF(IFERROR(FIND(CATALOG_BASE,A62),0)=1,CATALOG_POINTS,0))=0,OTHER_POINTS,MAX(IF(IFERROR(FIND(CATALOG_BASE,A62),0)=1,CATALOG_POINTS,0))),IFERROR(INDEX(CATALOG_POINTS,MATCH(A62,CATALOG_TASK,0)),"")))</f>
        <v/>
      </c>
    </row>
    <row r="63" ht="15.0" customHeight="1">
      <c r="A63" s="4"/>
      <c r="B63" s="4"/>
      <c r="C63" s="41" t="str">
        <f t="array" ref="C63">IF(A63="","",IF(IFERROR(INDEX(CATALOG_POINTS,MATCH(A63,CATALOG_TASK,0)),"")="",IF(MAX(IF(IFERROR(FIND(CATALOG_BASE,A63),0)=1,CATALOG_POINTS,0))=0,OTHER_POINTS,MAX(IF(IFERROR(FIND(CATALOG_BASE,A63),0)=1,CATALOG_POINTS,0))),IFERROR(INDEX(CATALOG_POINTS,MATCH(A63,CATALOG_TASK,0)),"")))</f>
        <v/>
      </c>
    </row>
    <row r="64" ht="15.0" customHeight="1">
      <c r="A64" s="4"/>
      <c r="B64" s="4"/>
      <c r="C64" s="41" t="str">
        <f t="array" ref="C64">IF(A64="","",IF(IFERROR(INDEX(CATALOG_POINTS,MATCH(A64,CATALOG_TASK,0)),"")="",IF(MAX(IF(IFERROR(FIND(CATALOG_BASE,A64),0)=1,CATALOG_POINTS,0))=0,OTHER_POINTS,MAX(IF(IFERROR(FIND(CATALOG_BASE,A64),0)=1,CATALOG_POINTS,0))),IFERROR(INDEX(CATALOG_POINTS,MATCH(A64,CATALOG_TASK,0)),"")))</f>
        <v/>
      </c>
    </row>
    <row r="65" ht="15.0" customHeight="1">
      <c r="A65" s="4"/>
      <c r="B65" s="4"/>
      <c r="C65" s="41" t="str">
        <f t="array" ref="C65">IF(A65="","",IF(IFERROR(INDEX(CATALOG_POINTS,MATCH(A65,CATALOG_TASK,0)),"")="",IF(MAX(IF(IFERROR(FIND(CATALOG_BASE,A65),0)=1,CATALOG_POINTS,0))=0,OTHER_POINTS,MAX(IF(IFERROR(FIND(CATALOG_BASE,A65),0)=1,CATALOG_POINTS,0))),IFERROR(INDEX(CATALOG_POINTS,MATCH(A65,CATALOG_TASK,0)),"")))</f>
        <v/>
      </c>
    </row>
    <row r="66" ht="15.0" customHeight="1">
      <c r="A66" s="4"/>
      <c r="B66" s="4"/>
      <c r="C66" s="41" t="str">
        <f t="array" ref="C66">IF(A66="","",IF(IFERROR(INDEX(CATALOG_POINTS,MATCH(A66,CATALOG_TASK,0)),"")="",IF(MAX(IF(IFERROR(FIND(CATALOG_BASE,A66),0)=1,CATALOG_POINTS,0))=0,OTHER_POINTS,MAX(IF(IFERROR(FIND(CATALOG_BASE,A66),0)=1,CATALOG_POINTS,0))),IFERROR(INDEX(CATALOG_POINTS,MATCH(A66,CATALOG_TASK,0)),"")))</f>
        <v/>
      </c>
    </row>
    <row r="67" ht="15.0" customHeight="1">
      <c r="A67" s="4"/>
      <c r="B67" s="4"/>
      <c r="C67" s="41" t="str">
        <f t="array" ref="C67">IF(A67="","",IF(IFERROR(INDEX(CATALOG_POINTS,MATCH(A67,CATALOG_TASK,0)),"")="",IF(MAX(IF(IFERROR(FIND(CATALOG_BASE,A67),0)=1,CATALOG_POINTS,0))=0,OTHER_POINTS,MAX(IF(IFERROR(FIND(CATALOG_BASE,A67),0)=1,CATALOG_POINTS,0))),IFERROR(INDEX(CATALOG_POINTS,MATCH(A67,CATALOG_TASK,0)),"")))</f>
        <v/>
      </c>
    </row>
    <row r="68" ht="15.0" customHeight="1">
      <c r="A68" s="4"/>
      <c r="B68" s="4"/>
      <c r="C68" s="41" t="str">
        <f t="array" ref="C68">IF(A68="","",IF(IFERROR(INDEX(CATALOG_POINTS,MATCH(A68,CATALOG_TASK,0)),"")="",IF(MAX(IF(IFERROR(FIND(CATALOG_BASE,A68),0)=1,CATALOG_POINTS,0))=0,OTHER_POINTS,MAX(IF(IFERROR(FIND(CATALOG_BASE,A68),0)=1,CATALOG_POINTS,0))),IFERROR(INDEX(CATALOG_POINTS,MATCH(A68,CATALOG_TASK,0)),"")))</f>
        <v/>
      </c>
    </row>
    <row r="69" ht="15.0" customHeight="1">
      <c r="A69" s="4"/>
      <c r="B69" s="4"/>
      <c r="C69" s="41" t="str">
        <f t="array" ref="C69">IF(A69="","",IF(IFERROR(INDEX(CATALOG_POINTS,MATCH(A69,CATALOG_TASK,0)),"")="",IF(MAX(IF(IFERROR(FIND(CATALOG_BASE,A69),0)=1,CATALOG_POINTS,0))=0,OTHER_POINTS,MAX(IF(IFERROR(FIND(CATALOG_BASE,A69),0)=1,CATALOG_POINTS,0))),IFERROR(INDEX(CATALOG_POINTS,MATCH(A69,CATALOG_TASK,0)),"")))</f>
        <v/>
      </c>
    </row>
    <row r="70" ht="15.0" customHeight="1">
      <c r="A70" s="4"/>
      <c r="B70" s="4"/>
      <c r="C70" s="41" t="str">
        <f t="array" ref="C70">IF(A70="","",IF(IFERROR(INDEX(CATALOG_POINTS,MATCH(A70,CATALOG_TASK,0)),"")="",IF(MAX(IF(IFERROR(FIND(CATALOG_BASE,A70),0)=1,CATALOG_POINTS,0))=0,OTHER_POINTS,MAX(IF(IFERROR(FIND(CATALOG_BASE,A70),0)=1,CATALOG_POINTS,0))),IFERROR(INDEX(CATALOG_POINTS,MATCH(A70,CATALOG_TASK,0)),"")))</f>
        <v/>
      </c>
    </row>
    <row r="71" ht="15.0" customHeight="1">
      <c r="A71" s="4"/>
      <c r="B71" s="4"/>
      <c r="C71" s="41" t="str">
        <f t="array" ref="C71">IF(A71="","",IF(IFERROR(INDEX(CATALOG_POINTS,MATCH(A71,CATALOG_TASK,0)),"")="",IF(MAX(IF(IFERROR(FIND(CATALOG_BASE,A71),0)=1,CATALOG_POINTS,0))=0,OTHER_POINTS,MAX(IF(IFERROR(FIND(CATALOG_BASE,A71),0)=1,CATALOG_POINTS,0))),IFERROR(INDEX(CATALOG_POINTS,MATCH(A71,CATALOG_TASK,0)),"")))</f>
        <v/>
      </c>
    </row>
    <row r="72" ht="15.0" customHeight="1">
      <c r="A72" s="4"/>
      <c r="B72" s="4"/>
      <c r="C72" s="41" t="str">
        <f t="array" ref="C72">IF(A72="","",IF(IFERROR(INDEX(CATALOG_POINTS,MATCH(A72,CATALOG_TASK,0)),"")="",IF(MAX(IF(IFERROR(FIND(CATALOG_BASE,A72),0)=1,CATALOG_POINTS,0))=0,OTHER_POINTS,MAX(IF(IFERROR(FIND(CATALOG_BASE,A72),0)=1,CATALOG_POINTS,0))),IFERROR(INDEX(CATALOG_POINTS,MATCH(A72,CATALOG_TASK,0)),"")))</f>
        <v/>
      </c>
    </row>
    <row r="73" ht="15.0" customHeight="1">
      <c r="A73" s="4"/>
      <c r="B73" s="4"/>
      <c r="C73" s="41" t="str">
        <f t="array" ref="C73">IF(A73="","",IF(IFERROR(INDEX(CATALOG_POINTS,MATCH(A73,CATALOG_TASK,0)),"")="",IF(MAX(IF(IFERROR(FIND(CATALOG_BASE,A73),0)=1,CATALOG_POINTS,0))=0,OTHER_POINTS,MAX(IF(IFERROR(FIND(CATALOG_BASE,A73),0)=1,CATALOG_POINTS,0))),IFERROR(INDEX(CATALOG_POINTS,MATCH(A73,CATALOG_TASK,0)),"")))</f>
        <v/>
      </c>
    </row>
    <row r="74" ht="15.0" customHeight="1">
      <c r="A74" s="4"/>
      <c r="B74" s="4"/>
      <c r="C74" s="41" t="str">
        <f t="array" ref="C74">IF(A74="","",IF(IFERROR(INDEX(CATALOG_POINTS,MATCH(A74,CATALOG_TASK,0)),"")="",IF(MAX(IF(IFERROR(FIND(CATALOG_BASE,A74),0)=1,CATALOG_POINTS,0))=0,OTHER_POINTS,MAX(IF(IFERROR(FIND(CATALOG_BASE,A74),0)=1,CATALOG_POINTS,0))),IFERROR(INDEX(CATALOG_POINTS,MATCH(A74,CATALOG_TASK,0)),"")))</f>
        <v/>
      </c>
    </row>
    <row r="75" ht="15.0" customHeight="1">
      <c r="A75" s="4"/>
      <c r="B75" s="4"/>
      <c r="C75" s="41" t="str">
        <f t="array" ref="C75">IF(A75="","",IF(IFERROR(INDEX(CATALOG_POINTS,MATCH(A75,CATALOG_TASK,0)),"")="",IF(MAX(IF(IFERROR(FIND(CATALOG_BASE,A75),0)=1,CATALOG_POINTS,0))=0,OTHER_POINTS,MAX(IF(IFERROR(FIND(CATALOG_BASE,A75),0)=1,CATALOG_POINTS,0))),IFERROR(INDEX(CATALOG_POINTS,MATCH(A75,CATALOG_TASK,0)),"")))</f>
        <v/>
      </c>
    </row>
    <row r="76" ht="15.0" customHeight="1">
      <c r="A76" s="4"/>
      <c r="B76" s="4"/>
      <c r="C76" s="41" t="str">
        <f t="array" ref="C76">IF(A76="","",IF(IFERROR(INDEX(CATALOG_POINTS,MATCH(A76,CATALOG_TASK,0)),"")="",IF(MAX(IF(IFERROR(FIND(CATALOG_BASE,A76),0)=1,CATALOG_POINTS,0))=0,OTHER_POINTS,MAX(IF(IFERROR(FIND(CATALOG_BASE,A76),0)=1,CATALOG_POINTS,0))),IFERROR(INDEX(CATALOG_POINTS,MATCH(A76,CATALOG_TASK,0)),"")))</f>
        <v/>
      </c>
    </row>
    <row r="77" ht="15.0" customHeight="1">
      <c r="A77" s="4"/>
      <c r="B77" s="4"/>
      <c r="C77" s="41" t="str">
        <f t="array" ref="C77">IF(A77="","",IF(IFERROR(INDEX(CATALOG_POINTS,MATCH(A77,CATALOG_TASK,0)),"")="",IF(MAX(IF(IFERROR(FIND(CATALOG_BASE,A77),0)=1,CATALOG_POINTS,0))=0,OTHER_POINTS,MAX(IF(IFERROR(FIND(CATALOG_BASE,A77),0)=1,CATALOG_POINTS,0))),IFERROR(INDEX(CATALOG_POINTS,MATCH(A77,CATALOG_TASK,0)),"")))</f>
        <v/>
      </c>
    </row>
    <row r="78" ht="15.0" customHeight="1">
      <c r="A78" s="4"/>
      <c r="B78" s="4"/>
      <c r="C78" s="41" t="str">
        <f t="array" ref="C78">IF(A78="","",IF(IFERROR(INDEX(CATALOG_POINTS,MATCH(A78,CATALOG_TASK,0)),"")="",IF(MAX(IF(IFERROR(FIND(CATALOG_BASE,A78),0)=1,CATALOG_POINTS,0))=0,OTHER_POINTS,MAX(IF(IFERROR(FIND(CATALOG_BASE,A78),0)=1,CATALOG_POINTS,0))),IFERROR(INDEX(CATALOG_POINTS,MATCH(A78,CATALOG_TASK,0)),"")))</f>
        <v/>
      </c>
    </row>
    <row r="79" ht="15.0" customHeight="1">
      <c r="A79" s="4"/>
      <c r="B79" s="4"/>
      <c r="C79" s="41" t="str">
        <f t="array" ref="C79">IF(A79="","",IF(IFERROR(INDEX(CATALOG_POINTS,MATCH(A79,CATALOG_TASK,0)),"")="",IF(MAX(IF(IFERROR(FIND(CATALOG_BASE,A79),0)=1,CATALOG_POINTS,0))=0,OTHER_POINTS,MAX(IF(IFERROR(FIND(CATALOG_BASE,A79),0)=1,CATALOG_POINTS,0))),IFERROR(INDEX(CATALOG_POINTS,MATCH(A79,CATALOG_TASK,0)),"")))</f>
        <v/>
      </c>
    </row>
    <row r="80" ht="15.0" customHeight="1">
      <c r="A80" s="4"/>
      <c r="B80" s="4"/>
      <c r="C80" s="41" t="str">
        <f t="array" ref="C80">IF(A80="","",IF(IFERROR(INDEX(CATALOG_POINTS,MATCH(A80,CATALOG_TASK,0)),"")="",IF(MAX(IF(IFERROR(FIND(CATALOG_BASE,A80),0)=1,CATALOG_POINTS,0))=0,OTHER_POINTS,MAX(IF(IFERROR(FIND(CATALOG_BASE,A80),0)=1,CATALOG_POINTS,0))),IFERROR(INDEX(CATALOG_POINTS,MATCH(A80,CATALOG_TASK,0)),"")))</f>
        <v/>
      </c>
    </row>
    <row r="81" ht="15.0" customHeight="1">
      <c r="A81" s="4"/>
      <c r="B81" s="4"/>
      <c r="C81" s="41" t="str">
        <f t="array" ref="C81">IF(A81="","",IF(IFERROR(INDEX(CATALOG_POINTS,MATCH(A81,CATALOG_TASK,0)),"")="",IF(MAX(IF(IFERROR(FIND(CATALOG_BASE,A81),0)=1,CATALOG_POINTS,0))=0,OTHER_POINTS,MAX(IF(IFERROR(FIND(CATALOG_BASE,A81),0)=1,CATALOG_POINTS,0))),IFERROR(INDEX(CATALOG_POINTS,MATCH(A81,CATALOG_TASK,0)),"")))</f>
        <v/>
      </c>
    </row>
    <row r="82" ht="15.0" customHeight="1">
      <c r="A82" s="4"/>
      <c r="B82" s="4"/>
      <c r="C82" s="41" t="str">
        <f t="array" ref="C82">IF(A82="","",IF(IFERROR(INDEX(CATALOG_POINTS,MATCH(A82,CATALOG_TASK,0)),"")="",IF(MAX(IF(IFERROR(FIND(CATALOG_BASE,A82),0)=1,CATALOG_POINTS,0))=0,OTHER_POINTS,MAX(IF(IFERROR(FIND(CATALOG_BASE,A82),0)=1,CATALOG_POINTS,0))),IFERROR(INDEX(CATALOG_POINTS,MATCH(A82,CATALOG_TASK,0)),"")))</f>
        <v/>
      </c>
    </row>
    <row r="83" ht="15.0" customHeight="1">
      <c r="A83" s="4"/>
      <c r="B83" s="4"/>
      <c r="C83" s="41" t="str">
        <f t="array" ref="C83">IF(A83="","",IF(IFERROR(INDEX(CATALOG_POINTS,MATCH(A83,CATALOG_TASK,0)),"")="",IF(MAX(IF(IFERROR(FIND(CATALOG_BASE,A83),0)=1,CATALOG_POINTS,0))=0,OTHER_POINTS,MAX(IF(IFERROR(FIND(CATALOG_BASE,A83),0)=1,CATALOG_POINTS,0))),IFERROR(INDEX(CATALOG_POINTS,MATCH(A83,CATALOG_TASK,0)),"")))</f>
        <v/>
      </c>
    </row>
    <row r="84" ht="15.0" customHeight="1">
      <c r="A84" s="4"/>
      <c r="B84" s="4"/>
      <c r="C84" s="41" t="str">
        <f t="array" ref="C84">IF(A84="","",IF(IFERROR(INDEX(CATALOG_POINTS,MATCH(A84,CATALOG_TASK,0)),"")="",IF(MAX(IF(IFERROR(FIND(CATALOG_BASE,A84),0)=1,CATALOG_POINTS,0))=0,OTHER_POINTS,MAX(IF(IFERROR(FIND(CATALOG_BASE,A84),0)=1,CATALOG_POINTS,0))),IFERROR(INDEX(CATALOG_POINTS,MATCH(A84,CATALOG_TASK,0)),"")))</f>
        <v/>
      </c>
    </row>
    <row r="85" ht="15.0" customHeight="1">
      <c r="A85" s="4"/>
      <c r="B85" s="4"/>
      <c r="C85" s="41" t="str">
        <f t="array" ref="C85">IF(A85="","",IF(IFERROR(INDEX(CATALOG_POINTS,MATCH(A85,CATALOG_TASK,0)),"")="",IF(MAX(IF(IFERROR(FIND(CATALOG_BASE,A85),0)=1,CATALOG_POINTS,0))=0,OTHER_POINTS,MAX(IF(IFERROR(FIND(CATALOG_BASE,A85),0)=1,CATALOG_POINTS,0))),IFERROR(INDEX(CATALOG_POINTS,MATCH(A85,CATALOG_TASK,0)),"")))</f>
        <v/>
      </c>
    </row>
    <row r="86" ht="15.0" customHeight="1">
      <c r="A86" s="4"/>
      <c r="B86" s="4"/>
      <c r="C86" s="41" t="str">
        <f t="array" ref="C86">IF(A86="","",IF(IFERROR(INDEX(CATALOG_POINTS,MATCH(A86,CATALOG_TASK,0)),"")="",IF(MAX(IF(IFERROR(FIND(CATALOG_BASE,A86),0)=1,CATALOG_POINTS,0))=0,OTHER_POINTS,MAX(IF(IFERROR(FIND(CATALOG_BASE,A86),0)=1,CATALOG_POINTS,0))),IFERROR(INDEX(CATALOG_POINTS,MATCH(A86,CATALOG_TASK,0)),"")))</f>
        <v/>
      </c>
    </row>
    <row r="87" ht="15.0" customHeight="1">
      <c r="A87" s="4"/>
      <c r="B87" s="4"/>
      <c r="C87" s="41" t="str">
        <f t="array" ref="C87">IF(A87="","",IF(IFERROR(INDEX(CATALOG_POINTS,MATCH(A87,CATALOG_TASK,0)),"")="",IF(MAX(IF(IFERROR(FIND(CATALOG_BASE,A87),0)=1,CATALOG_POINTS,0))=0,OTHER_POINTS,MAX(IF(IFERROR(FIND(CATALOG_BASE,A87),0)=1,CATALOG_POINTS,0))),IFERROR(INDEX(CATALOG_POINTS,MATCH(A87,CATALOG_TASK,0)),"")))</f>
        <v/>
      </c>
    </row>
    <row r="88" ht="15.0" customHeight="1">
      <c r="A88" s="4"/>
      <c r="B88" s="4"/>
      <c r="C88" s="41" t="str">
        <f t="array" ref="C88">IF(A88="","",IF(IFERROR(INDEX(CATALOG_POINTS,MATCH(A88,CATALOG_TASK,0)),"")="",IF(MAX(IF(IFERROR(FIND(CATALOG_BASE,A88),0)=1,CATALOG_POINTS,0))=0,OTHER_POINTS,MAX(IF(IFERROR(FIND(CATALOG_BASE,A88),0)=1,CATALOG_POINTS,0))),IFERROR(INDEX(CATALOG_POINTS,MATCH(A88,CATALOG_TASK,0)),"")))</f>
        <v/>
      </c>
    </row>
    <row r="89" ht="15.0" customHeight="1">
      <c r="A89" s="4"/>
      <c r="B89" s="4"/>
      <c r="C89" s="41" t="str">
        <f t="array" ref="C89">IF(A89="","",IF(IFERROR(INDEX(CATALOG_POINTS,MATCH(A89,CATALOG_TASK,0)),"")="",IF(MAX(IF(IFERROR(FIND(CATALOG_BASE,A89),0)=1,CATALOG_POINTS,0))=0,OTHER_POINTS,MAX(IF(IFERROR(FIND(CATALOG_BASE,A89),0)=1,CATALOG_POINTS,0))),IFERROR(INDEX(CATALOG_POINTS,MATCH(A89,CATALOG_TASK,0)),"")))</f>
        <v/>
      </c>
    </row>
    <row r="90" ht="15.0" customHeight="1">
      <c r="A90" s="4"/>
      <c r="B90" s="4"/>
      <c r="C90" s="41" t="str">
        <f t="array" ref="C90">IF(A90="","",IF(IFERROR(INDEX(CATALOG_POINTS,MATCH(A90,CATALOG_TASK,0)),"")="",IF(MAX(IF(IFERROR(FIND(CATALOG_BASE,A90),0)=1,CATALOG_POINTS,0))=0,OTHER_POINTS,MAX(IF(IFERROR(FIND(CATALOG_BASE,A90),0)=1,CATALOG_POINTS,0))),IFERROR(INDEX(CATALOG_POINTS,MATCH(A90,CATALOG_TASK,0)),"")))</f>
        <v/>
      </c>
    </row>
    <row r="91" ht="15.0" customHeight="1">
      <c r="A91" s="4"/>
      <c r="B91" s="4"/>
      <c r="C91" s="41" t="str">
        <f t="array" ref="C91">IF(A91="","",IF(IFERROR(INDEX(CATALOG_POINTS,MATCH(A91,CATALOG_TASK,0)),"")="",IF(MAX(IF(IFERROR(FIND(CATALOG_BASE,A91),0)=1,CATALOG_POINTS,0))=0,OTHER_POINTS,MAX(IF(IFERROR(FIND(CATALOG_BASE,A91),0)=1,CATALOG_POINTS,0))),IFERROR(INDEX(CATALOG_POINTS,MATCH(A91,CATALOG_TASK,0)),"")))</f>
        <v/>
      </c>
    </row>
    <row r="92" ht="15.0" customHeight="1">
      <c r="A92" s="4"/>
      <c r="B92" s="4"/>
      <c r="C92" s="41" t="str">
        <f t="array" ref="C92">IF(A92="","",IF(IFERROR(INDEX(CATALOG_POINTS,MATCH(A92,CATALOG_TASK,0)),"")="",IF(MAX(IF(IFERROR(FIND(CATALOG_BASE,A92),0)=1,CATALOG_POINTS,0))=0,OTHER_POINTS,MAX(IF(IFERROR(FIND(CATALOG_BASE,A92),0)=1,CATALOG_POINTS,0))),IFERROR(INDEX(CATALOG_POINTS,MATCH(A92,CATALOG_TASK,0)),"")))</f>
        <v/>
      </c>
    </row>
    <row r="93" ht="15.0" customHeight="1">
      <c r="A93" s="4"/>
      <c r="B93" s="4"/>
      <c r="C93" s="41" t="str">
        <f t="array" ref="C93">IF(A93="","",IF(IFERROR(INDEX(CATALOG_POINTS,MATCH(A93,CATALOG_TASK,0)),"")="",IF(MAX(IF(IFERROR(FIND(CATALOG_BASE,A93),0)=1,CATALOG_POINTS,0))=0,OTHER_POINTS,MAX(IF(IFERROR(FIND(CATALOG_BASE,A93),0)=1,CATALOG_POINTS,0))),IFERROR(INDEX(CATALOG_POINTS,MATCH(A93,CATALOG_TASK,0)),"")))</f>
        <v/>
      </c>
    </row>
    <row r="94" ht="15.0" customHeight="1">
      <c r="A94" s="4"/>
      <c r="B94" s="4"/>
      <c r="C94" s="41" t="str">
        <f t="array" ref="C94">IF(A94="","",IF(IFERROR(INDEX(CATALOG_POINTS,MATCH(A94,CATALOG_TASK,0)),"")="",IF(MAX(IF(IFERROR(FIND(CATALOG_BASE,A94),0)=1,CATALOG_POINTS,0))=0,OTHER_POINTS,MAX(IF(IFERROR(FIND(CATALOG_BASE,A94),0)=1,CATALOG_POINTS,0))),IFERROR(INDEX(CATALOG_POINTS,MATCH(A94,CATALOG_TASK,0)),"")))</f>
        <v/>
      </c>
    </row>
    <row r="95" ht="15.0" customHeight="1">
      <c r="A95" s="4"/>
      <c r="B95" s="4"/>
      <c r="C95" s="41" t="str">
        <f t="array" ref="C95">IF(A95="","",IF(IFERROR(INDEX(CATALOG_POINTS,MATCH(A95,CATALOG_TASK,0)),"")="",IF(MAX(IF(IFERROR(FIND(CATALOG_BASE,A95),0)=1,CATALOG_POINTS,0))=0,OTHER_POINTS,MAX(IF(IFERROR(FIND(CATALOG_BASE,A95),0)=1,CATALOG_POINTS,0))),IFERROR(INDEX(CATALOG_POINTS,MATCH(A95,CATALOG_TASK,0)),"")))</f>
        <v/>
      </c>
    </row>
    <row r="96" ht="15.0" customHeight="1">
      <c r="A96" s="4"/>
      <c r="B96" s="4"/>
      <c r="C96" s="41" t="str">
        <f t="array" ref="C96">IF(A96="","",IF(IFERROR(INDEX(CATALOG_POINTS,MATCH(A96,CATALOG_TASK,0)),"")="",IF(MAX(IF(IFERROR(FIND(CATALOG_BASE,A96),0)=1,CATALOG_POINTS,0))=0,OTHER_POINTS,MAX(IF(IFERROR(FIND(CATALOG_BASE,A96),0)=1,CATALOG_POINTS,0))),IFERROR(INDEX(CATALOG_POINTS,MATCH(A96,CATALOG_TASK,0)),"")))</f>
        <v/>
      </c>
    </row>
    <row r="97" ht="15.0" customHeight="1">
      <c r="A97" s="4"/>
      <c r="B97" s="4"/>
      <c r="C97" s="41" t="str">
        <f t="array" ref="C97">IF(A97="","",IF(IFERROR(INDEX(CATALOG_POINTS,MATCH(A97,CATALOG_TASK,0)),"")="",IF(MAX(IF(IFERROR(FIND(CATALOG_BASE,A97),0)=1,CATALOG_POINTS,0))=0,OTHER_POINTS,MAX(IF(IFERROR(FIND(CATALOG_BASE,A97),0)=1,CATALOG_POINTS,0))),IFERROR(INDEX(CATALOG_POINTS,MATCH(A97,CATALOG_TASK,0)),"")))</f>
        <v/>
      </c>
    </row>
    <row r="98" ht="15.0" customHeight="1">
      <c r="A98" s="4"/>
      <c r="B98" s="4"/>
      <c r="C98" s="41" t="str">
        <f t="array" ref="C98">IF(A98="","",IF(IFERROR(INDEX(CATALOG_POINTS,MATCH(A98,CATALOG_TASK,0)),"")="",IF(MAX(IF(IFERROR(FIND(CATALOG_BASE,A98),0)=1,CATALOG_POINTS,0))=0,OTHER_POINTS,MAX(IF(IFERROR(FIND(CATALOG_BASE,A98),0)=1,CATALOG_POINTS,0))),IFERROR(INDEX(CATALOG_POINTS,MATCH(A98,CATALOG_TASK,0)),"")))</f>
        <v/>
      </c>
    </row>
    <row r="99" ht="15.0" customHeight="1">
      <c r="A99" s="4"/>
      <c r="B99" s="4"/>
      <c r="C99" s="41" t="str">
        <f t="array" ref="C99">IF(A99="","",IF(IFERROR(INDEX(CATALOG_POINTS,MATCH(A99,CATALOG_TASK,0)),"")="",IF(MAX(IF(IFERROR(FIND(CATALOG_BASE,A99),0)=1,CATALOG_POINTS,0))=0,OTHER_POINTS,MAX(IF(IFERROR(FIND(CATALOG_BASE,A99),0)=1,CATALOG_POINTS,0))),IFERROR(INDEX(CATALOG_POINTS,MATCH(A99,CATALOG_TASK,0)),"")))</f>
        <v/>
      </c>
    </row>
    <row r="100" ht="15.0" customHeight="1">
      <c r="A100" s="4"/>
      <c r="B100" s="4"/>
      <c r="C100" s="41" t="str">
        <f t="array" ref="C100">IF(A100="","",IF(IFERROR(INDEX(CATALOG_POINTS,MATCH(A100,CATALOG_TASK,0)),"")="",IF(MAX(IF(IFERROR(FIND(CATALOG_BASE,A100),0)=1,CATALOG_POINTS,0))=0,OTHER_POINTS,MAX(IF(IFERROR(FIND(CATALOG_BASE,A100),0)=1,CATALOG_POINTS,0))),IFERROR(INDEX(CATALOG_POINTS,MATCH(A100,CATALOG_TASK,0)),"")))</f>
        <v/>
      </c>
    </row>
    <row r="101" ht="15.0" customHeight="1">
      <c r="A101" s="4"/>
      <c r="B101" s="4"/>
      <c r="C101" s="41" t="str">
        <f t="array" ref="C101">IF(A101="","",IF(IFERROR(INDEX(CATALOG_POINTS,MATCH(A101,CATALOG_TASK,0)),"")="",IF(MAX(IF(IFERROR(FIND(CATALOG_BASE,A101),0)=1,CATALOG_POINTS,0))=0,OTHER_POINTS,MAX(IF(IFERROR(FIND(CATALOG_BASE,A101),0)=1,CATALOG_POINTS,0))),IFERROR(INDEX(CATALOG_POINTS,MATCH(A101,CATALOG_TASK,0)),"")))</f>
        <v/>
      </c>
    </row>
    <row r="102" ht="15.0" customHeight="1">
      <c r="A102" s="4"/>
      <c r="B102" s="4"/>
      <c r="C102" s="41" t="str">
        <f t="array" ref="C102">IF(A102="","",IF(IFERROR(INDEX(CATALOG_POINTS,MATCH(A102,CATALOG_TASK,0)),"")="",IF(MAX(IF(IFERROR(FIND(CATALOG_BASE,A102),0)=1,CATALOG_POINTS,0))=0,OTHER_POINTS,MAX(IF(IFERROR(FIND(CATALOG_BASE,A102),0)=1,CATALOG_POINTS,0))),IFERROR(INDEX(CATALOG_POINTS,MATCH(A102,CATALOG_TASK,0)),"")))</f>
        <v/>
      </c>
    </row>
    <row r="103" ht="15.0" customHeight="1">
      <c r="A103" s="4"/>
      <c r="B103" s="4"/>
      <c r="C103" s="41" t="str">
        <f t="array" ref="C103">IF(A103="","",IF(IFERROR(INDEX(CATALOG_POINTS,MATCH(A103,CATALOG_TASK,0)),"")="",IF(MAX(IF(IFERROR(FIND(CATALOG_BASE,A103),0)=1,CATALOG_POINTS,0))=0,OTHER_POINTS,MAX(IF(IFERROR(FIND(CATALOG_BASE,A103),0)=1,CATALOG_POINTS,0))),IFERROR(INDEX(CATALOG_POINTS,MATCH(A103,CATALOG_TASK,0)),"")))</f>
        <v/>
      </c>
    </row>
    <row r="104" ht="15.0" customHeight="1">
      <c r="A104" s="4"/>
      <c r="B104" s="4"/>
      <c r="C104" s="41" t="str">
        <f t="array" ref="C104">IF(A104="","",IF(IFERROR(INDEX(CATALOG_POINTS,MATCH(A104,CATALOG_TASK,0)),"")="",IF(MAX(IF(IFERROR(FIND(CATALOG_BASE,A104),0)=1,CATALOG_POINTS,0))=0,OTHER_POINTS,MAX(IF(IFERROR(FIND(CATALOG_BASE,A104),0)=1,CATALOG_POINTS,0))),IFERROR(INDEX(CATALOG_POINTS,MATCH(A104,CATALOG_TASK,0)),"")))</f>
        <v/>
      </c>
    </row>
    <row r="105" ht="15.0" customHeight="1">
      <c r="A105" s="4"/>
      <c r="B105" s="4"/>
      <c r="C105" s="41" t="str">
        <f t="array" ref="C105">IF(A105="","",IF(IFERROR(INDEX(CATALOG_POINTS,MATCH(A105,CATALOG_TASK,0)),"")="",IF(MAX(IF(IFERROR(FIND(CATALOG_BASE,A105),0)=1,CATALOG_POINTS,0))=0,OTHER_POINTS,MAX(IF(IFERROR(FIND(CATALOG_BASE,A105),0)=1,CATALOG_POINTS,0))),IFERROR(INDEX(CATALOG_POINTS,MATCH(A105,CATALOG_TASK,0)),"")))</f>
        <v/>
      </c>
    </row>
    <row r="106" ht="15.0" customHeight="1">
      <c r="A106" s="4"/>
      <c r="B106" s="4"/>
      <c r="C106" s="41" t="str">
        <f t="array" ref="C106">IF(A106="","",IF(IFERROR(INDEX(CATALOG_POINTS,MATCH(A106,CATALOG_TASK,0)),"")="",IF(MAX(IF(IFERROR(FIND(CATALOG_BASE,A106),0)=1,CATALOG_POINTS,0))=0,OTHER_POINTS,MAX(IF(IFERROR(FIND(CATALOG_BASE,A106),0)=1,CATALOG_POINTS,0))),IFERROR(INDEX(CATALOG_POINTS,MATCH(A106,CATALOG_TASK,0)),"")))</f>
        <v/>
      </c>
    </row>
    <row r="107" ht="15.0" customHeight="1">
      <c r="A107" s="4"/>
      <c r="B107" s="4"/>
      <c r="C107" s="41" t="str">
        <f t="array" ref="C107">IF(A107="","",IF(IFERROR(INDEX(CATALOG_POINTS,MATCH(A107,CATALOG_TASK,0)),"")="",IF(MAX(IF(IFERROR(FIND(CATALOG_BASE,A107),0)=1,CATALOG_POINTS,0))=0,OTHER_POINTS,MAX(IF(IFERROR(FIND(CATALOG_BASE,A107),0)=1,CATALOG_POINTS,0))),IFERROR(INDEX(CATALOG_POINTS,MATCH(A107,CATALOG_TASK,0)),"")))</f>
        <v/>
      </c>
    </row>
    <row r="108" ht="15.0" customHeight="1">
      <c r="A108" s="4"/>
      <c r="B108" s="4"/>
      <c r="C108" s="41" t="str">
        <f t="array" ref="C108">IF(A108="","",IF(IFERROR(INDEX(CATALOG_POINTS,MATCH(A108,CATALOG_TASK,0)),"")="",IF(MAX(IF(IFERROR(FIND(CATALOG_BASE,A108),0)=1,CATALOG_POINTS,0))=0,OTHER_POINTS,MAX(IF(IFERROR(FIND(CATALOG_BASE,A108),0)=1,CATALOG_POINTS,0))),IFERROR(INDEX(CATALOG_POINTS,MATCH(A108,CATALOG_TASK,0)),"")))</f>
        <v/>
      </c>
    </row>
    <row r="109" ht="15.0" customHeight="1">
      <c r="A109" s="4"/>
      <c r="B109" s="4"/>
      <c r="C109" s="41" t="str">
        <f t="array" ref="C109">IF(A109="","",IF(IFERROR(INDEX(CATALOG_POINTS,MATCH(A109,CATALOG_TASK,0)),"")="",IF(MAX(IF(IFERROR(FIND(CATALOG_BASE,A109),0)=1,CATALOG_POINTS,0))=0,OTHER_POINTS,MAX(IF(IFERROR(FIND(CATALOG_BASE,A109),0)=1,CATALOG_POINTS,0))),IFERROR(INDEX(CATALOG_POINTS,MATCH(A109,CATALOG_TASK,0)),"")))</f>
        <v/>
      </c>
    </row>
    <row r="110" ht="15.0" customHeight="1">
      <c r="A110" s="4"/>
      <c r="B110" s="4"/>
      <c r="C110" s="41" t="str">
        <f t="array" ref="C110">IF(A110="","",IF(IFERROR(INDEX(CATALOG_POINTS,MATCH(A110,CATALOG_TASK,0)),"")="",IF(MAX(IF(IFERROR(FIND(CATALOG_BASE,A110),0)=1,CATALOG_POINTS,0))=0,OTHER_POINTS,MAX(IF(IFERROR(FIND(CATALOG_BASE,A110),0)=1,CATALOG_POINTS,0))),IFERROR(INDEX(CATALOG_POINTS,MATCH(A110,CATALOG_TASK,0)),"")))</f>
        <v/>
      </c>
    </row>
    <row r="111" ht="15.0" customHeight="1">
      <c r="A111" s="4"/>
      <c r="B111" s="4"/>
      <c r="C111" s="41" t="str">
        <f t="array" ref="C111">IF(A111="","",IF(IFERROR(INDEX(CATALOG_POINTS,MATCH(A111,CATALOG_TASK,0)),"")="",IF(MAX(IF(IFERROR(FIND(CATALOG_BASE,A111),0)=1,CATALOG_POINTS,0))=0,OTHER_POINTS,MAX(IF(IFERROR(FIND(CATALOG_BASE,A111),0)=1,CATALOG_POINTS,0))),IFERROR(INDEX(CATALOG_POINTS,MATCH(A111,CATALOG_TASK,0)),"")))</f>
        <v/>
      </c>
    </row>
    <row r="112" ht="15.0" customHeight="1">
      <c r="A112" s="4"/>
      <c r="B112" s="4"/>
      <c r="C112" s="41" t="str">
        <f t="array" ref="C112">IF(A112="","",IF(IFERROR(INDEX(CATALOG_POINTS,MATCH(A112,CATALOG_TASK,0)),"")="",IF(MAX(IF(IFERROR(FIND(CATALOG_BASE,A112),0)=1,CATALOG_POINTS,0))=0,OTHER_POINTS,MAX(IF(IFERROR(FIND(CATALOG_BASE,A112),0)=1,CATALOG_POINTS,0))),IFERROR(INDEX(CATALOG_POINTS,MATCH(A112,CATALOG_TASK,0)),"")))</f>
        <v/>
      </c>
    </row>
    <row r="113" ht="15.0" customHeight="1">
      <c r="A113" s="4"/>
      <c r="B113" s="4"/>
      <c r="C113" s="41" t="str">
        <f t="array" ref="C113">IF(A113="","",IF(IFERROR(INDEX(CATALOG_POINTS,MATCH(A113,CATALOG_TASK,0)),"")="",IF(MAX(IF(IFERROR(FIND(CATALOG_BASE,A113),0)=1,CATALOG_POINTS,0))=0,OTHER_POINTS,MAX(IF(IFERROR(FIND(CATALOG_BASE,A113),0)=1,CATALOG_POINTS,0))),IFERROR(INDEX(CATALOG_POINTS,MATCH(A113,CATALOG_TASK,0)),"")))</f>
        <v/>
      </c>
    </row>
    <row r="114" ht="15.0" customHeight="1">
      <c r="A114" s="4"/>
      <c r="B114" s="4"/>
      <c r="C114" s="41" t="str">
        <f t="array" ref="C114">IF(A114="","",IF(IFERROR(INDEX(CATALOG_POINTS,MATCH(A114,CATALOG_TASK,0)),"")="",IF(MAX(IF(IFERROR(FIND(CATALOG_BASE,A114),0)=1,CATALOG_POINTS,0))=0,OTHER_POINTS,MAX(IF(IFERROR(FIND(CATALOG_BASE,A114),0)=1,CATALOG_POINTS,0))),IFERROR(INDEX(CATALOG_POINTS,MATCH(A114,CATALOG_TASK,0)),"")))</f>
        <v/>
      </c>
    </row>
    <row r="115" ht="15.0" customHeight="1">
      <c r="A115" s="4"/>
      <c r="B115" s="4"/>
      <c r="C115" s="41" t="str">
        <f t="array" ref="C115">IF(A115="","",IF(IFERROR(INDEX(CATALOG_POINTS,MATCH(A115,CATALOG_TASK,0)),"")="",IF(MAX(IF(IFERROR(FIND(CATALOG_BASE,A115),0)=1,CATALOG_POINTS,0))=0,OTHER_POINTS,MAX(IF(IFERROR(FIND(CATALOG_BASE,A115),0)=1,CATALOG_POINTS,0))),IFERROR(INDEX(CATALOG_POINTS,MATCH(A115,CATALOG_TASK,0)),"")))</f>
        <v/>
      </c>
    </row>
    <row r="116" ht="15.0" customHeight="1">
      <c r="A116" s="4"/>
      <c r="B116" s="4"/>
      <c r="C116" s="41" t="str">
        <f t="array" ref="C116">IF(A116="","",IF(IFERROR(INDEX(CATALOG_POINTS,MATCH(A116,CATALOG_TASK,0)),"")="",IF(MAX(IF(IFERROR(FIND(CATALOG_BASE,A116),0)=1,CATALOG_POINTS,0))=0,OTHER_POINTS,MAX(IF(IFERROR(FIND(CATALOG_BASE,A116),0)=1,CATALOG_POINTS,0))),IFERROR(INDEX(CATALOG_POINTS,MATCH(A116,CATALOG_TASK,0)),"")))</f>
        <v/>
      </c>
    </row>
    <row r="117" ht="15.0" customHeight="1">
      <c r="A117" s="4"/>
      <c r="B117" s="4"/>
      <c r="C117" s="41" t="str">
        <f t="array" ref="C117">IF(A117="","",IF(IFERROR(INDEX(CATALOG_POINTS,MATCH(A117,CATALOG_TASK,0)),"")="",IF(MAX(IF(IFERROR(FIND(CATALOG_BASE,A117),0)=1,CATALOG_POINTS,0))=0,OTHER_POINTS,MAX(IF(IFERROR(FIND(CATALOG_BASE,A117),0)=1,CATALOG_POINTS,0))),IFERROR(INDEX(CATALOG_POINTS,MATCH(A117,CATALOG_TASK,0)),"")))</f>
        <v/>
      </c>
    </row>
    <row r="118" ht="15.0" customHeight="1">
      <c r="A118" s="4"/>
      <c r="B118" s="4"/>
      <c r="C118" s="41" t="str">
        <f t="array" ref="C118">IF(A118="","",IF(IFERROR(INDEX(CATALOG_POINTS,MATCH(A118,CATALOG_TASK,0)),"")="",IF(MAX(IF(IFERROR(FIND(CATALOG_BASE,A118),0)=1,CATALOG_POINTS,0))=0,OTHER_POINTS,MAX(IF(IFERROR(FIND(CATALOG_BASE,A118),0)=1,CATALOG_POINTS,0))),IFERROR(INDEX(CATALOG_POINTS,MATCH(A118,CATALOG_TASK,0)),"")))</f>
        <v/>
      </c>
    </row>
    <row r="119" ht="15.0" customHeight="1">
      <c r="A119" s="4"/>
      <c r="B119" s="4"/>
      <c r="C119" s="41" t="str">
        <f t="array" ref="C119">IF(A119="","",IF(IFERROR(INDEX(CATALOG_POINTS,MATCH(A119,CATALOG_TASK,0)),"")="",IF(MAX(IF(IFERROR(FIND(CATALOG_BASE,A119),0)=1,CATALOG_POINTS,0))=0,OTHER_POINTS,MAX(IF(IFERROR(FIND(CATALOG_BASE,A119),0)=1,CATALOG_POINTS,0))),IFERROR(INDEX(CATALOG_POINTS,MATCH(A119,CATALOG_TASK,0)),"")))</f>
        <v/>
      </c>
    </row>
    <row r="120" ht="15.0" customHeight="1">
      <c r="A120" s="4"/>
      <c r="B120" s="4"/>
      <c r="C120" s="41" t="str">
        <f t="array" ref="C120">IF(A120="","",IF(IFERROR(INDEX(CATALOG_POINTS,MATCH(A120,CATALOG_TASK,0)),"")="",IF(MAX(IF(IFERROR(FIND(CATALOG_BASE,A120),0)=1,CATALOG_POINTS,0))=0,OTHER_POINTS,MAX(IF(IFERROR(FIND(CATALOG_BASE,A120),0)=1,CATALOG_POINTS,0))),IFERROR(INDEX(CATALOG_POINTS,MATCH(A120,CATALOG_TASK,0)),"")))</f>
        <v/>
      </c>
    </row>
    <row r="121" ht="15.0" customHeight="1">
      <c r="A121" s="4"/>
      <c r="B121" s="4"/>
      <c r="C121" s="41" t="str">
        <f t="array" ref="C121">IF(A121="","",IF(IFERROR(INDEX(CATALOG_POINTS,MATCH(A121,CATALOG_TASK,0)),"")="",IF(MAX(IF(IFERROR(FIND(CATALOG_BASE,A121),0)=1,CATALOG_POINTS,0))=0,OTHER_POINTS,MAX(IF(IFERROR(FIND(CATALOG_BASE,A121),0)=1,CATALOG_POINTS,0))),IFERROR(INDEX(CATALOG_POINTS,MATCH(A121,CATALOG_TASK,0)),"")))</f>
        <v/>
      </c>
    </row>
    <row r="122" ht="15.0" customHeight="1">
      <c r="A122" s="4"/>
      <c r="B122" s="4"/>
      <c r="C122" s="41" t="str">
        <f t="array" ref="C122">IF(A122="","",IF(IFERROR(INDEX(CATALOG_POINTS,MATCH(A122,CATALOG_TASK,0)),"")="",IF(MAX(IF(IFERROR(FIND(CATALOG_BASE,A122),0)=1,CATALOG_POINTS,0))=0,OTHER_POINTS,MAX(IF(IFERROR(FIND(CATALOG_BASE,A122),0)=1,CATALOG_POINTS,0))),IFERROR(INDEX(CATALOG_POINTS,MATCH(A122,CATALOG_TASK,0)),"")))</f>
        <v/>
      </c>
    </row>
    <row r="123" ht="15.0" customHeight="1">
      <c r="A123" s="4"/>
      <c r="B123" s="4"/>
      <c r="C123" s="41" t="str">
        <f t="array" ref="C123">IF(A123="","",IF(IFERROR(INDEX(CATALOG_POINTS,MATCH(A123,CATALOG_TASK,0)),"")="",IF(MAX(IF(IFERROR(FIND(CATALOG_BASE,A123),0)=1,CATALOG_POINTS,0))=0,OTHER_POINTS,MAX(IF(IFERROR(FIND(CATALOG_BASE,A123),0)=1,CATALOG_POINTS,0))),IFERROR(INDEX(CATALOG_POINTS,MATCH(A123,CATALOG_TASK,0)),"")))</f>
        <v/>
      </c>
    </row>
    <row r="124" ht="15.0" customHeight="1">
      <c r="A124" s="4"/>
      <c r="B124" s="4"/>
      <c r="C124" s="41" t="str">
        <f t="array" ref="C124">IF(A124="","",IF(IFERROR(INDEX(CATALOG_POINTS,MATCH(A124,CATALOG_TASK,0)),"")="",IF(MAX(IF(IFERROR(FIND(CATALOG_BASE,A124),0)=1,CATALOG_POINTS,0))=0,OTHER_POINTS,MAX(IF(IFERROR(FIND(CATALOG_BASE,A124),0)=1,CATALOG_POINTS,0))),IFERROR(INDEX(CATALOG_POINTS,MATCH(A124,CATALOG_TASK,0)),"")))</f>
        <v/>
      </c>
    </row>
    <row r="125" ht="15.0" customHeight="1">
      <c r="A125" s="4"/>
      <c r="B125" s="4"/>
      <c r="C125" s="41" t="str">
        <f t="array" ref="C125">IF(A125="","",IF(IFERROR(INDEX(CATALOG_POINTS,MATCH(A125,CATALOG_TASK,0)),"")="",IF(MAX(IF(IFERROR(FIND(CATALOG_BASE,A125),0)=1,CATALOG_POINTS,0))=0,OTHER_POINTS,MAX(IF(IFERROR(FIND(CATALOG_BASE,A125),0)=1,CATALOG_POINTS,0))),IFERROR(INDEX(CATALOG_POINTS,MATCH(A125,CATALOG_TASK,0)),"")))</f>
        <v/>
      </c>
    </row>
    <row r="126" ht="15.0" customHeight="1">
      <c r="A126" s="4"/>
      <c r="B126" s="4"/>
      <c r="C126" s="41" t="str">
        <f t="array" ref="C126">IF(A126="","",IF(IFERROR(INDEX(CATALOG_POINTS,MATCH(A126,CATALOG_TASK,0)),"")="",IF(MAX(IF(IFERROR(FIND(CATALOG_BASE,A126),0)=1,CATALOG_POINTS,0))=0,OTHER_POINTS,MAX(IF(IFERROR(FIND(CATALOG_BASE,A126),0)=1,CATALOG_POINTS,0))),IFERROR(INDEX(CATALOG_POINTS,MATCH(A126,CATALOG_TASK,0)),"")))</f>
        <v/>
      </c>
    </row>
    <row r="127" ht="15.0" customHeight="1">
      <c r="A127" s="4"/>
      <c r="B127" s="4"/>
      <c r="C127" s="41" t="str">
        <f t="array" ref="C127">IF(A127="","",IF(IFERROR(INDEX(CATALOG_POINTS,MATCH(A127,CATALOG_TASK,0)),"")="",IF(MAX(IF(IFERROR(FIND(CATALOG_BASE,A127),0)=1,CATALOG_POINTS,0))=0,OTHER_POINTS,MAX(IF(IFERROR(FIND(CATALOG_BASE,A127),0)=1,CATALOG_POINTS,0))),IFERROR(INDEX(CATALOG_POINTS,MATCH(A127,CATALOG_TASK,0)),"")))</f>
        <v/>
      </c>
    </row>
    <row r="128" ht="15.0" customHeight="1">
      <c r="A128" s="4"/>
      <c r="B128" s="4"/>
      <c r="C128" s="41" t="str">
        <f t="array" ref="C128">IF(A128="","",IF(IFERROR(INDEX(CATALOG_POINTS,MATCH(A128,CATALOG_TASK,0)),"")="",IF(MAX(IF(IFERROR(FIND(CATALOG_BASE,A128),0)=1,CATALOG_POINTS,0))=0,OTHER_POINTS,MAX(IF(IFERROR(FIND(CATALOG_BASE,A128),0)=1,CATALOG_POINTS,0))),IFERROR(INDEX(CATALOG_POINTS,MATCH(A128,CATALOG_TASK,0)),"")))</f>
        <v/>
      </c>
    </row>
    <row r="129" ht="15.0" customHeight="1">
      <c r="A129" s="4"/>
      <c r="B129" s="4"/>
      <c r="C129" s="41" t="str">
        <f t="array" ref="C129">IF(A129="","",IF(IFERROR(INDEX(CATALOG_POINTS,MATCH(A129,CATALOG_TASK,0)),"")="",IF(MAX(IF(IFERROR(FIND(CATALOG_BASE,A129),0)=1,CATALOG_POINTS,0))=0,OTHER_POINTS,MAX(IF(IFERROR(FIND(CATALOG_BASE,A129),0)=1,CATALOG_POINTS,0))),IFERROR(INDEX(CATALOG_POINTS,MATCH(A129,CATALOG_TASK,0)),"")))</f>
        <v/>
      </c>
    </row>
    <row r="130" ht="15.0" customHeight="1">
      <c r="A130" s="4"/>
      <c r="B130" s="4"/>
      <c r="C130" s="41" t="str">
        <f t="array" ref="C130">IF(A130="","",IF(IFERROR(INDEX(CATALOG_POINTS,MATCH(A130,CATALOG_TASK,0)),"")="",IF(MAX(IF(IFERROR(FIND(CATALOG_BASE,A130),0)=1,CATALOG_POINTS,0))=0,OTHER_POINTS,MAX(IF(IFERROR(FIND(CATALOG_BASE,A130),0)=1,CATALOG_POINTS,0))),IFERROR(INDEX(CATALOG_POINTS,MATCH(A130,CATALOG_TASK,0)),"")))</f>
        <v/>
      </c>
    </row>
    <row r="131" ht="15.0" customHeight="1">
      <c r="A131" s="4"/>
      <c r="B131" s="4"/>
      <c r="C131" s="41" t="str">
        <f t="array" ref="C131">IF(A131="","",IF(IFERROR(INDEX(CATALOG_POINTS,MATCH(A131,CATALOG_TASK,0)),"")="",IF(MAX(IF(IFERROR(FIND(CATALOG_BASE,A131),0)=1,CATALOG_POINTS,0))=0,OTHER_POINTS,MAX(IF(IFERROR(FIND(CATALOG_BASE,A131),0)=1,CATALOG_POINTS,0))),IFERROR(INDEX(CATALOG_POINTS,MATCH(A131,CATALOG_TASK,0)),"")))</f>
        <v/>
      </c>
    </row>
    <row r="132" ht="15.0" customHeight="1">
      <c r="A132" s="4"/>
      <c r="B132" s="4"/>
      <c r="C132" s="41" t="str">
        <f t="array" ref="C132">IF(A132="","",IF(IFERROR(INDEX(CATALOG_POINTS,MATCH(A132,CATALOG_TASK,0)),"")="",IF(MAX(IF(IFERROR(FIND(CATALOG_BASE,A132),0)=1,CATALOG_POINTS,0))=0,OTHER_POINTS,MAX(IF(IFERROR(FIND(CATALOG_BASE,A132),0)=1,CATALOG_POINTS,0))),IFERROR(INDEX(CATALOG_POINTS,MATCH(A132,CATALOG_TASK,0)),"")))</f>
        <v/>
      </c>
    </row>
    <row r="133" ht="15.0" customHeight="1">
      <c r="A133" s="4"/>
      <c r="B133" s="4"/>
      <c r="C133" s="41" t="str">
        <f t="array" ref="C133">IF(A133="","",IF(IFERROR(INDEX(CATALOG_POINTS,MATCH(A133,CATALOG_TASK,0)),"")="",IF(MAX(IF(IFERROR(FIND(CATALOG_BASE,A133),0)=1,CATALOG_POINTS,0))=0,OTHER_POINTS,MAX(IF(IFERROR(FIND(CATALOG_BASE,A133),0)=1,CATALOG_POINTS,0))),IFERROR(INDEX(CATALOG_POINTS,MATCH(A133,CATALOG_TASK,0)),"")))</f>
        <v/>
      </c>
    </row>
    <row r="134" ht="15.0" customHeight="1">
      <c r="A134" s="4"/>
      <c r="B134" s="4"/>
      <c r="C134" s="41" t="str">
        <f t="array" ref="C134">IF(A134="","",IF(IFERROR(INDEX(CATALOG_POINTS,MATCH(A134,CATALOG_TASK,0)),"")="",IF(MAX(IF(IFERROR(FIND(CATALOG_BASE,A134),0)=1,CATALOG_POINTS,0))=0,OTHER_POINTS,MAX(IF(IFERROR(FIND(CATALOG_BASE,A134),0)=1,CATALOG_POINTS,0))),IFERROR(INDEX(CATALOG_POINTS,MATCH(A134,CATALOG_TASK,0)),"")))</f>
        <v/>
      </c>
    </row>
    <row r="135" ht="15.0" customHeight="1">
      <c r="A135" s="4"/>
      <c r="B135" s="4"/>
      <c r="C135" s="41" t="str">
        <f t="array" ref="C135">IF(A135="","",IF(IFERROR(INDEX(CATALOG_POINTS,MATCH(A135,CATALOG_TASK,0)),"")="",IF(MAX(IF(IFERROR(FIND(CATALOG_BASE,A135),0)=1,CATALOG_POINTS,0))=0,OTHER_POINTS,MAX(IF(IFERROR(FIND(CATALOG_BASE,A135),0)=1,CATALOG_POINTS,0))),IFERROR(INDEX(CATALOG_POINTS,MATCH(A135,CATALOG_TASK,0)),"")))</f>
        <v/>
      </c>
    </row>
    <row r="136" ht="15.0" customHeight="1">
      <c r="A136" s="4"/>
      <c r="B136" s="4"/>
      <c r="C136" s="41" t="str">
        <f t="array" ref="C136">IF(A136="","",IF(IFERROR(INDEX(CATALOG_POINTS,MATCH(A136,CATALOG_TASK,0)),"")="",IF(MAX(IF(IFERROR(FIND(CATALOG_BASE,A136),0)=1,CATALOG_POINTS,0))=0,OTHER_POINTS,MAX(IF(IFERROR(FIND(CATALOG_BASE,A136),0)=1,CATALOG_POINTS,0))),IFERROR(INDEX(CATALOG_POINTS,MATCH(A136,CATALOG_TASK,0)),"")))</f>
        <v/>
      </c>
    </row>
    <row r="137" ht="15.0" customHeight="1">
      <c r="A137" s="4"/>
      <c r="B137" s="4"/>
      <c r="C137" s="41" t="str">
        <f t="array" ref="C137">IF(A137="","",IF(IFERROR(INDEX(CATALOG_POINTS,MATCH(A137,CATALOG_TASK,0)),"")="",IF(MAX(IF(IFERROR(FIND(CATALOG_BASE,A137),0)=1,CATALOG_POINTS,0))=0,OTHER_POINTS,MAX(IF(IFERROR(FIND(CATALOG_BASE,A137),0)=1,CATALOG_POINTS,0))),IFERROR(INDEX(CATALOG_POINTS,MATCH(A137,CATALOG_TASK,0)),"")))</f>
        <v/>
      </c>
    </row>
    <row r="138" ht="15.0" customHeight="1">
      <c r="A138" s="4"/>
      <c r="B138" s="4"/>
      <c r="C138" s="41" t="str">
        <f t="array" ref="C138">IF(A138="","",IF(IFERROR(INDEX(CATALOG_POINTS,MATCH(A138,CATALOG_TASK,0)),"")="",IF(MAX(IF(IFERROR(FIND(CATALOG_BASE,A138),0)=1,CATALOG_POINTS,0))=0,OTHER_POINTS,MAX(IF(IFERROR(FIND(CATALOG_BASE,A138),0)=1,CATALOG_POINTS,0))),IFERROR(INDEX(CATALOG_POINTS,MATCH(A138,CATALOG_TASK,0)),"")))</f>
        <v/>
      </c>
    </row>
    <row r="139" ht="15.0" customHeight="1">
      <c r="A139" s="4"/>
      <c r="B139" s="4"/>
      <c r="C139" s="41" t="str">
        <f t="array" ref="C139">IF(A139="","",IF(IFERROR(INDEX(CATALOG_POINTS,MATCH(A139,CATALOG_TASK,0)),"")="",IF(MAX(IF(IFERROR(FIND(CATALOG_BASE,A139),0)=1,CATALOG_POINTS,0))=0,OTHER_POINTS,MAX(IF(IFERROR(FIND(CATALOG_BASE,A139),0)=1,CATALOG_POINTS,0))),IFERROR(INDEX(CATALOG_POINTS,MATCH(A139,CATALOG_TASK,0)),"")))</f>
        <v/>
      </c>
    </row>
    <row r="140" ht="15.0" customHeight="1">
      <c r="A140" s="4"/>
      <c r="B140" s="4"/>
      <c r="C140" s="41" t="str">
        <f t="array" ref="C140">IF(A140="","",IF(IFERROR(INDEX(CATALOG_POINTS,MATCH(A140,CATALOG_TASK,0)),"")="",IF(MAX(IF(IFERROR(FIND(CATALOG_BASE,A140),0)=1,CATALOG_POINTS,0))=0,OTHER_POINTS,MAX(IF(IFERROR(FIND(CATALOG_BASE,A140),0)=1,CATALOG_POINTS,0))),IFERROR(INDEX(CATALOG_POINTS,MATCH(A140,CATALOG_TASK,0)),"")))</f>
        <v/>
      </c>
    </row>
    <row r="141" ht="15.0" customHeight="1">
      <c r="A141" s="4"/>
      <c r="B141" s="4"/>
      <c r="C141" s="41" t="str">
        <f t="array" ref="C141">IF(A141="","",IF(IFERROR(INDEX(CATALOG_POINTS,MATCH(A141,CATALOG_TASK,0)),"")="",IF(MAX(IF(IFERROR(FIND(CATALOG_BASE,A141),0)=1,CATALOG_POINTS,0))=0,OTHER_POINTS,MAX(IF(IFERROR(FIND(CATALOG_BASE,A141),0)=1,CATALOG_POINTS,0))),IFERROR(INDEX(CATALOG_POINTS,MATCH(A141,CATALOG_TASK,0)),"")))</f>
        <v/>
      </c>
    </row>
    <row r="142" ht="15.0" customHeight="1">
      <c r="A142" s="4"/>
      <c r="B142" s="4"/>
      <c r="C142" s="41" t="str">
        <f t="array" ref="C142">IF(A142="","",IF(IFERROR(INDEX(CATALOG_POINTS,MATCH(A142,CATALOG_TASK,0)),"")="",IF(MAX(IF(IFERROR(FIND(CATALOG_BASE,A142),0)=1,CATALOG_POINTS,0))=0,OTHER_POINTS,MAX(IF(IFERROR(FIND(CATALOG_BASE,A142),0)=1,CATALOG_POINTS,0))),IFERROR(INDEX(CATALOG_POINTS,MATCH(A142,CATALOG_TASK,0)),"")))</f>
        <v/>
      </c>
    </row>
    <row r="143" ht="15.0" customHeight="1">
      <c r="A143" s="4"/>
      <c r="B143" s="4"/>
      <c r="C143" s="41" t="str">
        <f t="array" ref="C143">IF(A143="","",IF(IFERROR(INDEX(CATALOG_POINTS,MATCH(A143,CATALOG_TASK,0)),"")="",IF(MAX(IF(IFERROR(FIND(CATALOG_BASE,A143),0)=1,CATALOG_POINTS,0))=0,OTHER_POINTS,MAX(IF(IFERROR(FIND(CATALOG_BASE,A143),0)=1,CATALOG_POINTS,0))),IFERROR(INDEX(CATALOG_POINTS,MATCH(A143,CATALOG_TASK,0)),"")))</f>
        <v/>
      </c>
    </row>
    <row r="144" ht="15.0" customHeight="1">
      <c r="A144" s="4"/>
      <c r="B144" s="4"/>
      <c r="C144" s="41" t="str">
        <f t="array" ref="C144">IF(A144="","",IF(IFERROR(INDEX(CATALOG_POINTS,MATCH(A144,CATALOG_TASK,0)),"")="",IF(MAX(IF(IFERROR(FIND(CATALOG_BASE,A144),0)=1,CATALOG_POINTS,0))=0,OTHER_POINTS,MAX(IF(IFERROR(FIND(CATALOG_BASE,A144),0)=1,CATALOG_POINTS,0))),IFERROR(INDEX(CATALOG_POINTS,MATCH(A144,CATALOG_TASK,0)),"")))</f>
        <v/>
      </c>
    </row>
    <row r="145" ht="15.0" customHeight="1">
      <c r="A145" s="4"/>
      <c r="B145" s="4"/>
      <c r="C145" s="41" t="str">
        <f t="array" ref="C145">IF(A145="","",IF(IFERROR(INDEX(CATALOG_POINTS,MATCH(A145,CATALOG_TASK,0)),"")="",IF(MAX(IF(IFERROR(FIND(CATALOG_BASE,A145),0)=1,CATALOG_POINTS,0))=0,OTHER_POINTS,MAX(IF(IFERROR(FIND(CATALOG_BASE,A145),0)=1,CATALOG_POINTS,0))),IFERROR(INDEX(CATALOG_POINTS,MATCH(A145,CATALOG_TASK,0)),"")))</f>
        <v/>
      </c>
    </row>
    <row r="146" ht="15.0" customHeight="1">
      <c r="A146" s="4"/>
      <c r="B146" s="4"/>
      <c r="C146" s="41" t="str">
        <f t="array" ref="C146">IF(A146="","",IF(IFERROR(INDEX(CATALOG_POINTS,MATCH(A146,CATALOG_TASK,0)),"")="",IF(MAX(IF(IFERROR(FIND(CATALOG_BASE,A146),0)=1,CATALOG_POINTS,0))=0,OTHER_POINTS,MAX(IF(IFERROR(FIND(CATALOG_BASE,A146),0)=1,CATALOG_POINTS,0))),IFERROR(INDEX(CATALOG_POINTS,MATCH(A146,CATALOG_TASK,0)),"")))</f>
        <v/>
      </c>
    </row>
    <row r="147" ht="15.0" customHeight="1">
      <c r="A147" s="4"/>
      <c r="B147" s="4"/>
      <c r="C147" s="41" t="str">
        <f t="array" ref="C147">IF(A147="","",IF(IFERROR(INDEX(CATALOG_POINTS,MATCH(A147,CATALOG_TASK,0)),"")="",IF(MAX(IF(IFERROR(FIND(CATALOG_BASE,A147),0)=1,CATALOG_POINTS,0))=0,OTHER_POINTS,MAX(IF(IFERROR(FIND(CATALOG_BASE,A147),0)=1,CATALOG_POINTS,0))),IFERROR(INDEX(CATALOG_POINTS,MATCH(A147,CATALOG_TASK,0)),"")))</f>
        <v/>
      </c>
    </row>
    <row r="148" ht="15.0" customHeight="1">
      <c r="A148" s="4"/>
      <c r="B148" s="4"/>
      <c r="C148" s="41" t="str">
        <f t="array" ref="C148">IF(A148="","",IF(IFERROR(INDEX(CATALOG_POINTS,MATCH(A148,CATALOG_TASK,0)),"")="",IF(MAX(IF(IFERROR(FIND(CATALOG_BASE,A148),0)=1,CATALOG_POINTS,0))=0,OTHER_POINTS,MAX(IF(IFERROR(FIND(CATALOG_BASE,A148),0)=1,CATALOG_POINTS,0))),IFERROR(INDEX(CATALOG_POINTS,MATCH(A148,CATALOG_TASK,0)),"")))</f>
        <v/>
      </c>
    </row>
    <row r="149" ht="15.0" customHeight="1">
      <c r="A149" s="4"/>
      <c r="B149" s="4"/>
      <c r="C149" s="41" t="str">
        <f t="array" ref="C149">IF(A149="","",IF(IFERROR(INDEX(CATALOG_POINTS,MATCH(A149,CATALOG_TASK,0)),"")="",IF(MAX(IF(IFERROR(FIND(CATALOG_BASE,A149),0)=1,CATALOG_POINTS,0))=0,OTHER_POINTS,MAX(IF(IFERROR(FIND(CATALOG_BASE,A149),0)=1,CATALOG_POINTS,0))),IFERROR(INDEX(CATALOG_POINTS,MATCH(A149,CATALOG_TASK,0)),"")))</f>
        <v/>
      </c>
    </row>
    <row r="150" ht="15.0" customHeight="1">
      <c r="A150" s="4"/>
      <c r="B150" s="4"/>
      <c r="C150" s="41" t="str">
        <f t="array" ref="C150">IF(A150="","",IF(IFERROR(INDEX(CATALOG_POINTS,MATCH(A150,CATALOG_TASK,0)),"")="",IF(MAX(IF(IFERROR(FIND(CATALOG_BASE,A150),0)=1,CATALOG_POINTS,0))=0,OTHER_POINTS,MAX(IF(IFERROR(FIND(CATALOG_BASE,A150),0)=1,CATALOG_POINTS,0))),IFERROR(INDEX(CATALOG_POINTS,MATCH(A150,CATALOG_TASK,0)),"")))</f>
        <v/>
      </c>
    </row>
    <row r="151" ht="15.0" customHeight="1">
      <c r="A151" s="4"/>
      <c r="B151" s="4"/>
      <c r="C151" s="41" t="str">
        <f t="array" ref="C151">IF(A151="","",IF(IFERROR(INDEX(CATALOG_POINTS,MATCH(A151,CATALOG_TASK,0)),"")="",IF(MAX(IF(IFERROR(FIND(CATALOG_BASE,A151),0)=1,CATALOG_POINTS,0))=0,OTHER_POINTS,MAX(IF(IFERROR(FIND(CATALOG_BASE,A151),0)=1,CATALOG_POINTS,0))),IFERROR(INDEX(CATALOG_POINTS,MATCH(A151,CATALOG_TASK,0)),"")))</f>
        <v/>
      </c>
    </row>
    <row r="152" ht="15.0" customHeight="1">
      <c r="A152" s="4"/>
      <c r="B152" s="4"/>
      <c r="C152" s="41" t="str">
        <f t="array" ref="C152">IF(A152="","",IF(IFERROR(INDEX(CATALOG_POINTS,MATCH(A152,CATALOG_TASK,0)),"")="",IF(MAX(IF(IFERROR(FIND(CATALOG_BASE,A152),0)=1,CATALOG_POINTS,0))=0,OTHER_POINTS,MAX(IF(IFERROR(FIND(CATALOG_BASE,A152),0)=1,CATALOG_POINTS,0))),IFERROR(INDEX(CATALOG_POINTS,MATCH(A152,CATALOG_TASK,0)),"")))</f>
        <v/>
      </c>
    </row>
    <row r="153" ht="15.0" customHeight="1">
      <c r="A153" s="4"/>
      <c r="B153" s="4"/>
      <c r="C153" s="41" t="str">
        <f t="array" ref="C153">IF(A153="","",IF(IFERROR(INDEX(CATALOG_POINTS,MATCH(A153,CATALOG_TASK,0)),"")="",IF(MAX(IF(IFERROR(FIND(CATALOG_BASE,A153),0)=1,CATALOG_POINTS,0))=0,OTHER_POINTS,MAX(IF(IFERROR(FIND(CATALOG_BASE,A153),0)=1,CATALOG_POINTS,0))),IFERROR(INDEX(CATALOG_POINTS,MATCH(A153,CATALOG_TASK,0)),"")))</f>
        <v/>
      </c>
    </row>
    <row r="154" ht="15.0" customHeight="1">
      <c r="A154" s="4"/>
      <c r="B154" s="4"/>
      <c r="C154" s="41" t="str">
        <f t="array" ref="C154">IF(A154="","",IF(IFERROR(INDEX(CATALOG_POINTS,MATCH(A154,CATALOG_TASK,0)),"")="",IF(MAX(IF(IFERROR(FIND(CATALOG_BASE,A154),0)=1,CATALOG_POINTS,0))=0,OTHER_POINTS,MAX(IF(IFERROR(FIND(CATALOG_BASE,A154),0)=1,CATALOG_POINTS,0))),IFERROR(INDEX(CATALOG_POINTS,MATCH(A154,CATALOG_TASK,0)),"")))</f>
        <v/>
      </c>
    </row>
    <row r="155" ht="15.0" customHeight="1">
      <c r="A155" s="4"/>
      <c r="B155" s="4"/>
      <c r="C155" s="41" t="str">
        <f t="array" ref="C155">IF(A155="","",IF(IFERROR(INDEX(CATALOG_POINTS,MATCH(A155,CATALOG_TASK,0)),"")="",IF(MAX(IF(IFERROR(FIND(CATALOG_BASE,A155),0)=1,CATALOG_POINTS,0))=0,OTHER_POINTS,MAX(IF(IFERROR(FIND(CATALOG_BASE,A155),0)=1,CATALOG_POINTS,0))),IFERROR(INDEX(CATALOG_POINTS,MATCH(A155,CATALOG_TASK,0)),"")))</f>
        <v/>
      </c>
    </row>
    <row r="156" ht="15.0" customHeight="1">
      <c r="A156" s="4"/>
      <c r="B156" s="4"/>
      <c r="C156" s="41" t="str">
        <f t="array" ref="C156">IF(A156="","",IF(IFERROR(INDEX(CATALOG_POINTS,MATCH(A156,CATALOG_TASK,0)),"")="",IF(MAX(IF(IFERROR(FIND(CATALOG_BASE,A156),0)=1,CATALOG_POINTS,0))=0,OTHER_POINTS,MAX(IF(IFERROR(FIND(CATALOG_BASE,A156),0)=1,CATALOG_POINTS,0))),IFERROR(INDEX(CATALOG_POINTS,MATCH(A156,CATALOG_TASK,0)),"")))</f>
        <v/>
      </c>
    </row>
    <row r="157" ht="15.0" customHeight="1">
      <c r="A157" s="4"/>
      <c r="B157" s="4"/>
      <c r="C157" s="41" t="str">
        <f t="array" ref="C157">IF(A157="","",IF(IFERROR(INDEX(CATALOG_POINTS,MATCH(A157,CATALOG_TASK,0)),"")="",IF(MAX(IF(IFERROR(FIND(CATALOG_BASE,A157),0)=1,CATALOG_POINTS,0))=0,OTHER_POINTS,MAX(IF(IFERROR(FIND(CATALOG_BASE,A157),0)=1,CATALOG_POINTS,0))),IFERROR(INDEX(CATALOG_POINTS,MATCH(A157,CATALOG_TASK,0)),"")))</f>
        <v/>
      </c>
    </row>
    <row r="158" ht="15.0" customHeight="1">
      <c r="A158" s="4"/>
      <c r="B158" s="4"/>
      <c r="C158" s="41" t="str">
        <f t="array" ref="C158">IF(A158="","",IF(IFERROR(INDEX(CATALOG_POINTS,MATCH(A158,CATALOG_TASK,0)),"")="",IF(MAX(IF(IFERROR(FIND(CATALOG_BASE,A158),0)=1,CATALOG_POINTS,0))=0,OTHER_POINTS,MAX(IF(IFERROR(FIND(CATALOG_BASE,A158),0)=1,CATALOG_POINTS,0))),IFERROR(INDEX(CATALOG_POINTS,MATCH(A158,CATALOG_TASK,0)),"")))</f>
        <v/>
      </c>
    </row>
    <row r="159" ht="15.0" customHeight="1">
      <c r="A159" s="4"/>
      <c r="B159" s="4"/>
      <c r="C159" s="41" t="str">
        <f t="array" ref="C159">IF(A159="","",IF(IFERROR(INDEX(CATALOG_POINTS,MATCH(A159,CATALOG_TASK,0)),"")="",IF(MAX(IF(IFERROR(FIND(CATALOG_BASE,A159),0)=1,CATALOG_POINTS,0))=0,OTHER_POINTS,MAX(IF(IFERROR(FIND(CATALOG_BASE,A159),0)=1,CATALOG_POINTS,0))),IFERROR(INDEX(CATALOG_POINTS,MATCH(A159,CATALOG_TASK,0)),"")))</f>
        <v/>
      </c>
    </row>
    <row r="160" ht="15.0" customHeight="1">
      <c r="A160" s="4"/>
      <c r="B160" s="4"/>
      <c r="C160" s="41" t="str">
        <f t="array" ref="C160">IF(A160="","",IF(IFERROR(INDEX(CATALOG_POINTS,MATCH(A160,CATALOG_TASK,0)),"")="",IF(MAX(IF(IFERROR(FIND(CATALOG_BASE,A160),0)=1,CATALOG_POINTS,0))=0,OTHER_POINTS,MAX(IF(IFERROR(FIND(CATALOG_BASE,A160),0)=1,CATALOG_POINTS,0))),IFERROR(INDEX(CATALOG_POINTS,MATCH(A160,CATALOG_TASK,0)),"")))</f>
        <v/>
      </c>
    </row>
    <row r="161" ht="15.0" customHeight="1">
      <c r="A161" s="4"/>
      <c r="B161" s="4"/>
      <c r="C161" s="41" t="str">
        <f t="array" ref="C161">IF(A161="","",IF(IFERROR(INDEX(CATALOG_POINTS,MATCH(A161,CATALOG_TASK,0)),"")="",IF(MAX(IF(IFERROR(FIND(CATALOG_BASE,A161),0)=1,CATALOG_POINTS,0))=0,OTHER_POINTS,MAX(IF(IFERROR(FIND(CATALOG_BASE,A161),0)=1,CATALOG_POINTS,0))),IFERROR(INDEX(CATALOG_POINTS,MATCH(A161,CATALOG_TASK,0)),"")))</f>
        <v/>
      </c>
    </row>
    <row r="162" ht="15.0" customHeight="1">
      <c r="A162" s="4"/>
      <c r="B162" s="4"/>
      <c r="C162" s="41" t="str">
        <f t="array" ref="C162">IF(A162="","",IF(IFERROR(INDEX(CATALOG_POINTS,MATCH(A162,CATALOG_TASK,0)),"")="",IF(MAX(IF(IFERROR(FIND(CATALOG_BASE,A162),0)=1,CATALOG_POINTS,0))=0,OTHER_POINTS,MAX(IF(IFERROR(FIND(CATALOG_BASE,A162),0)=1,CATALOG_POINTS,0))),IFERROR(INDEX(CATALOG_POINTS,MATCH(A162,CATALOG_TASK,0)),"")))</f>
        <v/>
      </c>
    </row>
    <row r="163" ht="15.0" customHeight="1">
      <c r="A163" s="4"/>
      <c r="B163" s="4"/>
      <c r="C163" s="41" t="str">
        <f t="array" ref="C163">IF(A163="","",IF(IFERROR(INDEX(CATALOG_POINTS,MATCH(A163,CATALOG_TASK,0)),"")="",IF(MAX(IF(IFERROR(FIND(CATALOG_BASE,A163),0)=1,CATALOG_POINTS,0))=0,OTHER_POINTS,MAX(IF(IFERROR(FIND(CATALOG_BASE,A163),0)=1,CATALOG_POINTS,0))),IFERROR(INDEX(CATALOG_POINTS,MATCH(A163,CATALOG_TASK,0)),"")))</f>
        <v/>
      </c>
    </row>
    <row r="164" ht="15.0" customHeight="1">
      <c r="A164" s="4"/>
      <c r="B164" s="4"/>
      <c r="C164" s="41" t="str">
        <f t="array" ref="C164">IF(A164="","",IF(IFERROR(INDEX(CATALOG_POINTS,MATCH(A164,CATALOG_TASK,0)),"")="",IF(MAX(IF(IFERROR(FIND(CATALOG_BASE,A164),0)=1,CATALOG_POINTS,0))=0,OTHER_POINTS,MAX(IF(IFERROR(FIND(CATALOG_BASE,A164),0)=1,CATALOG_POINTS,0))),IFERROR(INDEX(CATALOG_POINTS,MATCH(A164,CATALOG_TASK,0)),"")))</f>
        <v/>
      </c>
    </row>
    <row r="165" ht="15.0" customHeight="1">
      <c r="A165" s="4"/>
      <c r="B165" s="4"/>
      <c r="C165" s="41" t="str">
        <f t="array" ref="C165">IF(A165="","",IF(IFERROR(INDEX(CATALOG_POINTS,MATCH(A165,CATALOG_TASK,0)),"")="",IF(MAX(IF(IFERROR(FIND(CATALOG_BASE,A165),0)=1,CATALOG_POINTS,0))=0,OTHER_POINTS,MAX(IF(IFERROR(FIND(CATALOG_BASE,A165),0)=1,CATALOG_POINTS,0))),IFERROR(INDEX(CATALOG_POINTS,MATCH(A165,CATALOG_TASK,0)),"")))</f>
        <v/>
      </c>
    </row>
    <row r="166" ht="15.0" customHeight="1">
      <c r="A166" s="4"/>
      <c r="B166" s="4"/>
      <c r="C166" s="41" t="str">
        <f t="array" ref="C166">IF(A166="","",IF(IFERROR(INDEX(CATALOG_POINTS,MATCH(A166,CATALOG_TASK,0)),"")="",IF(MAX(IF(IFERROR(FIND(CATALOG_BASE,A166),0)=1,CATALOG_POINTS,0))=0,OTHER_POINTS,MAX(IF(IFERROR(FIND(CATALOG_BASE,A166),0)=1,CATALOG_POINTS,0))),IFERROR(INDEX(CATALOG_POINTS,MATCH(A166,CATALOG_TASK,0)),"")))</f>
        <v/>
      </c>
    </row>
    <row r="167" ht="15.0" customHeight="1">
      <c r="A167" s="4"/>
      <c r="B167" s="4"/>
      <c r="C167" s="41" t="str">
        <f t="array" ref="C167">IF(A167="","",IF(IFERROR(INDEX(CATALOG_POINTS,MATCH(A167,CATALOG_TASK,0)),"")="",IF(MAX(IF(IFERROR(FIND(CATALOG_BASE,A167),0)=1,CATALOG_POINTS,0))=0,OTHER_POINTS,MAX(IF(IFERROR(FIND(CATALOG_BASE,A167),0)=1,CATALOG_POINTS,0))),IFERROR(INDEX(CATALOG_POINTS,MATCH(A167,CATALOG_TASK,0)),"")))</f>
        <v/>
      </c>
    </row>
    <row r="168" ht="15.0" customHeight="1">
      <c r="A168" s="4"/>
      <c r="B168" s="4"/>
      <c r="C168" s="41" t="str">
        <f t="array" ref="C168">IF(A168="","",IF(IFERROR(INDEX(CATALOG_POINTS,MATCH(A168,CATALOG_TASK,0)),"")="",IF(MAX(IF(IFERROR(FIND(CATALOG_BASE,A168),0)=1,CATALOG_POINTS,0))=0,OTHER_POINTS,MAX(IF(IFERROR(FIND(CATALOG_BASE,A168),0)=1,CATALOG_POINTS,0))),IFERROR(INDEX(CATALOG_POINTS,MATCH(A168,CATALOG_TASK,0)),"")))</f>
        <v/>
      </c>
    </row>
    <row r="169" ht="15.0" customHeight="1">
      <c r="A169" s="4"/>
      <c r="B169" s="4"/>
      <c r="C169" s="41" t="str">
        <f t="array" ref="C169">IF(A169="","",IF(IFERROR(INDEX(CATALOG_POINTS,MATCH(A169,CATALOG_TASK,0)),"")="",IF(MAX(IF(IFERROR(FIND(CATALOG_BASE,A169),0)=1,CATALOG_POINTS,0))=0,OTHER_POINTS,MAX(IF(IFERROR(FIND(CATALOG_BASE,A169),0)=1,CATALOG_POINTS,0))),IFERROR(INDEX(CATALOG_POINTS,MATCH(A169,CATALOG_TASK,0)),"")))</f>
        <v/>
      </c>
    </row>
    <row r="170" ht="15.0" customHeight="1">
      <c r="A170" s="4"/>
      <c r="B170" s="4"/>
      <c r="C170" s="41" t="str">
        <f t="array" ref="C170">IF(A170="","",IF(IFERROR(INDEX(CATALOG_POINTS,MATCH(A170,CATALOG_TASK,0)),"")="",IF(MAX(IF(IFERROR(FIND(CATALOG_BASE,A170),0)=1,CATALOG_POINTS,0))=0,OTHER_POINTS,MAX(IF(IFERROR(FIND(CATALOG_BASE,A170),0)=1,CATALOG_POINTS,0))),IFERROR(INDEX(CATALOG_POINTS,MATCH(A170,CATALOG_TASK,0)),"")))</f>
        <v/>
      </c>
    </row>
    <row r="171" ht="15.0" customHeight="1">
      <c r="A171" s="4"/>
      <c r="B171" s="4"/>
      <c r="C171" s="41" t="str">
        <f t="array" ref="C171">IF(A171="","",IF(IFERROR(INDEX(CATALOG_POINTS,MATCH(A171,CATALOG_TASK,0)),"")="",IF(MAX(IF(IFERROR(FIND(CATALOG_BASE,A171),0)=1,CATALOG_POINTS,0))=0,OTHER_POINTS,MAX(IF(IFERROR(FIND(CATALOG_BASE,A171),0)=1,CATALOG_POINTS,0))),IFERROR(INDEX(CATALOG_POINTS,MATCH(A171,CATALOG_TASK,0)),"")))</f>
        <v/>
      </c>
    </row>
    <row r="172" ht="15.0" customHeight="1">
      <c r="A172" s="4"/>
      <c r="B172" s="4"/>
      <c r="C172" s="41" t="str">
        <f t="array" ref="C172">IF(A172="","",IF(IFERROR(INDEX(CATALOG_POINTS,MATCH(A172,CATALOG_TASK,0)),"")="",IF(MAX(IF(IFERROR(FIND(CATALOG_BASE,A172),0)=1,CATALOG_POINTS,0))=0,OTHER_POINTS,MAX(IF(IFERROR(FIND(CATALOG_BASE,A172),0)=1,CATALOG_POINTS,0))),IFERROR(INDEX(CATALOG_POINTS,MATCH(A172,CATALOG_TASK,0)),"")))</f>
        <v/>
      </c>
    </row>
    <row r="173" ht="15.0" customHeight="1">
      <c r="A173" s="4"/>
      <c r="B173" s="4"/>
      <c r="C173" s="41" t="str">
        <f t="array" ref="C173">IF(A173="","",IF(IFERROR(INDEX(CATALOG_POINTS,MATCH(A173,CATALOG_TASK,0)),"")="",IF(MAX(IF(IFERROR(FIND(CATALOG_BASE,A173),0)=1,CATALOG_POINTS,0))=0,OTHER_POINTS,MAX(IF(IFERROR(FIND(CATALOG_BASE,A173),0)=1,CATALOG_POINTS,0))),IFERROR(INDEX(CATALOG_POINTS,MATCH(A173,CATALOG_TASK,0)),"")))</f>
        <v/>
      </c>
    </row>
    <row r="174" ht="15.0" customHeight="1">
      <c r="A174" s="4"/>
      <c r="B174" s="4"/>
      <c r="C174" s="41" t="str">
        <f t="array" ref="C174">IF(A174="","",IF(IFERROR(INDEX(CATALOG_POINTS,MATCH(A174,CATALOG_TASK,0)),"")="",IF(MAX(IF(IFERROR(FIND(CATALOG_BASE,A174),0)=1,CATALOG_POINTS,0))=0,OTHER_POINTS,MAX(IF(IFERROR(FIND(CATALOG_BASE,A174),0)=1,CATALOG_POINTS,0))),IFERROR(INDEX(CATALOG_POINTS,MATCH(A174,CATALOG_TASK,0)),"")))</f>
        <v/>
      </c>
    </row>
    <row r="175" ht="15.0" customHeight="1">
      <c r="A175" s="4"/>
      <c r="B175" s="4"/>
      <c r="C175" s="41" t="str">
        <f t="array" ref="C175">IF(A175="","",IF(IFERROR(INDEX(CATALOG_POINTS,MATCH(A175,CATALOG_TASK,0)),"")="",IF(MAX(IF(IFERROR(FIND(CATALOG_BASE,A175),0)=1,CATALOG_POINTS,0))=0,OTHER_POINTS,MAX(IF(IFERROR(FIND(CATALOG_BASE,A175),0)=1,CATALOG_POINTS,0))),IFERROR(INDEX(CATALOG_POINTS,MATCH(A175,CATALOG_TASK,0)),"")))</f>
        <v/>
      </c>
    </row>
    <row r="176" ht="15.0" customHeight="1">
      <c r="A176" s="4"/>
      <c r="B176" s="4"/>
      <c r="C176" s="41" t="str">
        <f t="array" ref="C176">IF(A176="","",IF(IFERROR(INDEX(CATALOG_POINTS,MATCH(A176,CATALOG_TASK,0)),"")="",IF(MAX(IF(IFERROR(FIND(CATALOG_BASE,A176),0)=1,CATALOG_POINTS,0))=0,OTHER_POINTS,MAX(IF(IFERROR(FIND(CATALOG_BASE,A176),0)=1,CATALOG_POINTS,0))),IFERROR(INDEX(CATALOG_POINTS,MATCH(A176,CATALOG_TASK,0)),"")))</f>
        <v/>
      </c>
    </row>
    <row r="177" ht="15.0" customHeight="1">
      <c r="A177" s="4"/>
      <c r="B177" s="4"/>
      <c r="C177" s="41" t="str">
        <f t="array" ref="C177">IF(A177="","",IF(IFERROR(INDEX(CATALOG_POINTS,MATCH(A177,CATALOG_TASK,0)),"")="",IF(MAX(IF(IFERROR(FIND(CATALOG_BASE,A177),0)=1,CATALOG_POINTS,0))=0,OTHER_POINTS,MAX(IF(IFERROR(FIND(CATALOG_BASE,A177),0)=1,CATALOG_POINTS,0))),IFERROR(INDEX(CATALOG_POINTS,MATCH(A177,CATALOG_TASK,0)),"")))</f>
        <v/>
      </c>
    </row>
    <row r="178" ht="15.0" customHeight="1">
      <c r="A178" s="4"/>
      <c r="B178" s="4"/>
      <c r="C178" s="41" t="str">
        <f t="array" ref="C178">IF(A178="","",IF(IFERROR(INDEX(CATALOG_POINTS,MATCH(A178,CATALOG_TASK,0)),"")="",IF(MAX(IF(IFERROR(FIND(CATALOG_BASE,A178),0)=1,CATALOG_POINTS,0))=0,OTHER_POINTS,MAX(IF(IFERROR(FIND(CATALOG_BASE,A178),0)=1,CATALOG_POINTS,0))),IFERROR(INDEX(CATALOG_POINTS,MATCH(A178,CATALOG_TASK,0)),"")))</f>
        <v/>
      </c>
    </row>
    <row r="179" ht="15.0" customHeight="1">
      <c r="A179" s="4"/>
      <c r="B179" s="4"/>
      <c r="C179" s="41" t="str">
        <f t="array" ref="C179">IF(A179="","",IF(IFERROR(INDEX(CATALOG_POINTS,MATCH(A179,CATALOG_TASK,0)),"")="",IF(MAX(IF(IFERROR(FIND(CATALOG_BASE,A179),0)=1,CATALOG_POINTS,0))=0,OTHER_POINTS,MAX(IF(IFERROR(FIND(CATALOG_BASE,A179),0)=1,CATALOG_POINTS,0))),IFERROR(INDEX(CATALOG_POINTS,MATCH(A179,CATALOG_TASK,0)),"")))</f>
        <v/>
      </c>
    </row>
    <row r="180" ht="15.0" customHeight="1">
      <c r="A180" s="4"/>
      <c r="B180" s="4"/>
      <c r="C180" s="41" t="str">
        <f t="array" ref="C180">IF(A180="","",IF(IFERROR(INDEX(CATALOG_POINTS,MATCH(A180,CATALOG_TASK,0)),"")="",IF(MAX(IF(IFERROR(FIND(CATALOG_BASE,A180),0)=1,CATALOG_POINTS,0))=0,OTHER_POINTS,MAX(IF(IFERROR(FIND(CATALOG_BASE,A180),0)=1,CATALOG_POINTS,0))),IFERROR(INDEX(CATALOG_POINTS,MATCH(A180,CATALOG_TASK,0)),"")))</f>
        <v/>
      </c>
    </row>
    <row r="181" ht="15.0" customHeight="1">
      <c r="A181" s="4"/>
      <c r="B181" s="4"/>
      <c r="C181" s="41" t="str">
        <f t="array" ref="C181">IF(A181="","",IF(IFERROR(INDEX(CATALOG_POINTS,MATCH(A181,CATALOG_TASK,0)),"")="",IF(MAX(IF(IFERROR(FIND(CATALOG_BASE,A181),0)=1,CATALOG_POINTS,0))=0,OTHER_POINTS,MAX(IF(IFERROR(FIND(CATALOG_BASE,A181),0)=1,CATALOG_POINTS,0))),IFERROR(INDEX(CATALOG_POINTS,MATCH(A181,CATALOG_TASK,0)),"")))</f>
        <v/>
      </c>
    </row>
    <row r="182" ht="15.0" customHeight="1">
      <c r="A182" s="4"/>
      <c r="B182" s="4"/>
      <c r="C182" s="41" t="str">
        <f t="array" ref="C182">IF(A182="","",IF(IFERROR(INDEX(CATALOG_POINTS,MATCH(A182,CATALOG_TASK,0)),"")="",IF(MAX(IF(IFERROR(FIND(CATALOG_BASE,A182),0)=1,CATALOG_POINTS,0))=0,OTHER_POINTS,MAX(IF(IFERROR(FIND(CATALOG_BASE,A182),0)=1,CATALOG_POINTS,0))),IFERROR(INDEX(CATALOG_POINTS,MATCH(A182,CATALOG_TASK,0)),"")))</f>
        <v/>
      </c>
    </row>
    <row r="183" ht="15.0" customHeight="1">
      <c r="A183" s="4"/>
      <c r="B183" s="4"/>
      <c r="C183" s="41" t="str">
        <f t="array" ref="C183">IF(A183="","",IF(IFERROR(INDEX(CATALOG_POINTS,MATCH(A183,CATALOG_TASK,0)),"")="",IF(MAX(IF(IFERROR(FIND(CATALOG_BASE,A183),0)=1,CATALOG_POINTS,0))=0,OTHER_POINTS,MAX(IF(IFERROR(FIND(CATALOG_BASE,A183),0)=1,CATALOG_POINTS,0))),IFERROR(INDEX(CATALOG_POINTS,MATCH(A183,CATALOG_TASK,0)),"")))</f>
        <v/>
      </c>
    </row>
    <row r="184" ht="15.0" customHeight="1">
      <c r="A184" s="4"/>
      <c r="B184" s="4"/>
      <c r="C184" s="41" t="str">
        <f t="array" ref="C184">IF(A184="","",IF(IFERROR(INDEX(CATALOG_POINTS,MATCH(A184,CATALOG_TASK,0)),"")="",IF(MAX(IF(IFERROR(FIND(CATALOG_BASE,A184),0)=1,CATALOG_POINTS,0))=0,OTHER_POINTS,MAX(IF(IFERROR(FIND(CATALOG_BASE,A184),0)=1,CATALOG_POINTS,0))),IFERROR(INDEX(CATALOG_POINTS,MATCH(A184,CATALOG_TASK,0)),"")))</f>
        <v/>
      </c>
    </row>
    <row r="185" ht="15.0" customHeight="1">
      <c r="A185" s="4"/>
      <c r="B185" s="4"/>
      <c r="C185" s="41" t="str">
        <f t="array" ref="C185">IF(A185="","",IF(IFERROR(INDEX(CATALOG_POINTS,MATCH(A185,CATALOG_TASK,0)),"")="",IF(MAX(IF(IFERROR(FIND(CATALOG_BASE,A185),0)=1,CATALOG_POINTS,0))=0,OTHER_POINTS,MAX(IF(IFERROR(FIND(CATALOG_BASE,A185),0)=1,CATALOG_POINTS,0))),IFERROR(INDEX(CATALOG_POINTS,MATCH(A185,CATALOG_TASK,0)),"")))</f>
        <v/>
      </c>
    </row>
    <row r="186" ht="15.0" customHeight="1">
      <c r="A186" s="4"/>
      <c r="B186" s="4"/>
      <c r="C186" s="41" t="str">
        <f t="array" ref="C186">IF(A186="","",IF(IFERROR(INDEX(CATALOG_POINTS,MATCH(A186,CATALOG_TASK,0)),"")="",IF(MAX(IF(IFERROR(FIND(CATALOG_BASE,A186),0)=1,CATALOG_POINTS,0))=0,OTHER_POINTS,MAX(IF(IFERROR(FIND(CATALOG_BASE,A186),0)=1,CATALOG_POINTS,0))),IFERROR(INDEX(CATALOG_POINTS,MATCH(A186,CATALOG_TASK,0)),"")))</f>
        <v/>
      </c>
    </row>
    <row r="187" ht="15.0" customHeight="1">
      <c r="A187" s="4"/>
      <c r="B187" s="4"/>
      <c r="C187" s="41" t="str">
        <f t="array" ref="C187">IF(A187="","",IF(IFERROR(INDEX(CATALOG_POINTS,MATCH(A187,CATALOG_TASK,0)),"")="",IF(MAX(IF(IFERROR(FIND(CATALOG_BASE,A187),0)=1,CATALOG_POINTS,0))=0,OTHER_POINTS,MAX(IF(IFERROR(FIND(CATALOG_BASE,A187),0)=1,CATALOG_POINTS,0))),IFERROR(INDEX(CATALOG_POINTS,MATCH(A187,CATALOG_TASK,0)),"")))</f>
        <v/>
      </c>
    </row>
    <row r="188" ht="15.0" customHeight="1">
      <c r="A188" s="4"/>
      <c r="B188" s="4"/>
      <c r="C188" s="41" t="str">
        <f t="array" ref="C188">IF(A188="","",IF(IFERROR(INDEX(CATALOG_POINTS,MATCH(A188,CATALOG_TASK,0)),"")="",IF(MAX(IF(IFERROR(FIND(CATALOG_BASE,A188),0)=1,CATALOG_POINTS,0))=0,OTHER_POINTS,MAX(IF(IFERROR(FIND(CATALOG_BASE,A188),0)=1,CATALOG_POINTS,0))),IFERROR(INDEX(CATALOG_POINTS,MATCH(A188,CATALOG_TASK,0)),"")))</f>
        <v/>
      </c>
    </row>
    <row r="189" ht="15.0" customHeight="1">
      <c r="A189" s="4"/>
      <c r="B189" s="4"/>
      <c r="C189" s="41" t="str">
        <f t="array" ref="C189">IF(A189="","",IF(IFERROR(INDEX(CATALOG_POINTS,MATCH(A189,CATALOG_TASK,0)),"")="",IF(MAX(IF(IFERROR(FIND(CATALOG_BASE,A189),0)=1,CATALOG_POINTS,0))=0,OTHER_POINTS,MAX(IF(IFERROR(FIND(CATALOG_BASE,A189),0)=1,CATALOG_POINTS,0))),IFERROR(INDEX(CATALOG_POINTS,MATCH(A189,CATALOG_TASK,0)),"")))</f>
        <v/>
      </c>
    </row>
    <row r="190" ht="15.0" customHeight="1">
      <c r="A190" s="4"/>
      <c r="B190" s="4"/>
      <c r="C190" s="41" t="str">
        <f t="array" ref="C190">IF(A190="","",IF(IFERROR(INDEX(CATALOG_POINTS,MATCH(A190,CATALOG_TASK,0)),"")="",IF(MAX(IF(IFERROR(FIND(CATALOG_BASE,A190),0)=1,CATALOG_POINTS,0))=0,OTHER_POINTS,MAX(IF(IFERROR(FIND(CATALOG_BASE,A190),0)=1,CATALOG_POINTS,0))),IFERROR(INDEX(CATALOG_POINTS,MATCH(A190,CATALOG_TASK,0)),"")))</f>
        <v/>
      </c>
    </row>
    <row r="191" ht="15.0" customHeight="1">
      <c r="A191" s="4"/>
      <c r="B191" s="4"/>
      <c r="C191" s="41" t="str">
        <f t="array" ref="C191">IF(A191="","",IF(IFERROR(INDEX(CATALOG_POINTS,MATCH(A191,CATALOG_TASK,0)),"")="",IF(MAX(IF(IFERROR(FIND(CATALOG_BASE,A191),0)=1,CATALOG_POINTS,0))=0,OTHER_POINTS,MAX(IF(IFERROR(FIND(CATALOG_BASE,A191),0)=1,CATALOG_POINTS,0))),IFERROR(INDEX(CATALOG_POINTS,MATCH(A191,CATALOG_TASK,0)),"")))</f>
        <v/>
      </c>
    </row>
    <row r="192" ht="15.0" customHeight="1">
      <c r="A192" s="4"/>
      <c r="B192" s="4"/>
      <c r="C192" s="41" t="str">
        <f t="array" ref="C192">IF(A192="","",IF(IFERROR(INDEX(CATALOG_POINTS,MATCH(A192,CATALOG_TASK,0)),"")="",IF(MAX(IF(IFERROR(FIND(CATALOG_BASE,A192),0)=1,CATALOG_POINTS,0))=0,OTHER_POINTS,MAX(IF(IFERROR(FIND(CATALOG_BASE,A192),0)=1,CATALOG_POINTS,0))),IFERROR(INDEX(CATALOG_POINTS,MATCH(A192,CATALOG_TASK,0)),"")))</f>
        <v/>
      </c>
    </row>
    <row r="193" ht="15.0" customHeight="1">
      <c r="A193" s="4"/>
      <c r="B193" s="4"/>
      <c r="C193" s="41" t="str">
        <f t="array" ref="C193">IF(A193="","",IF(IFERROR(INDEX(CATALOG_POINTS,MATCH(A193,CATALOG_TASK,0)),"")="",IF(MAX(IF(IFERROR(FIND(CATALOG_BASE,A193),0)=1,CATALOG_POINTS,0))=0,OTHER_POINTS,MAX(IF(IFERROR(FIND(CATALOG_BASE,A193),0)=1,CATALOG_POINTS,0))),IFERROR(INDEX(CATALOG_POINTS,MATCH(A193,CATALOG_TASK,0)),"")))</f>
        <v/>
      </c>
    </row>
    <row r="194" ht="15.0" customHeight="1">
      <c r="A194" s="4"/>
      <c r="B194" s="4"/>
      <c r="C194" s="41" t="str">
        <f t="array" ref="C194">IF(A194="","",IF(IFERROR(INDEX(CATALOG_POINTS,MATCH(A194,CATALOG_TASK,0)),"")="",IF(MAX(IF(IFERROR(FIND(CATALOG_BASE,A194),0)=1,CATALOG_POINTS,0))=0,OTHER_POINTS,MAX(IF(IFERROR(FIND(CATALOG_BASE,A194),0)=1,CATALOG_POINTS,0))),IFERROR(INDEX(CATALOG_POINTS,MATCH(A194,CATALOG_TASK,0)),"")))</f>
        <v/>
      </c>
    </row>
    <row r="195" ht="15.0" customHeight="1">
      <c r="A195" s="4"/>
      <c r="B195" s="4"/>
      <c r="C195" s="41" t="str">
        <f t="array" ref="C195">IF(A195="","",IF(IFERROR(INDEX(CATALOG_POINTS,MATCH(A195,CATALOG_TASK,0)),"")="",IF(MAX(IF(IFERROR(FIND(CATALOG_BASE,A195),0)=1,CATALOG_POINTS,0))=0,OTHER_POINTS,MAX(IF(IFERROR(FIND(CATALOG_BASE,A195),0)=1,CATALOG_POINTS,0))),IFERROR(INDEX(CATALOG_POINTS,MATCH(A195,CATALOG_TASK,0)),"")))</f>
        <v/>
      </c>
    </row>
    <row r="196" ht="15.0" customHeight="1">
      <c r="A196" s="4"/>
      <c r="B196" s="4"/>
      <c r="C196" s="41" t="str">
        <f t="array" ref="C196">IF(A196="","",IF(IFERROR(INDEX(CATALOG_POINTS,MATCH(A196,CATALOG_TASK,0)),"")="",IF(MAX(IF(IFERROR(FIND(CATALOG_BASE,A196),0)=1,CATALOG_POINTS,0))=0,OTHER_POINTS,MAX(IF(IFERROR(FIND(CATALOG_BASE,A196),0)=1,CATALOG_POINTS,0))),IFERROR(INDEX(CATALOG_POINTS,MATCH(A196,CATALOG_TASK,0)),"")))</f>
        <v/>
      </c>
    </row>
    <row r="197" ht="15.0" customHeight="1">
      <c r="A197" s="4"/>
      <c r="B197" s="4"/>
      <c r="C197" s="41" t="str">
        <f t="array" ref="C197">IF(A197="","",IF(IFERROR(INDEX(CATALOG_POINTS,MATCH(A197,CATALOG_TASK,0)),"")="",IF(MAX(IF(IFERROR(FIND(CATALOG_BASE,A197),0)=1,CATALOG_POINTS,0))=0,OTHER_POINTS,MAX(IF(IFERROR(FIND(CATALOG_BASE,A197),0)=1,CATALOG_POINTS,0))),IFERROR(INDEX(CATALOG_POINTS,MATCH(A197,CATALOG_TASK,0)),"")))</f>
        <v/>
      </c>
    </row>
    <row r="198" ht="15.0" customHeight="1">
      <c r="A198" s="4"/>
      <c r="B198" s="4"/>
      <c r="C198" s="41" t="str">
        <f t="array" ref="C198">IF(A198="","",IF(IFERROR(INDEX(CATALOG_POINTS,MATCH(A198,CATALOG_TASK,0)),"")="",IF(MAX(IF(IFERROR(FIND(CATALOG_BASE,A198),0)=1,CATALOG_POINTS,0))=0,OTHER_POINTS,MAX(IF(IFERROR(FIND(CATALOG_BASE,A198),0)=1,CATALOG_POINTS,0))),IFERROR(INDEX(CATALOG_POINTS,MATCH(A198,CATALOG_TASK,0)),"")))</f>
        <v/>
      </c>
    </row>
    <row r="199" ht="15.0" customHeight="1">
      <c r="A199" s="4"/>
      <c r="B199" s="4"/>
      <c r="C199" s="41" t="str">
        <f t="array" ref="C199">IF(A199="","",IF(IFERROR(INDEX(CATALOG_POINTS,MATCH(A199,CATALOG_TASK,0)),"")="",IF(MAX(IF(IFERROR(FIND(CATALOG_BASE,A199),0)=1,CATALOG_POINTS,0))=0,OTHER_POINTS,MAX(IF(IFERROR(FIND(CATALOG_BASE,A199),0)=1,CATALOG_POINTS,0))),IFERROR(INDEX(CATALOG_POINTS,MATCH(A199,CATALOG_TASK,0)),"")))</f>
        <v/>
      </c>
    </row>
    <row r="200" ht="15.0" customHeight="1">
      <c r="A200" s="4"/>
      <c r="B200" s="4"/>
      <c r="C200" s="41" t="str">
        <f t="array" ref="C200">IF(A200="","",IF(IFERROR(INDEX(CATALOG_POINTS,MATCH(A200,CATALOG_TASK,0)),"")="",IF(MAX(IF(IFERROR(FIND(CATALOG_BASE,A200),0)=1,CATALOG_POINTS,0))=0,OTHER_POINTS,MAX(IF(IFERROR(FIND(CATALOG_BASE,A200),0)=1,CATALOG_POINTS,0))),IFERROR(INDEX(CATALOG_POINTS,MATCH(A200,CATALOG_TASK,0)),"")))</f>
        <v/>
      </c>
    </row>
    <row r="201" ht="15.0" customHeight="1">
      <c r="A201" s="4"/>
      <c r="B201" s="4"/>
      <c r="C201" s="41" t="str">
        <f t="array" ref="C201">IF(A201="","",IF(IFERROR(INDEX(CATALOG_POINTS,MATCH(A201,CATALOG_TASK,0)),"")="",IF(MAX(IF(IFERROR(FIND(CATALOG_BASE,A201),0)=1,CATALOG_POINTS,0))=0,OTHER_POINTS,MAX(IF(IFERROR(FIND(CATALOG_BASE,A201),0)=1,CATALOG_POINTS,0))),IFERROR(INDEX(CATALOG_POINTS,MATCH(A201,CATALOG_TASK,0)),"")))</f>
        <v/>
      </c>
    </row>
    <row r="202" ht="15.0" customHeight="1">
      <c r="A202" s="4"/>
      <c r="B202" s="4"/>
      <c r="C202" s="41" t="str">
        <f t="array" ref="C202">IF(A202="","",IF(IFERROR(INDEX(CATALOG_POINTS,MATCH(A202,CATALOG_TASK,0)),"")="",IF(MAX(IF(IFERROR(FIND(CATALOG_BASE,A202),0)=1,CATALOG_POINTS,0))=0,OTHER_POINTS,MAX(IF(IFERROR(FIND(CATALOG_BASE,A202),0)=1,CATALOG_POINTS,0))),IFERROR(INDEX(CATALOG_POINTS,MATCH(A202,CATALOG_TASK,0)),"")))</f>
        <v/>
      </c>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c r="A221" s="4"/>
      <c r="B221" s="4"/>
      <c r="C221" s="4"/>
    </row>
    <row r="222" ht="15.75" customHeight="1">
      <c r="A222" s="4"/>
      <c r="B222" s="4"/>
      <c r="C222" s="4"/>
    </row>
    <row r="223" ht="15.75" customHeight="1">
      <c r="A223" s="4"/>
      <c r="B223" s="4"/>
      <c r="C223" s="4"/>
    </row>
    <row r="224" ht="15.75" customHeight="1">
      <c r="A224" s="4"/>
      <c r="B224" s="4"/>
      <c r="C224" s="4"/>
    </row>
    <row r="225" ht="15.75" customHeight="1">
      <c r="A225" s="4"/>
      <c r="B225" s="4"/>
      <c r="C225" s="4"/>
    </row>
    <row r="226" ht="15.75" customHeight="1">
      <c r="A226" s="4"/>
      <c r="B226" s="4"/>
      <c r="C226" s="4"/>
    </row>
    <row r="227" ht="15.75" customHeight="1">
      <c r="A227" s="4"/>
      <c r="B227" s="4"/>
      <c r="C227" s="4"/>
    </row>
    <row r="228" ht="15.75" customHeight="1">
      <c r="A228" s="4"/>
      <c r="B228" s="4"/>
      <c r="C228" s="4"/>
    </row>
    <row r="229" ht="15.75" customHeight="1">
      <c r="A229" s="4"/>
      <c r="B229" s="4"/>
      <c r="C229" s="4"/>
    </row>
    <row r="230" ht="15.75" customHeight="1">
      <c r="A230" s="4"/>
      <c r="B230" s="4"/>
      <c r="C230" s="4"/>
    </row>
    <row r="231" ht="15.75" customHeight="1">
      <c r="A231" s="4"/>
      <c r="B231" s="4"/>
      <c r="C231" s="4"/>
    </row>
    <row r="232" ht="15.75" customHeight="1">
      <c r="A232" s="4"/>
      <c r="B232" s="4"/>
      <c r="C232" s="4"/>
    </row>
    <row r="233" ht="15.75" customHeight="1">
      <c r="A233" s="4"/>
      <c r="B233" s="4"/>
      <c r="C233" s="4"/>
    </row>
    <row r="234" ht="15.75" customHeight="1">
      <c r="A234" s="4"/>
      <c r="B234" s="4"/>
      <c r="C234" s="4"/>
    </row>
    <row r="235" ht="15.75" customHeight="1">
      <c r="A235" s="4"/>
      <c r="B235" s="4"/>
      <c r="C235" s="4"/>
    </row>
    <row r="236" ht="15.75" customHeight="1">
      <c r="A236" s="4"/>
      <c r="B236" s="4"/>
      <c r="C236" s="4"/>
    </row>
    <row r="237" ht="15.75" customHeight="1">
      <c r="A237" s="4"/>
      <c r="B237" s="4"/>
      <c r="C237" s="4"/>
    </row>
    <row r="238" ht="15.75" customHeight="1">
      <c r="A238" s="4"/>
      <c r="B238" s="4"/>
      <c r="C238" s="4"/>
    </row>
    <row r="239" ht="15.75" customHeight="1">
      <c r="A239" s="4"/>
      <c r="B239" s="4"/>
      <c r="C239" s="4"/>
    </row>
    <row r="240" ht="15.75" customHeight="1">
      <c r="A240" s="4"/>
      <c r="B240" s="4"/>
      <c r="C240" s="4"/>
    </row>
    <row r="241" ht="15.75" customHeight="1">
      <c r="A241" s="4"/>
      <c r="B241" s="4"/>
      <c r="C241" s="4"/>
    </row>
    <row r="242" ht="15.75" customHeight="1">
      <c r="A242" s="4"/>
      <c r="B242" s="4"/>
      <c r="C242" s="4"/>
    </row>
    <row r="243" ht="15.75" customHeight="1">
      <c r="A243" s="4"/>
      <c r="B243" s="4"/>
      <c r="C243" s="4"/>
    </row>
    <row r="244" ht="15.75" customHeight="1">
      <c r="A244" s="4"/>
      <c r="B244" s="4"/>
      <c r="C244" s="4"/>
    </row>
    <row r="245" ht="15.75" customHeight="1">
      <c r="A245" s="4"/>
      <c r="B245" s="4"/>
      <c r="C245" s="4"/>
    </row>
    <row r="246" ht="15.75" customHeight="1">
      <c r="A246" s="4"/>
      <c r="B246" s="4"/>
      <c r="C246" s="4"/>
    </row>
    <row r="247" ht="15.75" customHeight="1">
      <c r="A247" s="4"/>
      <c r="B247" s="4"/>
      <c r="C247" s="4"/>
    </row>
    <row r="248" ht="15.75" customHeight="1">
      <c r="A248" s="4"/>
      <c r="B248" s="4"/>
      <c r="C248" s="4"/>
    </row>
    <row r="249" ht="15.75" customHeight="1">
      <c r="A249" s="4"/>
      <c r="B249" s="4"/>
      <c r="C249" s="4"/>
    </row>
    <row r="250" ht="15.75" customHeight="1">
      <c r="A250" s="4"/>
      <c r="B250" s="4"/>
      <c r="C250" s="4"/>
    </row>
    <row r="251" ht="15.75" customHeight="1">
      <c r="A251" s="4"/>
      <c r="B251" s="4"/>
      <c r="C251" s="4"/>
    </row>
    <row r="252" ht="15.75" customHeight="1">
      <c r="A252" s="4"/>
      <c r="B252" s="4"/>
      <c r="C252" s="4"/>
    </row>
    <row r="253" ht="15.75" customHeight="1">
      <c r="A253" s="4"/>
      <c r="B253" s="4"/>
      <c r="C253" s="4"/>
    </row>
    <row r="254" ht="15.75" customHeight="1">
      <c r="A254" s="4"/>
      <c r="B254" s="4"/>
      <c r="C254" s="4"/>
    </row>
    <row r="255" ht="15.75" customHeight="1">
      <c r="A255" s="4"/>
      <c r="B255" s="4"/>
      <c r="C255" s="4"/>
    </row>
    <row r="256" ht="15.75" customHeight="1">
      <c r="A256" s="4"/>
      <c r="B256" s="4"/>
      <c r="C256" s="4"/>
    </row>
    <row r="257" ht="15.75" customHeight="1">
      <c r="A257" s="4"/>
      <c r="B257" s="4"/>
      <c r="C257" s="4"/>
    </row>
    <row r="258" ht="15.75" customHeight="1">
      <c r="A258" s="4"/>
      <c r="B258" s="4"/>
      <c r="C258" s="4"/>
    </row>
    <row r="259" ht="15.75" customHeight="1">
      <c r="A259" s="4"/>
      <c r="B259" s="4"/>
      <c r="C259" s="4"/>
    </row>
    <row r="260" ht="15.75" customHeight="1">
      <c r="A260" s="4"/>
      <c r="B260" s="4"/>
      <c r="C260" s="4"/>
    </row>
    <row r="261" ht="15.75" customHeight="1">
      <c r="A261" s="4"/>
      <c r="B261" s="4"/>
      <c r="C261" s="4"/>
    </row>
    <row r="262" ht="15.75" customHeight="1">
      <c r="A262" s="4"/>
      <c r="B262" s="4"/>
      <c r="C262" s="4"/>
    </row>
    <row r="263" ht="15.75" customHeight="1">
      <c r="A263" s="4"/>
      <c r="B263" s="4"/>
      <c r="C263" s="4"/>
    </row>
    <row r="264" ht="15.75" customHeight="1">
      <c r="A264" s="4"/>
      <c r="B264" s="4"/>
      <c r="C264" s="4"/>
    </row>
    <row r="265" ht="15.75" customHeight="1">
      <c r="A265" s="4"/>
      <c r="B265" s="4"/>
      <c r="C265" s="4"/>
    </row>
    <row r="266" ht="15.75" customHeight="1">
      <c r="A266" s="4"/>
      <c r="B266" s="4"/>
      <c r="C266" s="4"/>
    </row>
    <row r="267" ht="15.75" customHeight="1">
      <c r="A267" s="4"/>
      <c r="B267" s="4"/>
      <c r="C267" s="4"/>
    </row>
    <row r="268" ht="15.75" customHeight="1">
      <c r="A268" s="4"/>
      <c r="B268" s="4"/>
      <c r="C268" s="4"/>
    </row>
    <row r="269" ht="15.75" customHeight="1">
      <c r="A269" s="4"/>
      <c r="B269" s="4"/>
      <c r="C269" s="4"/>
    </row>
    <row r="270" ht="15.75" customHeight="1">
      <c r="A270" s="4"/>
      <c r="B270" s="4"/>
      <c r="C270" s="4"/>
    </row>
    <row r="271" ht="15.75" customHeight="1">
      <c r="A271" s="4"/>
      <c r="B271" s="4"/>
      <c r="C271" s="4"/>
    </row>
    <row r="272" ht="15.75" customHeight="1">
      <c r="A272" s="4"/>
      <c r="B272" s="4"/>
      <c r="C272" s="4"/>
    </row>
    <row r="273" ht="15.75" customHeight="1">
      <c r="A273" s="4"/>
      <c r="B273" s="4"/>
      <c r="C273" s="4"/>
    </row>
    <row r="274" ht="15.75" customHeight="1">
      <c r="A274" s="4"/>
      <c r="B274" s="4"/>
      <c r="C274" s="4"/>
    </row>
    <row r="275" ht="15.75" customHeight="1">
      <c r="A275" s="4"/>
      <c r="B275" s="4"/>
      <c r="C275" s="4"/>
    </row>
    <row r="276" ht="15.75" customHeight="1">
      <c r="A276" s="4"/>
      <c r="B276" s="4"/>
      <c r="C276" s="4"/>
    </row>
    <row r="277" ht="15.75" customHeight="1">
      <c r="A277" s="4"/>
      <c r="B277" s="4"/>
      <c r="C277" s="4"/>
    </row>
    <row r="278" ht="15.75" customHeight="1">
      <c r="A278" s="4"/>
      <c r="B278" s="4"/>
      <c r="C278" s="4"/>
    </row>
    <row r="279" ht="15.75" customHeight="1">
      <c r="A279" s="4"/>
      <c r="B279" s="4"/>
      <c r="C279" s="4"/>
    </row>
    <row r="280" ht="15.75" customHeight="1">
      <c r="A280" s="4"/>
      <c r="B280" s="4"/>
      <c r="C280" s="4"/>
    </row>
    <row r="281" ht="15.75" customHeight="1">
      <c r="A281" s="4"/>
      <c r="B281" s="4"/>
      <c r="C281" s="4"/>
    </row>
    <row r="282" ht="15.75" customHeight="1">
      <c r="A282" s="4"/>
      <c r="B282" s="4"/>
      <c r="C282" s="4"/>
    </row>
    <row r="283" ht="15.75" customHeight="1">
      <c r="A283" s="4"/>
      <c r="B283" s="4"/>
      <c r="C283" s="4"/>
    </row>
    <row r="284" ht="15.75" customHeight="1">
      <c r="A284" s="4"/>
      <c r="B284" s="4"/>
      <c r="C284" s="4"/>
    </row>
    <row r="285" ht="15.75" customHeight="1">
      <c r="A285" s="4"/>
      <c r="B285" s="4"/>
      <c r="C285" s="4"/>
    </row>
    <row r="286" ht="15.75" customHeight="1">
      <c r="A286" s="4"/>
      <c r="B286" s="4"/>
      <c r="C286" s="4"/>
    </row>
    <row r="287" ht="15.75" customHeight="1">
      <c r="A287" s="4"/>
      <c r="B287" s="4"/>
      <c r="C287" s="4"/>
    </row>
    <row r="288" ht="15.75" customHeight="1">
      <c r="A288" s="4"/>
      <c r="B288" s="4"/>
      <c r="C288" s="4"/>
    </row>
    <row r="289" ht="15.75" customHeight="1">
      <c r="A289" s="4"/>
      <c r="B289" s="4"/>
      <c r="C289" s="4"/>
    </row>
    <row r="290" ht="15.75" customHeight="1">
      <c r="A290" s="4"/>
      <c r="B290" s="4"/>
      <c r="C290" s="4"/>
    </row>
    <row r="291" ht="15.75" customHeight="1">
      <c r="A291" s="4"/>
      <c r="B291" s="4"/>
      <c r="C291" s="4"/>
    </row>
    <row r="292" ht="15.75" customHeight="1">
      <c r="A292" s="4"/>
      <c r="B292" s="4"/>
      <c r="C292" s="4"/>
    </row>
    <row r="293" ht="15.75" customHeight="1">
      <c r="A293" s="4"/>
      <c r="B293" s="4"/>
      <c r="C293" s="4"/>
    </row>
    <row r="294" ht="15.75" customHeight="1">
      <c r="A294" s="4"/>
      <c r="B294" s="4"/>
      <c r="C294" s="4"/>
    </row>
    <row r="295" ht="15.75" customHeight="1">
      <c r="A295" s="4"/>
      <c r="B295" s="4"/>
      <c r="C295" s="4"/>
    </row>
    <row r="296" ht="15.75" customHeight="1">
      <c r="A296" s="4"/>
      <c r="B296" s="4"/>
      <c r="C296" s="4"/>
    </row>
    <row r="297" ht="15.75" customHeight="1">
      <c r="A297" s="4"/>
      <c r="B297" s="4"/>
      <c r="C297" s="4"/>
    </row>
    <row r="298" ht="15.75" customHeight="1">
      <c r="A298" s="4"/>
      <c r="B298" s="4"/>
      <c r="C298" s="4"/>
    </row>
    <row r="299" ht="15.75" customHeight="1">
      <c r="A299" s="4"/>
      <c r="B299" s="4"/>
      <c r="C299" s="4"/>
    </row>
    <row r="300" ht="15.75" customHeight="1">
      <c r="A300" s="4"/>
      <c r="B300" s="4"/>
      <c r="C300" s="4"/>
    </row>
    <row r="301" ht="15.75" customHeight="1">
      <c r="A301" s="4"/>
      <c r="B301" s="4"/>
      <c r="C301" s="4"/>
    </row>
    <row r="302" ht="15.75" customHeight="1">
      <c r="A302" s="4"/>
      <c r="B302" s="4"/>
      <c r="C302" s="4"/>
    </row>
    <row r="303" ht="15.75" customHeight="1">
      <c r="A303" s="4"/>
      <c r="B303" s="4"/>
      <c r="C303" s="4"/>
    </row>
    <row r="304" ht="15.75" customHeight="1">
      <c r="A304" s="4"/>
      <c r="B304" s="4"/>
      <c r="C304" s="4"/>
    </row>
    <row r="305" ht="15.75" customHeight="1">
      <c r="A305" s="4"/>
      <c r="B305" s="4"/>
      <c r="C305" s="4"/>
    </row>
    <row r="306" ht="15.75" customHeight="1">
      <c r="A306" s="4"/>
      <c r="B306" s="4"/>
      <c r="C306" s="4"/>
    </row>
    <row r="307" ht="15.75" customHeight="1">
      <c r="A307" s="4"/>
      <c r="B307" s="4"/>
      <c r="C307" s="4"/>
    </row>
    <row r="308" ht="15.75" customHeight="1">
      <c r="A308" s="4"/>
      <c r="B308" s="4"/>
      <c r="C308" s="4"/>
    </row>
    <row r="309" ht="15.75" customHeight="1">
      <c r="A309" s="4"/>
      <c r="B309" s="4"/>
      <c r="C309" s="4"/>
    </row>
    <row r="310" ht="15.75" customHeight="1">
      <c r="A310" s="4"/>
      <c r="B310" s="4"/>
      <c r="C310" s="4"/>
    </row>
    <row r="311" ht="15.75" customHeight="1">
      <c r="A311" s="4"/>
      <c r="B311" s="4"/>
      <c r="C311" s="4"/>
    </row>
    <row r="312" ht="15.75" customHeight="1">
      <c r="A312" s="4"/>
      <c r="B312" s="4"/>
      <c r="C312" s="4"/>
    </row>
    <row r="313" ht="15.75" customHeight="1">
      <c r="A313" s="4"/>
      <c r="B313" s="4"/>
      <c r="C313" s="4"/>
    </row>
    <row r="314" ht="15.75" customHeight="1">
      <c r="A314" s="4"/>
      <c r="B314" s="4"/>
      <c r="C314" s="4"/>
    </row>
    <row r="315" ht="15.75" customHeight="1">
      <c r="A315" s="4"/>
      <c r="B315" s="4"/>
      <c r="C315" s="4"/>
    </row>
    <row r="316" ht="15.75" customHeight="1">
      <c r="A316" s="4"/>
      <c r="B316" s="4"/>
      <c r="C316" s="4"/>
    </row>
    <row r="317" ht="15.75" customHeight="1">
      <c r="A317" s="4"/>
      <c r="B317" s="4"/>
      <c r="C317" s="4"/>
    </row>
    <row r="318" ht="15.75" customHeight="1">
      <c r="A318" s="4"/>
      <c r="B318" s="4"/>
      <c r="C318" s="4"/>
    </row>
    <row r="319" ht="15.75" customHeight="1">
      <c r="A319" s="4"/>
      <c r="B319" s="4"/>
      <c r="C319" s="4"/>
    </row>
    <row r="320" ht="15.75" customHeight="1">
      <c r="A320" s="4"/>
      <c r="B320" s="4"/>
      <c r="C320" s="4"/>
    </row>
    <row r="321" ht="15.75" customHeight="1">
      <c r="A321" s="4"/>
      <c r="B321" s="4"/>
      <c r="C321" s="4"/>
    </row>
    <row r="322" ht="15.75" customHeight="1">
      <c r="A322" s="4"/>
      <c r="B322" s="4"/>
      <c r="C322" s="4"/>
    </row>
    <row r="323" ht="15.75" customHeight="1">
      <c r="A323" s="4"/>
      <c r="B323" s="4"/>
      <c r="C323" s="4"/>
    </row>
    <row r="324" ht="15.75" customHeight="1">
      <c r="A324" s="4"/>
      <c r="B324" s="4"/>
      <c r="C324" s="4"/>
    </row>
    <row r="325" ht="15.75" customHeight="1">
      <c r="A325" s="4"/>
      <c r="B325" s="4"/>
      <c r="C325" s="4"/>
    </row>
    <row r="326" ht="15.75" customHeight="1">
      <c r="A326" s="4"/>
      <c r="B326" s="4"/>
      <c r="C326" s="4"/>
    </row>
    <row r="327" ht="15.75" customHeight="1">
      <c r="A327" s="4"/>
      <c r="B327" s="4"/>
      <c r="C327" s="4"/>
    </row>
    <row r="328" ht="15.75" customHeight="1">
      <c r="A328" s="4"/>
      <c r="B328" s="4"/>
      <c r="C328" s="4"/>
    </row>
    <row r="329" ht="15.75" customHeight="1">
      <c r="A329" s="4"/>
      <c r="B329" s="4"/>
      <c r="C329" s="4"/>
    </row>
    <row r="330" ht="15.75" customHeight="1">
      <c r="A330" s="4"/>
      <c r="B330" s="4"/>
      <c r="C330" s="4"/>
    </row>
    <row r="331" ht="15.75" customHeight="1">
      <c r="A331" s="4"/>
      <c r="B331" s="4"/>
      <c r="C331" s="4"/>
    </row>
    <row r="332" ht="15.75" customHeight="1">
      <c r="A332" s="4"/>
      <c r="B332" s="4"/>
      <c r="C332" s="4"/>
    </row>
    <row r="333" ht="15.75" customHeight="1">
      <c r="A333" s="4"/>
      <c r="B333" s="4"/>
      <c r="C333" s="4"/>
    </row>
    <row r="334" ht="15.75" customHeight="1">
      <c r="A334" s="4"/>
      <c r="B334" s="4"/>
      <c r="C334" s="4"/>
    </row>
    <row r="335" ht="15.75" customHeight="1">
      <c r="A335" s="4"/>
      <c r="B335" s="4"/>
      <c r="C335" s="4"/>
    </row>
    <row r="336" ht="15.75" customHeight="1">
      <c r="A336" s="4"/>
      <c r="B336" s="4"/>
      <c r="C336" s="4"/>
    </row>
    <row r="337" ht="15.75" customHeight="1">
      <c r="A337" s="4"/>
      <c r="B337" s="4"/>
      <c r="C337" s="4"/>
    </row>
    <row r="338" ht="15.75" customHeight="1">
      <c r="A338" s="4"/>
      <c r="B338" s="4"/>
      <c r="C338" s="4"/>
    </row>
    <row r="339" ht="15.75" customHeight="1">
      <c r="A339" s="4"/>
      <c r="B339" s="4"/>
      <c r="C339" s="4"/>
    </row>
    <row r="340" ht="15.75" customHeight="1">
      <c r="A340" s="4"/>
      <c r="B340" s="4"/>
      <c r="C340" s="4"/>
    </row>
    <row r="341" ht="15.75" customHeight="1">
      <c r="A341" s="4"/>
      <c r="B341" s="4"/>
      <c r="C341" s="4"/>
    </row>
    <row r="342" ht="15.75" customHeight="1">
      <c r="A342" s="4"/>
      <c r="B342" s="4"/>
      <c r="C342" s="4"/>
    </row>
    <row r="343" ht="15.75" customHeight="1">
      <c r="A343" s="4"/>
      <c r="B343" s="4"/>
      <c r="C343" s="4"/>
    </row>
    <row r="344" ht="15.75" customHeight="1">
      <c r="A344" s="4"/>
      <c r="B344" s="4"/>
      <c r="C344" s="4"/>
    </row>
    <row r="345" ht="15.75" customHeight="1">
      <c r="A345" s="4"/>
      <c r="B345" s="4"/>
      <c r="C345" s="4"/>
    </row>
    <row r="346" ht="15.75" customHeight="1">
      <c r="A346" s="4"/>
      <c r="B346" s="4"/>
      <c r="C346" s="4"/>
    </row>
    <row r="347" ht="15.75" customHeight="1">
      <c r="A347" s="4"/>
      <c r="B347" s="4"/>
      <c r="C347" s="4"/>
    </row>
    <row r="348" ht="15.75" customHeight="1">
      <c r="A348" s="4"/>
      <c r="B348" s="4"/>
      <c r="C348" s="4"/>
    </row>
    <row r="349" ht="15.75" customHeight="1">
      <c r="A349" s="4"/>
      <c r="B349" s="4"/>
      <c r="C349" s="4"/>
    </row>
    <row r="350" ht="15.75" customHeight="1">
      <c r="A350" s="4"/>
      <c r="B350" s="4"/>
      <c r="C350" s="4"/>
    </row>
    <row r="351" ht="15.75" customHeight="1">
      <c r="A351" s="4"/>
      <c r="B351" s="4"/>
      <c r="C351" s="4"/>
    </row>
    <row r="352" ht="15.75" customHeight="1">
      <c r="A352" s="4"/>
      <c r="B352" s="4"/>
      <c r="C352" s="4"/>
    </row>
    <row r="353" ht="15.75" customHeight="1">
      <c r="A353" s="4"/>
      <c r="B353" s="4"/>
      <c r="C353" s="4"/>
    </row>
    <row r="354" ht="15.75" customHeight="1">
      <c r="A354" s="4"/>
      <c r="B354" s="4"/>
      <c r="C354" s="4"/>
    </row>
    <row r="355" ht="15.75" customHeight="1">
      <c r="A355" s="4"/>
      <c r="B355" s="4"/>
      <c r="C355" s="4"/>
    </row>
    <row r="356" ht="15.75" customHeight="1">
      <c r="A356" s="4"/>
      <c r="B356" s="4"/>
      <c r="C356" s="4"/>
    </row>
    <row r="357" ht="15.75" customHeight="1">
      <c r="A357" s="4"/>
      <c r="B357" s="4"/>
      <c r="C357" s="4"/>
    </row>
    <row r="358" ht="15.75" customHeight="1">
      <c r="A358" s="4"/>
      <c r="B358" s="4"/>
      <c r="C358" s="4"/>
    </row>
    <row r="359" ht="15.75" customHeight="1">
      <c r="A359" s="4"/>
      <c r="B359" s="4"/>
      <c r="C359" s="4"/>
    </row>
    <row r="360" ht="15.75" customHeight="1">
      <c r="A360" s="4"/>
      <c r="B360" s="4"/>
      <c r="C360" s="4"/>
    </row>
    <row r="361" ht="15.75" customHeight="1">
      <c r="A361" s="4"/>
      <c r="B361" s="4"/>
      <c r="C361" s="4"/>
    </row>
    <row r="362" ht="15.75" customHeight="1">
      <c r="A362" s="4"/>
      <c r="B362" s="4"/>
      <c r="C362" s="4"/>
    </row>
    <row r="363" ht="15.75" customHeight="1">
      <c r="A363" s="4"/>
      <c r="B363" s="4"/>
      <c r="C363" s="4"/>
    </row>
    <row r="364" ht="15.75" customHeight="1">
      <c r="A364" s="4"/>
      <c r="B364" s="4"/>
      <c r="C364" s="4"/>
    </row>
    <row r="365" ht="15.75" customHeight="1">
      <c r="A365" s="4"/>
      <c r="B365" s="4"/>
      <c r="C365" s="4"/>
    </row>
    <row r="366" ht="15.75" customHeight="1">
      <c r="A366" s="4"/>
      <c r="B366" s="4"/>
      <c r="C366" s="4"/>
    </row>
    <row r="367" ht="15.75" customHeight="1">
      <c r="A367" s="4"/>
      <c r="B367" s="4"/>
      <c r="C367" s="4"/>
    </row>
    <row r="368" ht="15.75" customHeight="1">
      <c r="A368" s="4"/>
      <c r="B368" s="4"/>
      <c r="C368" s="4"/>
    </row>
    <row r="369" ht="15.75" customHeight="1">
      <c r="A369" s="4"/>
      <c r="B369" s="4"/>
      <c r="C369" s="4"/>
    </row>
    <row r="370" ht="15.75" customHeight="1">
      <c r="A370" s="4"/>
      <c r="B370" s="4"/>
      <c r="C370" s="4"/>
    </row>
    <row r="371" ht="15.75" customHeight="1">
      <c r="A371" s="4"/>
      <c r="B371" s="4"/>
      <c r="C371" s="4"/>
    </row>
    <row r="372" ht="15.75" customHeight="1">
      <c r="A372" s="4"/>
      <c r="B372" s="4"/>
      <c r="C372" s="4"/>
    </row>
    <row r="373" ht="15.75" customHeight="1">
      <c r="A373" s="4"/>
      <c r="B373" s="4"/>
      <c r="C373" s="4"/>
    </row>
    <row r="374" ht="15.75" customHeight="1">
      <c r="A374" s="4"/>
      <c r="B374" s="4"/>
      <c r="C374" s="4"/>
    </row>
    <row r="375" ht="15.75" customHeight="1">
      <c r="A375" s="4"/>
      <c r="B375" s="4"/>
      <c r="C375" s="4"/>
    </row>
    <row r="376" ht="15.75" customHeight="1">
      <c r="A376" s="4"/>
      <c r="B376" s="4"/>
      <c r="C376" s="4"/>
    </row>
    <row r="377" ht="15.75" customHeight="1">
      <c r="A377" s="4"/>
      <c r="B377" s="4"/>
      <c r="C377" s="4"/>
    </row>
    <row r="378" ht="15.75" customHeight="1">
      <c r="A378" s="4"/>
      <c r="B378" s="4"/>
      <c r="C378" s="4"/>
    </row>
    <row r="379" ht="15.75" customHeight="1">
      <c r="A379" s="4"/>
      <c r="B379" s="4"/>
      <c r="C379" s="4"/>
    </row>
    <row r="380" ht="15.75" customHeight="1">
      <c r="A380" s="4"/>
      <c r="B380" s="4"/>
      <c r="C380" s="4"/>
    </row>
    <row r="381" ht="15.75" customHeight="1">
      <c r="A381" s="4"/>
      <c r="B381" s="4"/>
      <c r="C381" s="4"/>
    </row>
    <row r="382" ht="15.75" customHeight="1">
      <c r="A382" s="4"/>
      <c r="B382" s="4"/>
      <c r="C382" s="4"/>
    </row>
    <row r="383" ht="15.75" customHeight="1">
      <c r="A383" s="4"/>
      <c r="B383" s="4"/>
      <c r="C383" s="4"/>
    </row>
    <row r="384" ht="15.75" customHeight="1">
      <c r="A384" s="4"/>
      <c r="B384" s="4"/>
      <c r="C384" s="4"/>
    </row>
    <row r="385" ht="15.75" customHeight="1">
      <c r="A385" s="4"/>
      <c r="B385" s="4"/>
      <c r="C385" s="4"/>
    </row>
    <row r="386" ht="15.75" customHeight="1">
      <c r="A386" s="4"/>
      <c r="B386" s="4"/>
      <c r="C386" s="4"/>
    </row>
    <row r="387" ht="15.75" customHeight="1">
      <c r="A387" s="4"/>
      <c r="B387" s="4"/>
      <c r="C387" s="4"/>
    </row>
    <row r="388" ht="15.75" customHeight="1">
      <c r="A388" s="4"/>
      <c r="B388" s="4"/>
      <c r="C388" s="4"/>
    </row>
    <row r="389" ht="15.75" customHeight="1">
      <c r="A389" s="4"/>
      <c r="B389" s="4"/>
      <c r="C389" s="4"/>
    </row>
    <row r="390" ht="15.75" customHeight="1">
      <c r="A390" s="4"/>
      <c r="B390" s="4"/>
      <c r="C390" s="4"/>
    </row>
    <row r="391" ht="15.75" customHeight="1">
      <c r="A391" s="4"/>
      <c r="B391" s="4"/>
      <c r="C391" s="4"/>
    </row>
    <row r="392" ht="15.75" customHeight="1">
      <c r="A392" s="4"/>
      <c r="B392" s="4"/>
      <c r="C392" s="4"/>
    </row>
    <row r="393" ht="15.75" customHeight="1">
      <c r="A393" s="4"/>
      <c r="B393" s="4"/>
      <c r="C393" s="4"/>
    </row>
    <row r="394" ht="15.75" customHeight="1">
      <c r="A394" s="4"/>
      <c r="B394" s="4"/>
      <c r="C394" s="4"/>
    </row>
    <row r="395" ht="15.75" customHeight="1">
      <c r="A395" s="4"/>
      <c r="B395" s="4"/>
      <c r="C395" s="4"/>
    </row>
    <row r="396" ht="15.75" customHeight="1">
      <c r="A396" s="4"/>
      <c r="B396" s="4"/>
      <c r="C396" s="4"/>
    </row>
    <row r="397" ht="15.75" customHeight="1">
      <c r="A397" s="4"/>
      <c r="B397" s="4"/>
      <c r="C397" s="4"/>
    </row>
    <row r="398" ht="15.75" customHeight="1">
      <c r="A398" s="4"/>
      <c r="B398" s="4"/>
      <c r="C398" s="4"/>
    </row>
    <row r="399" ht="15.75" customHeight="1">
      <c r="A399" s="4"/>
      <c r="B399" s="4"/>
      <c r="C399" s="4"/>
    </row>
    <row r="400" ht="15.75" customHeight="1">
      <c r="A400" s="4"/>
      <c r="B400" s="4"/>
      <c r="C400" s="4"/>
    </row>
    <row r="401" ht="15.75" customHeight="1">
      <c r="A401" s="4"/>
      <c r="B401" s="4"/>
      <c r="C401" s="4"/>
    </row>
    <row r="402" ht="15.75" customHeight="1">
      <c r="A402" s="4"/>
      <c r="B402" s="4"/>
      <c r="C402" s="4"/>
    </row>
    <row r="403" ht="15.75" customHeight="1">
      <c r="A403" s="4"/>
      <c r="B403" s="4"/>
      <c r="C403" s="4"/>
    </row>
    <row r="404" ht="15.75" customHeight="1">
      <c r="A404" s="4"/>
      <c r="B404" s="4"/>
      <c r="C404" s="4"/>
    </row>
    <row r="405" ht="15.75" customHeight="1">
      <c r="A405" s="4"/>
      <c r="B405" s="4"/>
      <c r="C405" s="4"/>
    </row>
    <row r="406" ht="15.75" customHeight="1">
      <c r="A406" s="4"/>
      <c r="B406" s="4"/>
      <c r="C406" s="4"/>
    </row>
    <row r="407" ht="15.75" customHeight="1">
      <c r="A407" s="4"/>
      <c r="B407" s="4"/>
      <c r="C407" s="4"/>
    </row>
    <row r="408" ht="15.75" customHeight="1">
      <c r="A408" s="4"/>
      <c r="B408" s="4"/>
      <c r="C408" s="4"/>
    </row>
    <row r="409" ht="15.75" customHeight="1">
      <c r="A409" s="4"/>
      <c r="B409" s="4"/>
      <c r="C409" s="4"/>
    </row>
    <row r="410" ht="15.75" customHeight="1">
      <c r="A410" s="4"/>
      <c r="B410" s="4"/>
      <c r="C410" s="4"/>
    </row>
    <row r="411" ht="15.75" customHeight="1">
      <c r="A411" s="4"/>
      <c r="B411" s="4"/>
      <c r="C411" s="4"/>
    </row>
    <row r="412" ht="15.75" customHeight="1">
      <c r="A412" s="4"/>
      <c r="B412" s="4"/>
      <c r="C412" s="4"/>
    </row>
    <row r="413" ht="15.75" customHeight="1">
      <c r="A413" s="4"/>
      <c r="B413" s="4"/>
      <c r="C413" s="4"/>
    </row>
    <row r="414" ht="15.75" customHeight="1">
      <c r="A414" s="4"/>
      <c r="B414" s="4"/>
      <c r="C414" s="4"/>
    </row>
    <row r="415" ht="15.75" customHeight="1">
      <c r="A415" s="4"/>
      <c r="B415" s="4"/>
      <c r="C415" s="4"/>
    </row>
    <row r="416" ht="15.75" customHeight="1">
      <c r="A416" s="4"/>
      <c r="B416" s="4"/>
      <c r="C416" s="4"/>
    </row>
    <row r="417" ht="15.75" customHeight="1">
      <c r="A417" s="4"/>
      <c r="B417" s="4"/>
      <c r="C417" s="4"/>
    </row>
    <row r="418" ht="15.75" customHeight="1">
      <c r="A418" s="4"/>
      <c r="B418" s="4"/>
      <c r="C418" s="4"/>
    </row>
    <row r="419" ht="15.75" customHeight="1">
      <c r="A419" s="4"/>
      <c r="B419" s="4"/>
      <c r="C419" s="4"/>
    </row>
    <row r="420" ht="15.75" customHeight="1">
      <c r="A420" s="4"/>
      <c r="B420" s="4"/>
      <c r="C420" s="4"/>
    </row>
    <row r="421" ht="15.75" customHeight="1">
      <c r="A421" s="4"/>
      <c r="B421" s="4"/>
      <c r="C421" s="4"/>
    </row>
    <row r="422" ht="15.75" customHeight="1">
      <c r="A422" s="4"/>
      <c r="B422" s="4"/>
      <c r="C422" s="4"/>
    </row>
    <row r="423" ht="15.75" customHeight="1">
      <c r="A423" s="4"/>
      <c r="B423" s="4"/>
      <c r="C423" s="4"/>
    </row>
    <row r="424" ht="15.75" customHeight="1">
      <c r="A424" s="4"/>
      <c r="B424" s="4"/>
      <c r="C424" s="4"/>
    </row>
    <row r="425" ht="15.75" customHeight="1">
      <c r="A425" s="4"/>
      <c r="B425" s="4"/>
      <c r="C425" s="4"/>
    </row>
    <row r="426" ht="15.75" customHeight="1">
      <c r="A426" s="4"/>
      <c r="B426" s="4"/>
      <c r="C426" s="4"/>
    </row>
    <row r="427" ht="15.75" customHeight="1">
      <c r="A427" s="4"/>
      <c r="B427" s="4"/>
      <c r="C427" s="4"/>
    </row>
    <row r="428" ht="15.75" customHeight="1">
      <c r="A428" s="4"/>
      <c r="B428" s="4"/>
      <c r="C428" s="4"/>
    </row>
    <row r="429" ht="15.75" customHeight="1">
      <c r="A429" s="4"/>
      <c r="B429" s="4"/>
      <c r="C429" s="4"/>
    </row>
    <row r="430" ht="15.75" customHeight="1">
      <c r="A430" s="4"/>
      <c r="B430" s="4"/>
      <c r="C430" s="4"/>
    </row>
    <row r="431" ht="15.75" customHeight="1">
      <c r="A431" s="4"/>
      <c r="B431" s="4"/>
      <c r="C431" s="4"/>
    </row>
    <row r="432" ht="15.75" customHeight="1">
      <c r="A432" s="4"/>
      <c r="B432" s="4"/>
      <c r="C432" s="4"/>
    </row>
    <row r="433" ht="15.75" customHeight="1">
      <c r="A433" s="4"/>
      <c r="B433" s="4"/>
      <c r="C433" s="4"/>
    </row>
    <row r="434" ht="15.75" customHeight="1">
      <c r="A434" s="4"/>
      <c r="B434" s="4"/>
      <c r="C434" s="4"/>
    </row>
    <row r="435" ht="15.75" customHeight="1">
      <c r="A435" s="4"/>
      <c r="B435" s="4"/>
      <c r="C435" s="4"/>
    </row>
    <row r="436" ht="15.75" customHeight="1">
      <c r="A436" s="4"/>
      <c r="B436" s="4"/>
      <c r="C436" s="4"/>
    </row>
    <row r="437" ht="15.75" customHeight="1">
      <c r="A437" s="4"/>
      <c r="B437" s="4"/>
      <c r="C437" s="4"/>
    </row>
    <row r="438" ht="15.75" customHeight="1">
      <c r="A438" s="4"/>
      <c r="B438" s="4"/>
      <c r="C438" s="4"/>
    </row>
    <row r="439" ht="15.75" customHeight="1">
      <c r="A439" s="4"/>
      <c r="B439" s="4"/>
      <c r="C439" s="4"/>
    </row>
    <row r="440" ht="15.75" customHeight="1">
      <c r="A440" s="4"/>
      <c r="B440" s="4"/>
      <c r="C440" s="4"/>
    </row>
    <row r="441" ht="15.75" customHeight="1">
      <c r="A441" s="4"/>
      <c r="B441" s="4"/>
      <c r="C441" s="4"/>
    </row>
    <row r="442" ht="15.75" customHeight="1">
      <c r="A442" s="4"/>
      <c r="B442" s="4"/>
      <c r="C442" s="4"/>
    </row>
    <row r="443" ht="15.75" customHeight="1">
      <c r="A443" s="4"/>
      <c r="B443" s="4"/>
      <c r="C443" s="4"/>
    </row>
    <row r="444" ht="15.75" customHeight="1">
      <c r="A444" s="4"/>
      <c r="B444" s="4"/>
      <c r="C444" s="4"/>
    </row>
    <row r="445" ht="15.75" customHeight="1">
      <c r="A445" s="4"/>
      <c r="B445" s="4"/>
      <c r="C445" s="4"/>
    </row>
    <row r="446" ht="15.75" customHeight="1">
      <c r="A446" s="4"/>
      <c r="B446" s="4"/>
      <c r="C446" s="4"/>
    </row>
    <row r="447" ht="15.75" customHeight="1">
      <c r="A447" s="4"/>
      <c r="B447" s="4"/>
      <c r="C447" s="4"/>
    </row>
    <row r="448" ht="15.75" customHeight="1">
      <c r="A448" s="4"/>
      <c r="B448" s="4"/>
      <c r="C448" s="4"/>
    </row>
    <row r="449" ht="15.75" customHeight="1">
      <c r="A449" s="4"/>
      <c r="B449" s="4"/>
      <c r="C449" s="4"/>
    </row>
    <row r="450" ht="15.75" customHeight="1">
      <c r="A450" s="4"/>
      <c r="B450" s="4"/>
      <c r="C450" s="4"/>
    </row>
    <row r="451" ht="15.75" customHeight="1">
      <c r="A451" s="4"/>
      <c r="B451" s="4"/>
      <c r="C451" s="4"/>
    </row>
    <row r="452" ht="15.75" customHeight="1">
      <c r="A452" s="4"/>
      <c r="B452" s="4"/>
      <c r="C452" s="4"/>
    </row>
    <row r="453" ht="15.75" customHeight="1">
      <c r="A453" s="4"/>
      <c r="B453" s="4"/>
      <c r="C453" s="4"/>
    </row>
    <row r="454" ht="15.75" customHeight="1">
      <c r="A454" s="4"/>
      <c r="B454" s="4"/>
      <c r="C454" s="4"/>
    </row>
    <row r="455" ht="15.75" customHeight="1">
      <c r="A455" s="4"/>
      <c r="B455" s="4"/>
      <c r="C455" s="4"/>
    </row>
    <row r="456" ht="15.75" customHeight="1">
      <c r="A456" s="4"/>
      <c r="B456" s="4"/>
      <c r="C456" s="4"/>
    </row>
    <row r="457" ht="15.75" customHeight="1">
      <c r="A457" s="4"/>
      <c r="B457" s="4"/>
      <c r="C457" s="4"/>
    </row>
    <row r="458" ht="15.75" customHeight="1">
      <c r="A458" s="4"/>
      <c r="B458" s="4"/>
      <c r="C458" s="4"/>
    </row>
    <row r="459" ht="15.75" customHeight="1">
      <c r="A459" s="4"/>
      <c r="B459" s="4"/>
      <c r="C459" s="4"/>
    </row>
    <row r="460" ht="15.75" customHeight="1">
      <c r="A460" s="4"/>
      <c r="B460" s="4"/>
      <c r="C460" s="4"/>
    </row>
    <row r="461" ht="15.75" customHeight="1">
      <c r="A461" s="4"/>
      <c r="B461" s="4"/>
      <c r="C461" s="4"/>
    </row>
    <row r="462" ht="15.75" customHeight="1">
      <c r="A462" s="4"/>
      <c r="B462" s="4"/>
      <c r="C462" s="4"/>
    </row>
    <row r="463" ht="15.75" customHeight="1">
      <c r="A463" s="4"/>
      <c r="B463" s="4"/>
      <c r="C463" s="4"/>
    </row>
    <row r="464" ht="15.75" customHeight="1">
      <c r="A464" s="4"/>
      <c r="B464" s="4"/>
      <c r="C464" s="4"/>
    </row>
    <row r="465" ht="15.75" customHeight="1">
      <c r="A465" s="4"/>
      <c r="B465" s="4"/>
      <c r="C465" s="4"/>
    </row>
    <row r="466" ht="15.75" customHeight="1">
      <c r="A466" s="4"/>
      <c r="B466" s="4"/>
      <c r="C466" s="4"/>
    </row>
    <row r="467" ht="15.75" customHeight="1">
      <c r="A467" s="4"/>
      <c r="B467" s="4"/>
      <c r="C467" s="4"/>
    </row>
    <row r="468" ht="15.75" customHeight="1">
      <c r="A468" s="4"/>
      <c r="B468" s="4"/>
      <c r="C468" s="4"/>
    </row>
    <row r="469" ht="15.75" customHeight="1">
      <c r="A469" s="4"/>
      <c r="B469" s="4"/>
      <c r="C469" s="4"/>
    </row>
    <row r="470" ht="15.75" customHeight="1">
      <c r="A470" s="4"/>
      <c r="B470" s="4"/>
      <c r="C470" s="4"/>
    </row>
    <row r="471" ht="15.75" customHeight="1">
      <c r="A471" s="4"/>
      <c r="B471" s="4"/>
      <c r="C471" s="4"/>
    </row>
    <row r="472" ht="15.75" customHeight="1">
      <c r="A472" s="4"/>
      <c r="B472" s="4"/>
      <c r="C472" s="4"/>
    </row>
    <row r="473" ht="15.75" customHeight="1">
      <c r="A473" s="4"/>
      <c r="B473" s="4"/>
      <c r="C473" s="4"/>
    </row>
    <row r="474" ht="15.75" customHeight="1">
      <c r="A474" s="4"/>
      <c r="B474" s="4"/>
      <c r="C474" s="4"/>
    </row>
    <row r="475" ht="15.75" customHeight="1">
      <c r="A475" s="4"/>
      <c r="B475" s="4"/>
      <c r="C475" s="4"/>
    </row>
    <row r="476" ht="15.75" customHeight="1">
      <c r="A476" s="4"/>
      <c r="B476" s="4"/>
      <c r="C476" s="4"/>
    </row>
    <row r="477" ht="15.75" customHeight="1">
      <c r="A477" s="4"/>
      <c r="B477" s="4"/>
      <c r="C477" s="4"/>
    </row>
    <row r="478" ht="15.75" customHeight="1">
      <c r="A478" s="4"/>
      <c r="B478" s="4"/>
      <c r="C478" s="4"/>
    </row>
    <row r="479" ht="15.75" customHeight="1">
      <c r="A479" s="4"/>
      <c r="B479" s="4"/>
      <c r="C479" s="4"/>
    </row>
    <row r="480" ht="15.75" customHeight="1">
      <c r="A480" s="4"/>
      <c r="B480" s="4"/>
      <c r="C480" s="4"/>
    </row>
    <row r="481" ht="15.75" customHeight="1">
      <c r="A481" s="4"/>
      <c r="B481" s="4"/>
      <c r="C481" s="4"/>
    </row>
    <row r="482" ht="15.75" customHeight="1">
      <c r="A482" s="4"/>
      <c r="B482" s="4"/>
      <c r="C482" s="4"/>
    </row>
    <row r="483" ht="15.75" customHeight="1">
      <c r="A483" s="4"/>
      <c r="B483" s="4"/>
      <c r="C483" s="4"/>
    </row>
    <row r="484" ht="15.75" customHeight="1">
      <c r="A484" s="4"/>
      <c r="B484" s="4"/>
      <c r="C484" s="4"/>
    </row>
    <row r="485" ht="15.75" customHeight="1">
      <c r="A485" s="4"/>
      <c r="B485" s="4"/>
      <c r="C485" s="4"/>
    </row>
    <row r="486" ht="15.75" customHeight="1">
      <c r="A486" s="4"/>
      <c r="B486" s="4"/>
      <c r="C486" s="4"/>
    </row>
    <row r="487" ht="15.75" customHeight="1">
      <c r="A487" s="4"/>
      <c r="B487" s="4"/>
      <c r="C487" s="4"/>
    </row>
    <row r="488" ht="15.75" customHeight="1">
      <c r="A488" s="4"/>
      <c r="B488" s="4"/>
      <c r="C488" s="4"/>
    </row>
    <row r="489" ht="15.75" customHeight="1">
      <c r="A489" s="4"/>
      <c r="B489" s="4"/>
      <c r="C489" s="4"/>
    </row>
    <row r="490" ht="15.75" customHeight="1">
      <c r="A490" s="4"/>
      <c r="B490" s="4"/>
      <c r="C490" s="4"/>
    </row>
    <row r="491" ht="15.75" customHeight="1">
      <c r="A491" s="4"/>
      <c r="B491" s="4"/>
      <c r="C491" s="4"/>
    </row>
    <row r="492" ht="15.75" customHeight="1">
      <c r="A492" s="4"/>
      <c r="B492" s="4"/>
      <c r="C492" s="4"/>
    </row>
    <row r="493" ht="15.75" customHeight="1">
      <c r="A493" s="4"/>
      <c r="B493" s="4"/>
      <c r="C493" s="4"/>
    </row>
    <row r="494" ht="15.75" customHeight="1">
      <c r="A494" s="4"/>
      <c r="B494" s="4"/>
      <c r="C494" s="4"/>
    </row>
    <row r="495" ht="15.75" customHeight="1">
      <c r="A495" s="4"/>
      <c r="B495" s="4"/>
      <c r="C495" s="4"/>
    </row>
    <row r="496" ht="15.75" customHeight="1">
      <c r="A496" s="4"/>
      <c r="B496" s="4"/>
      <c r="C496" s="4"/>
    </row>
    <row r="497" ht="15.75" customHeight="1">
      <c r="A497" s="4"/>
      <c r="B497" s="4"/>
      <c r="C497" s="4"/>
    </row>
    <row r="498" ht="15.75" customHeight="1">
      <c r="A498" s="4"/>
      <c r="B498" s="4"/>
      <c r="C498" s="4"/>
    </row>
    <row r="499" ht="15.75" customHeight="1">
      <c r="A499" s="4"/>
      <c r="B499" s="4"/>
      <c r="C499" s="4"/>
    </row>
    <row r="500" ht="15.75" customHeight="1">
      <c r="A500" s="4"/>
      <c r="B500" s="4"/>
      <c r="C500" s="4"/>
    </row>
    <row r="501" ht="15.75" customHeight="1">
      <c r="A501" s="4"/>
      <c r="B501" s="4"/>
      <c r="C501" s="4"/>
    </row>
    <row r="502" ht="15.75" customHeight="1">
      <c r="A502" s="4"/>
      <c r="B502" s="4"/>
      <c r="C502" s="4"/>
    </row>
    <row r="503" ht="15.75" customHeight="1">
      <c r="A503" s="4"/>
      <c r="B503" s="4"/>
      <c r="C503" s="4"/>
    </row>
    <row r="504" ht="15.75" customHeight="1">
      <c r="A504" s="4"/>
      <c r="B504" s="4"/>
      <c r="C504" s="4"/>
    </row>
    <row r="505" ht="15.75" customHeight="1">
      <c r="A505" s="4"/>
      <c r="B505" s="4"/>
      <c r="C505" s="4"/>
    </row>
    <row r="506" ht="15.75" customHeight="1">
      <c r="A506" s="4"/>
      <c r="B506" s="4"/>
      <c r="C506" s="4"/>
    </row>
    <row r="507" ht="15.75" customHeight="1">
      <c r="A507" s="4"/>
      <c r="B507" s="4"/>
      <c r="C507" s="4"/>
    </row>
    <row r="508" ht="15.75" customHeight="1">
      <c r="A508" s="4"/>
      <c r="B508" s="4"/>
      <c r="C508" s="4"/>
    </row>
    <row r="509" ht="15.75" customHeight="1">
      <c r="A509" s="4"/>
      <c r="B509" s="4"/>
      <c r="C509" s="4"/>
    </row>
    <row r="510" ht="15.75" customHeight="1">
      <c r="A510" s="4"/>
      <c r="B510" s="4"/>
      <c r="C510" s="4"/>
    </row>
    <row r="511" ht="15.75" customHeight="1">
      <c r="A511" s="4"/>
      <c r="B511" s="4"/>
      <c r="C511" s="4"/>
    </row>
    <row r="512" ht="15.75" customHeight="1">
      <c r="A512" s="4"/>
      <c r="B512" s="4"/>
      <c r="C512" s="4"/>
    </row>
    <row r="513" ht="15.75" customHeight="1">
      <c r="A513" s="4"/>
      <c r="B513" s="4"/>
      <c r="C513" s="4"/>
    </row>
    <row r="514" ht="15.75" customHeight="1">
      <c r="A514" s="4"/>
      <c r="B514" s="4"/>
      <c r="C514" s="4"/>
    </row>
    <row r="515" ht="15.75" customHeight="1">
      <c r="A515" s="4"/>
      <c r="B515" s="4"/>
      <c r="C515" s="4"/>
    </row>
    <row r="516" ht="15.75" customHeight="1">
      <c r="A516" s="4"/>
      <c r="B516" s="4"/>
      <c r="C516" s="4"/>
    </row>
    <row r="517" ht="15.75" customHeight="1">
      <c r="A517" s="4"/>
      <c r="B517" s="4"/>
      <c r="C517" s="4"/>
    </row>
    <row r="518" ht="15.75" customHeight="1">
      <c r="A518" s="4"/>
      <c r="B518" s="4"/>
      <c r="C518" s="4"/>
    </row>
    <row r="519" ht="15.75" customHeight="1">
      <c r="A519" s="4"/>
      <c r="B519" s="4"/>
      <c r="C519" s="4"/>
    </row>
    <row r="520" ht="15.75" customHeight="1">
      <c r="A520" s="4"/>
      <c r="B520" s="4"/>
      <c r="C520" s="4"/>
    </row>
    <row r="521" ht="15.75" customHeight="1">
      <c r="A521" s="4"/>
      <c r="B521" s="4"/>
      <c r="C521" s="4"/>
    </row>
    <row r="522" ht="15.75" customHeight="1">
      <c r="A522" s="4"/>
      <c r="B522" s="4"/>
      <c r="C522" s="4"/>
    </row>
    <row r="523" ht="15.75" customHeight="1">
      <c r="A523" s="4"/>
      <c r="B523" s="4"/>
      <c r="C523" s="4"/>
    </row>
    <row r="524" ht="15.75" customHeight="1">
      <c r="A524" s="4"/>
      <c r="B524" s="4"/>
      <c r="C524" s="4"/>
    </row>
    <row r="525" ht="15.75" customHeight="1">
      <c r="A525" s="4"/>
      <c r="B525" s="4"/>
      <c r="C525" s="4"/>
    </row>
    <row r="526" ht="15.75" customHeight="1">
      <c r="A526" s="4"/>
      <c r="B526" s="4"/>
      <c r="C526" s="4"/>
    </row>
    <row r="527" ht="15.75" customHeight="1">
      <c r="A527" s="4"/>
      <c r="B527" s="4"/>
      <c r="C527" s="4"/>
    </row>
    <row r="528" ht="15.75" customHeight="1">
      <c r="A528" s="4"/>
      <c r="B528" s="4"/>
      <c r="C528" s="4"/>
    </row>
    <row r="529" ht="15.75" customHeight="1">
      <c r="A529" s="4"/>
      <c r="B529" s="4"/>
      <c r="C529" s="4"/>
    </row>
    <row r="530" ht="15.75" customHeight="1">
      <c r="A530" s="4"/>
      <c r="B530" s="4"/>
      <c r="C530" s="4"/>
    </row>
    <row r="531" ht="15.75" customHeight="1">
      <c r="A531" s="4"/>
      <c r="B531" s="4"/>
      <c r="C531" s="4"/>
    </row>
    <row r="532" ht="15.75" customHeight="1">
      <c r="A532" s="4"/>
      <c r="B532" s="4"/>
      <c r="C532" s="4"/>
    </row>
    <row r="533" ht="15.75" customHeight="1">
      <c r="A533" s="4"/>
      <c r="B533" s="4"/>
      <c r="C533" s="4"/>
    </row>
    <row r="534" ht="15.75" customHeight="1">
      <c r="A534" s="4"/>
      <c r="B534" s="4"/>
      <c r="C534" s="4"/>
    </row>
    <row r="535" ht="15.75" customHeight="1">
      <c r="A535" s="4"/>
      <c r="B535" s="4"/>
      <c r="C535" s="4"/>
    </row>
    <row r="536" ht="15.75" customHeight="1">
      <c r="A536" s="4"/>
      <c r="B536" s="4"/>
      <c r="C536" s="4"/>
    </row>
    <row r="537" ht="15.75" customHeight="1">
      <c r="A537" s="4"/>
      <c r="B537" s="4"/>
      <c r="C537" s="4"/>
    </row>
    <row r="538" ht="15.75" customHeight="1">
      <c r="A538" s="4"/>
      <c r="B538" s="4"/>
      <c r="C538" s="4"/>
    </row>
    <row r="539" ht="15.75" customHeight="1">
      <c r="A539" s="4"/>
      <c r="B539" s="4"/>
      <c r="C539" s="4"/>
    </row>
    <row r="540" ht="15.75" customHeight="1">
      <c r="A540" s="4"/>
      <c r="B540" s="4"/>
      <c r="C540" s="4"/>
    </row>
    <row r="541" ht="15.75" customHeight="1">
      <c r="A541" s="4"/>
      <c r="B541" s="4"/>
      <c r="C541" s="4"/>
    </row>
    <row r="542" ht="15.75" customHeight="1">
      <c r="A542" s="4"/>
      <c r="B542" s="4"/>
      <c r="C542" s="4"/>
    </row>
    <row r="543" ht="15.75" customHeight="1">
      <c r="A543" s="4"/>
      <c r="B543" s="4"/>
      <c r="C543" s="4"/>
    </row>
    <row r="544" ht="15.75" customHeight="1">
      <c r="A544" s="4"/>
      <c r="B544" s="4"/>
      <c r="C544" s="4"/>
    </row>
    <row r="545" ht="15.75" customHeight="1">
      <c r="A545" s="4"/>
      <c r="B545" s="4"/>
      <c r="C545" s="4"/>
    </row>
    <row r="546" ht="15.75" customHeight="1">
      <c r="A546" s="4"/>
      <c r="B546" s="4"/>
      <c r="C546" s="4"/>
    </row>
    <row r="547" ht="15.75" customHeight="1">
      <c r="A547" s="4"/>
      <c r="B547" s="4"/>
      <c r="C547" s="4"/>
    </row>
    <row r="548" ht="15.75" customHeight="1">
      <c r="A548" s="4"/>
      <c r="B548" s="4"/>
      <c r="C548" s="4"/>
    </row>
    <row r="549" ht="15.75" customHeight="1">
      <c r="A549" s="4"/>
      <c r="B549" s="4"/>
      <c r="C549" s="4"/>
    </row>
    <row r="550" ht="15.75" customHeight="1">
      <c r="A550" s="4"/>
      <c r="B550" s="4"/>
      <c r="C550" s="4"/>
    </row>
    <row r="551" ht="15.75" customHeight="1">
      <c r="A551" s="4"/>
      <c r="B551" s="4"/>
      <c r="C551" s="4"/>
    </row>
    <row r="552" ht="15.75" customHeight="1">
      <c r="A552" s="4"/>
      <c r="B552" s="4"/>
      <c r="C552" s="4"/>
    </row>
    <row r="553" ht="15.75" customHeight="1">
      <c r="A553" s="4"/>
      <c r="B553" s="4"/>
      <c r="C553" s="4"/>
    </row>
    <row r="554" ht="15.75" customHeight="1">
      <c r="A554" s="4"/>
      <c r="B554" s="4"/>
      <c r="C554" s="4"/>
    </row>
    <row r="555" ht="15.75" customHeight="1">
      <c r="A555" s="4"/>
      <c r="B555" s="4"/>
      <c r="C555" s="4"/>
    </row>
    <row r="556" ht="15.75" customHeight="1">
      <c r="A556" s="4"/>
      <c r="B556" s="4"/>
      <c r="C556" s="4"/>
    </row>
    <row r="557" ht="15.75" customHeight="1">
      <c r="A557" s="4"/>
      <c r="B557" s="4"/>
      <c r="C557" s="4"/>
    </row>
    <row r="558" ht="15.75" customHeight="1">
      <c r="A558" s="4"/>
      <c r="B558" s="4"/>
      <c r="C558" s="4"/>
    </row>
    <row r="559" ht="15.75" customHeight="1">
      <c r="A559" s="4"/>
      <c r="B559" s="4"/>
      <c r="C559" s="4"/>
    </row>
    <row r="560" ht="15.75" customHeight="1">
      <c r="A560" s="4"/>
      <c r="B560" s="4"/>
      <c r="C560" s="4"/>
    </row>
    <row r="561" ht="15.75" customHeight="1">
      <c r="A561" s="4"/>
      <c r="B561" s="4"/>
      <c r="C561" s="4"/>
    </row>
    <row r="562" ht="15.75" customHeight="1">
      <c r="A562" s="4"/>
      <c r="B562" s="4"/>
      <c r="C562" s="4"/>
    </row>
    <row r="563" ht="15.75" customHeight="1">
      <c r="A563" s="4"/>
      <c r="B563" s="4"/>
      <c r="C563" s="4"/>
    </row>
    <row r="564" ht="15.75" customHeight="1">
      <c r="A564" s="4"/>
      <c r="B564" s="4"/>
      <c r="C564" s="4"/>
    </row>
    <row r="565" ht="15.75" customHeight="1">
      <c r="A565" s="4"/>
      <c r="B565" s="4"/>
      <c r="C565" s="4"/>
    </row>
    <row r="566" ht="15.75" customHeight="1">
      <c r="A566" s="4"/>
      <c r="B566" s="4"/>
      <c r="C566" s="4"/>
    </row>
    <row r="567" ht="15.75" customHeight="1">
      <c r="A567" s="4"/>
      <c r="B567" s="4"/>
      <c r="C567" s="4"/>
    </row>
    <row r="568" ht="15.75" customHeight="1">
      <c r="A568" s="4"/>
      <c r="B568" s="4"/>
      <c r="C568" s="4"/>
    </row>
    <row r="569" ht="15.75" customHeight="1">
      <c r="A569" s="4"/>
      <c r="B569" s="4"/>
      <c r="C569" s="4"/>
    </row>
    <row r="570" ht="15.75" customHeight="1">
      <c r="A570" s="4"/>
      <c r="B570" s="4"/>
      <c r="C570" s="4"/>
    </row>
    <row r="571" ht="15.75" customHeight="1">
      <c r="A571" s="4"/>
      <c r="B571" s="4"/>
      <c r="C571" s="4"/>
    </row>
    <row r="572" ht="15.75" customHeight="1">
      <c r="A572" s="4"/>
      <c r="B572" s="4"/>
      <c r="C572" s="4"/>
    </row>
    <row r="573" ht="15.75" customHeight="1">
      <c r="A573" s="4"/>
      <c r="B573" s="4"/>
      <c r="C573" s="4"/>
    </row>
    <row r="574" ht="15.75" customHeight="1">
      <c r="A574" s="4"/>
      <c r="B574" s="4"/>
      <c r="C574" s="4"/>
    </row>
    <row r="575" ht="15.75" customHeight="1">
      <c r="A575" s="4"/>
      <c r="B575" s="4"/>
      <c r="C575" s="4"/>
    </row>
    <row r="576" ht="15.75" customHeight="1">
      <c r="A576" s="4"/>
      <c r="B576" s="4"/>
      <c r="C576" s="4"/>
    </row>
    <row r="577" ht="15.75" customHeight="1">
      <c r="A577" s="4"/>
      <c r="B577" s="4"/>
      <c r="C577" s="4"/>
    </row>
    <row r="578" ht="15.75" customHeight="1">
      <c r="A578" s="4"/>
      <c r="B578" s="4"/>
      <c r="C578" s="4"/>
    </row>
    <row r="579" ht="15.75" customHeight="1">
      <c r="A579" s="4"/>
      <c r="B579" s="4"/>
      <c r="C579" s="4"/>
    </row>
    <row r="580" ht="15.75" customHeight="1">
      <c r="A580" s="4"/>
      <c r="B580" s="4"/>
      <c r="C580" s="4"/>
    </row>
    <row r="581" ht="15.75" customHeight="1">
      <c r="A581" s="4"/>
      <c r="B581" s="4"/>
      <c r="C581" s="4"/>
    </row>
    <row r="582" ht="15.75" customHeight="1">
      <c r="A582" s="4"/>
      <c r="B582" s="4"/>
      <c r="C582" s="4"/>
    </row>
    <row r="583" ht="15.75" customHeight="1">
      <c r="A583" s="4"/>
      <c r="B583" s="4"/>
      <c r="C583" s="4"/>
    </row>
    <row r="584" ht="15.75" customHeight="1">
      <c r="A584" s="4"/>
      <c r="B584" s="4"/>
      <c r="C584" s="4"/>
    </row>
    <row r="585" ht="15.75" customHeight="1">
      <c r="A585" s="4"/>
      <c r="B585" s="4"/>
      <c r="C585" s="4"/>
    </row>
    <row r="586" ht="15.75" customHeight="1">
      <c r="A586" s="4"/>
      <c r="B586" s="4"/>
      <c r="C586" s="4"/>
    </row>
    <row r="587" ht="15.75" customHeight="1">
      <c r="A587" s="4"/>
      <c r="B587" s="4"/>
      <c r="C587" s="4"/>
    </row>
    <row r="588" ht="15.75" customHeight="1">
      <c r="A588" s="4"/>
      <c r="B588" s="4"/>
      <c r="C588" s="4"/>
    </row>
    <row r="589" ht="15.75" customHeight="1">
      <c r="A589" s="4"/>
      <c r="B589" s="4"/>
      <c r="C589" s="4"/>
    </row>
    <row r="590" ht="15.75" customHeight="1">
      <c r="A590" s="4"/>
      <c r="B590" s="4"/>
      <c r="C590" s="4"/>
    </row>
    <row r="591" ht="15.75" customHeight="1">
      <c r="A591" s="4"/>
      <c r="B591" s="4"/>
      <c r="C591" s="4"/>
    </row>
    <row r="592" ht="15.75" customHeight="1">
      <c r="A592" s="4"/>
      <c r="B592" s="4"/>
      <c r="C592" s="4"/>
    </row>
    <row r="593" ht="15.75" customHeight="1">
      <c r="A593" s="4"/>
      <c r="B593" s="4"/>
      <c r="C593" s="4"/>
    </row>
    <row r="594" ht="15.75" customHeight="1">
      <c r="A594" s="4"/>
      <c r="B594" s="4"/>
      <c r="C594" s="4"/>
    </row>
    <row r="595" ht="15.75" customHeight="1">
      <c r="A595" s="4"/>
      <c r="B595" s="4"/>
      <c r="C595" s="4"/>
    </row>
    <row r="596" ht="15.75" customHeight="1">
      <c r="A596" s="4"/>
      <c r="B596" s="4"/>
      <c r="C596" s="4"/>
    </row>
    <row r="597" ht="15.75" customHeight="1">
      <c r="A597" s="4"/>
      <c r="B597" s="4"/>
      <c r="C597" s="4"/>
    </row>
    <row r="598" ht="15.75" customHeight="1">
      <c r="A598" s="4"/>
      <c r="B598" s="4"/>
      <c r="C598" s="4"/>
    </row>
    <row r="599" ht="15.75" customHeight="1">
      <c r="A599" s="4"/>
      <c r="B599" s="4"/>
      <c r="C599" s="4"/>
    </row>
    <row r="600" ht="15.75" customHeight="1">
      <c r="A600" s="4"/>
      <c r="B600" s="4"/>
      <c r="C600" s="4"/>
    </row>
    <row r="601" ht="15.75" customHeight="1">
      <c r="A601" s="4"/>
      <c r="B601" s="4"/>
      <c r="C601" s="4"/>
    </row>
    <row r="602" ht="15.75" customHeight="1">
      <c r="A602" s="4"/>
      <c r="B602" s="4"/>
      <c r="C602" s="4"/>
    </row>
    <row r="603" ht="15.75" customHeight="1">
      <c r="A603" s="4"/>
      <c r="B603" s="4"/>
      <c r="C603" s="4"/>
    </row>
    <row r="604" ht="15.75" customHeight="1">
      <c r="A604" s="4"/>
      <c r="B604" s="4"/>
      <c r="C604" s="4"/>
    </row>
    <row r="605" ht="15.75" customHeight="1">
      <c r="A605" s="4"/>
      <c r="B605" s="4"/>
      <c r="C605" s="4"/>
    </row>
    <row r="606" ht="15.75" customHeight="1">
      <c r="A606" s="4"/>
      <c r="B606" s="4"/>
      <c r="C606" s="4"/>
    </row>
    <row r="607" ht="15.75" customHeight="1">
      <c r="A607" s="4"/>
      <c r="B607" s="4"/>
      <c r="C607" s="4"/>
    </row>
    <row r="608" ht="15.75" customHeight="1">
      <c r="A608" s="4"/>
      <c r="B608" s="4"/>
      <c r="C608" s="4"/>
    </row>
    <row r="609" ht="15.75" customHeight="1">
      <c r="A609" s="4"/>
      <c r="B609" s="4"/>
      <c r="C609" s="4"/>
    </row>
    <row r="610" ht="15.75" customHeight="1">
      <c r="A610" s="4"/>
      <c r="B610" s="4"/>
      <c r="C610" s="4"/>
    </row>
    <row r="611" ht="15.75" customHeight="1">
      <c r="A611" s="4"/>
      <c r="B611" s="4"/>
      <c r="C611" s="4"/>
    </row>
    <row r="612" ht="15.75" customHeight="1">
      <c r="A612" s="4"/>
      <c r="B612" s="4"/>
      <c r="C612" s="4"/>
    </row>
    <row r="613" ht="15.75" customHeight="1">
      <c r="A613" s="4"/>
      <c r="B613" s="4"/>
      <c r="C613" s="4"/>
    </row>
    <row r="614" ht="15.75" customHeight="1">
      <c r="A614" s="4"/>
      <c r="B614" s="4"/>
      <c r="C614" s="4"/>
    </row>
    <row r="615" ht="15.75" customHeight="1">
      <c r="A615" s="4"/>
      <c r="B615" s="4"/>
      <c r="C615" s="4"/>
    </row>
    <row r="616" ht="15.75" customHeight="1">
      <c r="A616" s="4"/>
      <c r="B616" s="4"/>
      <c r="C616" s="4"/>
    </row>
    <row r="617" ht="15.75" customHeight="1">
      <c r="A617" s="4"/>
      <c r="B617" s="4"/>
      <c r="C617" s="4"/>
    </row>
    <row r="618" ht="15.75" customHeight="1">
      <c r="A618" s="4"/>
      <c r="B618" s="4"/>
      <c r="C618" s="4"/>
    </row>
    <row r="619" ht="15.75" customHeight="1">
      <c r="A619" s="4"/>
      <c r="B619" s="4"/>
      <c r="C619" s="4"/>
    </row>
    <row r="620" ht="15.75" customHeight="1">
      <c r="A620" s="4"/>
      <c r="B620" s="4"/>
      <c r="C620" s="4"/>
    </row>
    <row r="621" ht="15.75" customHeight="1">
      <c r="A621" s="4"/>
      <c r="B621" s="4"/>
      <c r="C621" s="4"/>
    </row>
    <row r="622" ht="15.75" customHeight="1">
      <c r="A622" s="4"/>
      <c r="B622" s="4"/>
      <c r="C622" s="4"/>
    </row>
    <row r="623" ht="15.75" customHeight="1">
      <c r="A623" s="4"/>
      <c r="B623" s="4"/>
      <c r="C623" s="4"/>
    </row>
    <row r="624" ht="15.75" customHeight="1">
      <c r="A624" s="4"/>
      <c r="B624" s="4"/>
      <c r="C624" s="4"/>
    </row>
    <row r="625" ht="15.75" customHeight="1">
      <c r="A625" s="4"/>
      <c r="B625" s="4"/>
      <c r="C625" s="4"/>
    </row>
    <row r="626" ht="15.75" customHeight="1">
      <c r="A626" s="4"/>
      <c r="B626" s="4"/>
      <c r="C626" s="4"/>
    </row>
    <row r="627" ht="15.75" customHeight="1">
      <c r="A627" s="4"/>
      <c r="B627" s="4"/>
      <c r="C627" s="4"/>
    </row>
    <row r="628" ht="15.75" customHeight="1">
      <c r="A628" s="4"/>
      <c r="B628" s="4"/>
      <c r="C628" s="4"/>
    </row>
    <row r="629" ht="15.75" customHeight="1">
      <c r="A629" s="4"/>
      <c r="B629" s="4"/>
      <c r="C629" s="4"/>
    </row>
    <row r="630" ht="15.75" customHeight="1">
      <c r="A630" s="4"/>
      <c r="B630" s="4"/>
      <c r="C630" s="4"/>
    </row>
    <row r="631" ht="15.75" customHeight="1">
      <c r="A631" s="4"/>
      <c r="B631" s="4"/>
      <c r="C631" s="4"/>
    </row>
    <row r="632" ht="15.75" customHeight="1">
      <c r="A632" s="4"/>
      <c r="B632" s="4"/>
      <c r="C632" s="4"/>
    </row>
    <row r="633" ht="15.75" customHeight="1">
      <c r="A633" s="4"/>
      <c r="B633" s="4"/>
      <c r="C633" s="4"/>
    </row>
    <row r="634" ht="15.75" customHeight="1">
      <c r="A634" s="4"/>
      <c r="B634" s="4"/>
      <c r="C634" s="4"/>
    </row>
    <row r="635" ht="15.75" customHeight="1">
      <c r="A635" s="4"/>
      <c r="B635" s="4"/>
      <c r="C635" s="4"/>
    </row>
    <row r="636" ht="15.75" customHeight="1">
      <c r="A636" s="4"/>
      <c r="B636" s="4"/>
      <c r="C636" s="4"/>
    </row>
    <row r="637" ht="15.75" customHeight="1">
      <c r="A637" s="4"/>
      <c r="B637" s="4"/>
      <c r="C637" s="4"/>
    </row>
    <row r="638" ht="15.75" customHeight="1">
      <c r="A638" s="4"/>
      <c r="B638" s="4"/>
      <c r="C638" s="4"/>
    </row>
    <row r="639" ht="15.75" customHeight="1">
      <c r="A639" s="4"/>
      <c r="B639" s="4"/>
      <c r="C639" s="4"/>
    </row>
    <row r="640" ht="15.75" customHeight="1">
      <c r="A640" s="4"/>
      <c r="B640" s="4"/>
      <c r="C640" s="4"/>
    </row>
    <row r="641" ht="15.75" customHeight="1">
      <c r="A641" s="4"/>
      <c r="B641" s="4"/>
      <c r="C641" s="4"/>
    </row>
    <row r="642" ht="15.75" customHeight="1">
      <c r="A642" s="4"/>
      <c r="B642" s="4"/>
      <c r="C642" s="4"/>
    </row>
    <row r="643" ht="15.75" customHeight="1">
      <c r="A643" s="4"/>
      <c r="B643" s="4"/>
      <c r="C643" s="4"/>
    </row>
    <row r="644" ht="15.75" customHeight="1">
      <c r="A644" s="4"/>
      <c r="B644" s="4"/>
      <c r="C644" s="4"/>
    </row>
    <row r="645" ht="15.75" customHeight="1">
      <c r="A645" s="4"/>
      <c r="B645" s="4"/>
      <c r="C645" s="4"/>
    </row>
    <row r="646" ht="15.75" customHeight="1">
      <c r="A646" s="4"/>
      <c r="B646" s="4"/>
      <c r="C646" s="4"/>
    </row>
    <row r="647" ht="15.75" customHeight="1">
      <c r="A647" s="4"/>
      <c r="B647" s="4"/>
      <c r="C647" s="4"/>
    </row>
    <row r="648" ht="15.75" customHeight="1">
      <c r="A648" s="4"/>
      <c r="B648" s="4"/>
      <c r="C648" s="4"/>
    </row>
    <row r="649" ht="15.75" customHeight="1">
      <c r="A649" s="4"/>
      <c r="B649" s="4"/>
      <c r="C649" s="4"/>
    </row>
    <row r="650" ht="15.75" customHeight="1">
      <c r="A650" s="4"/>
      <c r="B650" s="4"/>
      <c r="C650" s="4"/>
    </row>
    <row r="651" ht="15.75" customHeight="1">
      <c r="A651" s="4"/>
      <c r="B651" s="4"/>
      <c r="C651" s="4"/>
    </row>
    <row r="652" ht="15.75" customHeight="1">
      <c r="A652" s="4"/>
      <c r="B652" s="4"/>
      <c r="C652" s="4"/>
    </row>
    <row r="653" ht="15.75" customHeight="1">
      <c r="A653" s="4"/>
      <c r="B653" s="4"/>
      <c r="C653" s="4"/>
    </row>
    <row r="654" ht="15.75" customHeight="1">
      <c r="A654" s="4"/>
      <c r="B654" s="4"/>
      <c r="C654" s="4"/>
    </row>
    <row r="655" ht="15.75" customHeight="1">
      <c r="A655" s="4"/>
      <c r="B655" s="4"/>
      <c r="C655" s="4"/>
    </row>
    <row r="656" ht="15.75" customHeight="1">
      <c r="A656" s="4"/>
      <c r="B656" s="4"/>
      <c r="C656" s="4"/>
    </row>
    <row r="657" ht="15.75" customHeight="1">
      <c r="A657" s="4"/>
      <c r="B657" s="4"/>
      <c r="C657" s="4"/>
    </row>
    <row r="658" ht="15.75" customHeight="1">
      <c r="A658" s="4"/>
      <c r="B658" s="4"/>
      <c r="C658" s="4"/>
    </row>
    <row r="659" ht="15.75" customHeight="1">
      <c r="A659" s="4"/>
      <c r="B659" s="4"/>
      <c r="C659" s="4"/>
    </row>
    <row r="660" ht="15.75" customHeight="1">
      <c r="A660" s="4"/>
      <c r="B660" s="4"/>
      <c r="C660" s="4"/>
    </row>
    <row r="661" ht="15.75" customHeight="1">
      <c r="A661" s="4"/>
      <c r="B661" s="4"/>
      <c r="C661" s="4"/>
    </row>
    <row r="662" ht="15.75" customHeight="1">
      <c r="A662" s="4"/>
      <c r="B662" s="4"/>
      <c r="C662" s="4"/>
    </row>
    <row r="663" ht="15.75" customHeight="1">
      <c r="A663" s="4"/>
      <c r="B663" s="4"/>
      <c r="C663" s="4"/>
    </row>
    <row r="664" ht="15.75" customHeight="1">
      <c r="A664" s="4"/>
      <c r="B664" s="4"/>
      <c r="C664" s="4"/>
    </row>
    <row r="665" ht="15.75" customHeight="1">
      <c r="A665" s="4"/>
      <c r="B665" s="4"/>
      <c r="C665" s="4"/>
    </row>
    <row r="666" ht="15.75" customHeight="1">
      <c r="A666" s="4"/>
      <c r="B666" s="4"/>
      <c r="C666" s="4"/>
    </row>
    <row r="667" ht="15.75" customHeight="1">
      <c r="A667" s="4"/>
      <c r="B667" s="4"/>
      <c r="C667" s="4"/>
    </row>
    <row r="668" ht="15.75" customHeight="1">
      <c r="A668" s="4"/>
      <c r="B668" s="4"/>
      <c r="C668" s="4"/>
    </row>
    <row r="669" ht="15.75" customHeight="1">
      <c r="A669" s="4"/>
      <c r="B669" s="4"/>
      <c r="C669" s="4"/>
    </row>
    <row r="670" ht="15.75" customHeight="1">
      <c r="A670" s="4"/>
      <c r="B670" s="4"/>
      <c r="C670" s="4"/>
    </row>
    <row r="671" ht="15.75" customHeight="1">
      <c r="A671" s="4"/>
      <c r="B671" s="4"/>
      <c r="C671" s="4"/>
    </row>
    <row r="672" ht="15.75" customHeight="1">
      <c r="A672" s="4"/>
      <c r="B672" s="4"/>
      <c r="C672" s="4"/>
    </row>
    <row r="673" ht="15.75" customHeight="1">
      <c r="A673" s="4"/>
      <c r="B673" s="4"/>
      <c r="C673" s="4"/>
    </row>
    <row r="674" ht="15.75" customHeight="1">
      <c r="A674" s="4"/>
      <c r="B674" s="4"/>
      <c r="C674" s="4"/>
    </row>
    <row r="675" ht="15.75" customHeight="1">
      <c r="A675" s="4"/>
      <c r="B675" s="4"/>
      <c r="C675" s="4"/>
    </row>
    <row r="676" ht="15.75" customHeight="1">
      <c r="A676" s="4"/>
      <c r="B676" s="4"/>
      <c r="C676" s="4"/>
    </row>
    <row r="677" ht="15.75" customHeight="1">
      <c r="A677" s="4"/>
      <c r="B677" s="4"/>
      <c r="C677" s="4"/>
    </row>
    <row r="678" ht="15.75" customHeight="1">
      <c r="A678" s="4"/>
      <c r="B678" s="4"/>
      <c r="C678" s="4"/>
    </row>
    <row r="679" ht="15.75" customHeight="1">
      <c r="A679" s="4"/>
      <c r="B679" s="4"/>
      <c r="C679" s="4"/>
    </row>
    <row r="680" ht="15.75" customHeight="1">
      <c r="A680" s="4"/>
      <c r="B680" s="4"/>
      <c r="C680" s="4"/>
    </row>
    <row r="681" ht="15.75" customHeight="1">
      <c r="A681" s="4"/>
      <c r="B681" s="4"/>
      <c r="C681" s="4"/>
    </row>
    <row r="682" ht="15.75" customHeight="1">
      <c r="A682" s="4"/>
      <c r="B682" s="4"/>
      <c r="C682" s="4"/>
    </row>
    <row r="683" ht="15.75" customHeight="1">
      <c r="A683" s="4"/>
      <c r="B683" s="4"/>
      <c r="C683" s="4"/>
    </row>
    <row r="684" ht="15.75" customHeight="1">
      <c r="A684" s="4"/>
      <c r="B684" s="4"/>
      <c r="C684" s="4"/>
    </row>
    <row r="685" ht="15.75" customHeight="1">
      <c r="A685" s="4"/>
      <c r="B685" s="4"/>
      <c r="C685" s="4"/>
    </row>
    <row r="686" ht="15.75" customHeight="1">
      <c r="A686" s="4"/>
      <c r="B686" s="4"/>
      <c r="C686" s="4"/>
    </row>
    <row r="687" ht="15.75" customHeight="1">
      <c r="A687" s="4"/>
      <c r="B687" s="4"/>
      <c r="C687" s="4"/>
    </row>
    <row r="688" ht="15.75" customHeight="1">
      <c r="A688" s="4"/>
      <c r="B688" s="4"/>
      <c r="C688" s="4"/>
    </row>
    <row r="689" ht="15.75" customHeight="1">
      <c r="A689" s="4"/>
      <c r="B689" s="4"/>
      <c r="C689" s="4"/>
    </row>
    <row r="690" ht="15.75" customHeight="1">
      <c r="A690" s="4"/>
      <c r="B690" s="4"/>
      <c r="C690" s="4"/>
    </row>
    <row r="691" ht="15.75" customHeight="1">
      <c r="A691" s="4"/>
      <c r="B691" s="4"/>
      <c r="C691" s="4"/>
    </row>
    <row r="692" ht="15.75" customHeight="1">
      <c r="A692" s="4"/>
      <c r="B692" s="4"/>
      <c r="C692" s="4"/>
    </row>
    <row r="693" ht="15.75" customHeight="1">
      <c r="A693" s="4"/>
      <c r="B693" s="4"/>
      <c r="C693" s="4"/>
    </row>
    <row r="694" ht="15.75" customHeight="1">
      <c r="A694" s="4"/>
      <c r="B694" s="4"/>
      <c r="C694" s="4"/>
    </row>
    <row r="695" ht="15.75" customHeight="1">
      <c r="A695" s="4"/>
      <c r="B695" s="4"/>
      <c r="C695" s="4"/>
    </row>
    <row r="696" ht="15.75" customHeight="1">
      <c r="A696" s="4"/>
      <c r="B696" s="4"/>
      <c r="C696" s="4"/>
    </row>
    <row r="697" ht="15.75" customHeight="1">
      <c r="A697" s="4"/>
      <c r="B697" s="4"/>
      <c r="C697" s="4"/>
    </row>
    <row r="698" ht="15.75" customHeight="1">
      <c r="A698" s="4"/>
      <c r="B698" s="4"/>
      <c r="C698" s="4"/>
    </row>
    <row r="699" ht="15.75" customHeight="1">
      <c r="A699" s="4"/>
      <c r="B699" s="4"/>
      <c r="C699" s="4"/>
    </row>
    <row r="700" ht="15.75" customHeight="1">
      <c r="A700" s="4"/>
      <c r="B700" s="4"/>
      <c r="C700" s="4"/>
    </row>
    <row r="701" ht="15.75" customHeight="1">
      <c r="A701" s="4"/>
      <c r="B701" s="4"/>
      <c r="C701" s="4"/>
    </row>
    <row r="702" ht="15.75" customHeight="1">
      <c r="A702" s="4"/>
      <c r="B702" s="4"/>
      <c r="C702" s="4"/>
    </row>
    <row r="703" ht="15.75" customHeight="1">
      <c r="A703" s="4"/>
      <c r="B703" s="4"/>
      <c r="C703" s="4"/>
    </row>
    <row r="704" ht="15.75" customHeight="1">
      <c r="A704" s="4"/>
      <c r="B704" s="4"/>
      <c r="C704" s="4"/>
    </row>
    <row r="705" ht="15.75" customHeight="1">
      <c r="A705" s="4"/>
      <c r="B705" s="4"/>
      <c r="C705" s="4"/>
    </row>
    <row r="706" ht="15.75" customHeight="1">
      <c r="A706" s="4"/>
      <c r="B706" s="4"/>
      <c r="C706" s="4"/>
    </row>
    <row r="707" ht="15.75" customHeight="1">
      <c r="A707" s="4"/>
      <c r="B707" s="4"/>
      <c r="C707" s="4"/>
    </row>
    <row r="708" ht="15.75" customHeight="1">
      <c r="A708" s="4"/>
      <c r="B708" s="4"/>
      <c r="C708" s="4"/>
    </row>
    <row r="709" ht="15.75" customHeight="1">
      <c r="A709" s="4"/>
      <c r="B709" s="4"/>
      <c r="C709" s="4"/>
    </row>
    <row r="710" ht="15.75" customHeight="1">
      <c r="A710" s="4"/>
      <c r="B710" s="4"/>
      <c r="C710" s="4"/>
    </row>
    <row r="711" ht="15.75" customHeight="1">
      <c r="A711" s="4"/>
      <c r="B711" s="4"/>
      <c r="C711" s="4"/>
    </row>
    <row r="712" ht="15.75" customHeight="1">
      <c r="A712" s="4"/>
      <c r="B712" s="4"/>
      <c r="C712" s="4"/>
    </row>
    <row r="713" ht="15.75" customHeight="1">
      <c r="A713" s="4"/>
      <c r="B713" s="4"/>
      <c r="C713" s="4"/>
    </row>
    <row r="714" ht="15.75" customHeight="1">
      <c r="A714" s="4"/>
      <c r="B714" s="4"/>
      <c r="C714" s="4"/>
    </row>
    <row r="715" ht="15.75" customHeight="1">
      <c r="A715" s="4"/>
      <c r="B715" s="4"/>
      <c r="C715" s="4"/>
    </row>
    <row r="716" ht="15.75" customHeight="1">
      <c r="A716" s="4"/>
      <c r="B716" s="4"/>
      <c r="C716" s="4"/>
    </row>
    <row r="717" ht="15.75" customHeight="1">
      <c r="A717" s="4"/>
      <c r="B717" s="4"/>
      <c r="C717" s="4"/>
    </row>
    <row r="718" ht="15.75" customHeight="1">
      <c r="A718" s="4"/>
      <c r="B718" s="4"/>
      <c r="C718" s="4"/>
    </row>
    <row r="719" ht="15.75" customHeight="1">
      <c r="A719" s="4"/>
      <c r="B719" s="4"/>
      <c r="C719" s="4"/>
    </row>
    <row r="720" ht="15.75" customHeight="1">
      <c r="A720" s="4"/>
      <c r="B720" s="4"/>
      <c r="C720" s="4"/>
    </row>
    <row r="721" ht="15.75" customHeight="1">
      <c r="A721" s="4"/>
      <c r="B721" s="4"/>
      <c r="C721" s="4"/>
    </row>
    <row r="722" ht="15.75" customHeight="1">
      <c r="A722" s="4"/>
      <c r="B722" s="4"/>
      <c r="C722" s="4"/>
    </row>
    <row r="723" ht="15.75" customHeight="1">
      <c r="A723" s="4"/>
      <c r="B723" s="4"/>
      <c r="C723" s="4"/>
    </row>
    <row r="724" ht="15.75" customHeight="1">
      <c r="A724" s="4"/>
      <c r="B724" s="4"/>
      <c r="C724" s="4"/>
    </row>
    <row r="725" ht="15.75" customHeight="1">
      <c r="A725" s="4"/>
      <c r="B725" s="4"/>
      <c r="C725" s="4"/>
    </row>
    <row r="726" ht="15.75" customHeight="1">
      <c r="A726" s="4"/>
      <c r="B726" s="4"/>
      <c r="C726" s="4"/>
    </row>
    <row r="727" ht="15.75" customHeight="1">
      <c r="A727" s="4"/>
      <c r="B727" s="4"/>
      <c r="C727" s="4"/>
    </row>
    <row r="728" ht="15.75" customHeight="1">
      <c r="A728" s="4"/>
      <c r="B728" s="4"/>
      <c r="C728" s="4"/>
    </row>
    <row r="729" ht="15.75" customHeight="1">
      <c r="A729" s="4"/>
      <c r="B729" s="4"/>
      <c r="C729" s="4"/>
    </row>
    <row r="730" ht="15.75" customHeight="1">
      <c r="A730" s="4"/>
      <c r="B730" s="4"/>
      <c r="C730" s="4"/>
    </row>
    <row r="731" ht="15.75" customHeight="1">
      <c r="A731" s="4"/>
      <c r="B731" s="4"/>
      <c r="C731" s="4"/>
    </row>
    <row r="732" ht="15.75" customHeight="1">
      <c r="A732" s="4"/>
      <c r="B732" s="4"/>
      <c r="C732" s="4"/>
    </row>
    <row r="733" ht="15.75" customHeight="1">
      <c r="A733" s="4"/>
      <c r="B733" s="4"/>
      <c r="C733" s="4"/>
    </row>
    <row r="734" ht="15.75" customHeight="1">
      <c r="A734" s="4"/>
      <c r="B734" s="4"/>
      <c r="C734" s="4"/>
    </row>
    <row r="735" ht="15.75" customHeight="1">
      <c r="A735" s="4"/>
      <c r="B735" s="4"/>
      <c r="C735" s="4"/>
    </row>
    <row r="736" ht="15.75" customHeight="1">
      <c r="A736" s="4"/>
      <c r="B736" s="4"/>
      <c r="C736" s="4"/>
    </row>
    <row r="737" ht="15.75" customHeight="1">
      <c r="A737" s="4"/>
      <c r="B737" s="4"/>
      <c r="C737" s="4"/>
    </row>
    <row r="738" ht="15.75" customHeight="1">
      <c r="A738" s="4"/>
      <c r="B738" s="4"/>
      <c r="C738" s="4"/>
    </row>
    <row r="739" ht="15.75" customHeight="1">
      <c r="A739" s="4"/>
      <c r="B739" s="4"/>
      <c r="C739" s="4"/>
    </row>
    <row r="740" ht="15.75" customHeight="1">
      <c r="A740" s="4"/>
      <c r="B740" s="4"/>
      <c r="C740" s="4"/>
    </row>
    <row r="741" ht="15.75" customHeight="1">
      <c r="A741" s="4"/>
      <c r="B741" s="4"/>
      <c r="C741" s="4"/>
    </row>
    <row r="742" ht="15.75" customHeight="1">
      <c r="A742" s="4"/>
      <c r="B742" s="4"/>
      <c r="C742" s="4"/>
    </row>
    <row r="743" ht="15.75" customHeight="1">
      <c r="A743" s="4"/>
      <c r="B743" s="4"/>
      <c r="C743" s="4"/>
    </row>
    <row r="744" ht="15.75" customHeight="1">
      <c r="A744" s="4"/>
      <c r="B744" s="4"/>
      <c r="C744" s="4"/>
    </row>
    <row r="745" ht="15.75" customHeight="1">
      <c r="A745" s="4"/>
      <c r="B745" s="4"/>
      <c r="C745" s="4"/>
    </row>
    <row r="746" ht="15.75" customHeight="1">
      <c r="A746" s="4"/>
      <c r="B746" s="4"/>
      <c r="C746" s="4"/>
    </row>
    <row r="747" ht="15.75" customHeight="1">
      <c r="A747" s="4"/>
      <c r="B747" s="4"/>
      <c r="C747" s="4"/>
    </row>
    <row r="748" ht="15.75" customHeight="1">
      <c r="A748" s="4"/>
      <c r="B748" s="4"/>
      <c r="C748" s="4"/>
    </row>
    <row r="749" ht="15.75" customHeight="1">
      <c r="A749" s="4"/>
      <c r="B749" s="4"/>
      <c r="C749" s="4"/>
    </row>
    <row r="750" ht="15.75" customHeight="1">
      <c r="A750" s="4"/>
      <c r="B750" s="4"/>
      <c r="C750" s="4"/>
    </row>
    <row r="751" ht="15.75" customHeight="1">
      <c r="A751" s="4"/>
      <c r="B751" s="4"/>
      <c r="C751" s="4"/>
    </row>
    <row r="752" ht="15.75" customHeight="1">
      <c r="A752" s="4"/>
      <c r="B752" s="4"/>
      <c r="C752" s="4"/>
    </row>
    <row r="753" ht="15.75" customHeight="1">
      <c r="A753" s="4"/>
      <c r="B753" s="4"/>
      <c r="C753" s="4"/>
    </row>
    <row r="754" ht="15.75" customHeight="1">
      <c r="A754" s="4"/>
      <c r="B754" s="4"/>
      <c r="C754" s="4"/>
    </row>
    <row r="755" ht="15.75" customHeight="1">
      <c r="A755" s="4"/>
      <c r="B755" s="4"/>
      <c r="C755" s="4"/>
    </row>
    <row r="756" ht="15.75" customHeight="1">
      <c r="A756" s="4"/>
      <c r="B756" s="4"/>
      <c r="C756" s="4"/>
    </row>
    <row r="757" ht="15.75" customHeight="1">
      <c r="A757" s="4"/>
      <c r="B757" s="4"/>
      <c r="C757" s="4"/>
    </row>
    <row r="758" ht="15.75" customHeight="1">
      <c r="A758" s="4"/>
      <c r="B758" s="4"/>
      <c r="C758" s="4"/>
    </row>
    <row r="759" ht="15.75" customHeight="1">
      <c r="A759" s="4"/>
      <c r="B759" s="4"/>
      <c r="C759" s="4"/>
    </row>
    <row r="760" ht="15.75" customHeight="1">
      <c r="A760" s="4"/>
      <c r="B760" s="4"/>
      <c r="C760" s="4"/>
    </row>
    <row r="761" ht="15.75" customHeight="1">
      <c r="A761" s="4"/>
      <c r="B761" s="4"/>
      <c r="C761" s="4"/>
    </row>
    <row r="762" ht="15.75" customHeight="1">
      <c r="A762" s="4"/>
      <c r="B762" s="4"/>
      <c r="C762" s="4"/>
    </row>
    <row r="763" ht="15.75" customHeight="1">
      <c r="A763" s="4"/>
      <c r="B763" s="4"/>
      <c r="C763" s="4"/>
    </row>
    <row r="764" ht="15.75" customHeight="1">
      <c r="A764" s="4"/>
      <c r="B764" s="4"/>
      <c r="C764" s="4"/>
    </row>
    <row r="765" ht="15.75" customHeight="1">
      <c r="A765" s="4"/>
      <c r="B765" s="4"/>
      <c r="C765" s="4"/>
    </row>
    <row r="766" ht="15.75" customHeight="1">
      <c r="A766" s="4"/>
      <c r="B766" s="4"/>
      <c r="C766" s="4"/>
    </row>
    <row r="767" ht="15.75" customHeight="1">
      <c r="A767" s="4"/>
      <c r="B767" s="4"/>
      <c r="C767" s="4"/>
    </row>
    <row r="768" ht="15.75" customHeight="1">
      <c r="A768" s="4"/>
      <c r="B768" s="4"/>
      <c r="C768" s="4"/>
    </row>
    <row r="769" ht="15.75" customHeight="1">
      <c r="A769" s="4"/>
      <c r="B769" s="4"/>
      <c r="C769" s="4"/>
    </row>
    <row r="770" ht="15.75" customHeight="1">
      <c r="A770" s="4"/>
      <c r="B770" s="4"/>
      <c r="C770" s="4"/>
    </row>
    <row r="771" ht="15.75" customHeight="1">
      <c r="A771" s="4"/>
      <c r="B771" s="4"/>
      <c r="C771" s="4"/>
    </row>
    <row r="772" ht="15.75" customHeight="1">
      <c r="A772" s="4"/>
      <c r="B772" s="4"/>
      <c r="C772" s="4"/>
    </row>
    <row r="773" ht="15.75" customHeight="1">
      <c r="A773" s="4"/>
      <c r="B773" s="4"/>
      <c r="C773" s="4"/>
    </row>
    <row r="774" ht="15.75" customHeight="1">
      <c r="A774" s="4"/>
      <c r="B774" s="4"/>
      <c r="C774" s="4"/>
    </row>
    <row r="775" ht="15.75" customHeight="1">
      <c r="A775" s="4"/>
      <c r="B775" s="4"/>
      <c r="C775" s="4"/>
    </row>
    <row r="776" ht="15.75" customHeight="1">
      <c r="A776" s="4"/>
      <c r="B776" s="4"/>
      <c r="C776" s="4"/>
    </row>
    <row r="777" ht="15.75" customHeight="1">
      <c r="A777" s="4"/>
      <c r="B777" s="4"/>
      <c r="C777" s="4"/>
    </row>
    <row r="778" ht="15.75" customHeight="1">
      <c r="A778" s="4"/>
      <c r="B778" s="4"/>
      <c r="C778" s="4"/>
    </row>
    <row r="779" ht="15.75" customHeight="1">
      <c r="A779" s="4"/>
      <c r="B779" s="4"/>
      <c r="C779" s="4"/>
    </row>
    <row r="780" ht="15.75" customHeight="1">
      <c r="A780" s="4"/>
      <c r="B780" s="4"/>
      <c r="C780" s="4"/>
    </row>
    <row r="781" ht="15.75" customHeight="1">
      <c r="A781" s="4"/>
      <c r="B781" s="4"/>
      <c r="C781" s="4"/>
    </row>
    <row r="782" ht="15.75" customHeight="1">
      <c r="A782" s="4"/>
      <c r="B782" s="4"/>
      <c r="C782" s="4"/>
    </row>
    <row r="783" ht="15.75" customHeight="1">
      <c r="A783" s="4"/>
      <c r="B783" s="4"/>
      <c r="C783" s="4"/>
    </row>
    <row r="784" ht="15.75" customHeight="1">
      <c r="A784" s="4"/>
      <c r="B784" s="4"/>
      <c r="C784" s="4"/>
    </row>
    <row r="785" ht="15.75" customHeight="1">
      <c r="A785" s="4"/>
      <c r="B785" s="4"/>
      <c r="C785" s="4"/>
    </row>
    <row r="786" ht="15.75" customHeight="1">
      <c r="A786" s="4"/>
      <c r="B786" s="4"/>
      <c r="C786" s="4"/>
    </row>
    <row r="787" ht="15.75" customHeight="1">
      <c r="A787" s="4"/>
      <c r="B787" s="4"/>
      <c r="C787" s="4"/>
    </row>
    <row r="788" ht="15.75" customHeight="1">
      <c r="A788" s="4"/>
      <c r="B788" s="4"/>
      <c r="C788" s="4"/>
    </row>
    <row r="789" ht="15.75" customHeight="1">
      <c r="A789" s="4"/>
      <c r="B789" s="4"/>
      <c r="C789" s="4"/>
    </row>
    <row r="790" ht="15.75" customHeight="1">
      <c r="A790" s="4"/>
      <c r="B790" s="4"/>
      <c r="C790" s="4"/>
    </row>
    <row r="791" ht="15.75" customHeight="1">
      <c r="A791" s="4"/>
      <c r="B791" s="4"/>
      <c r="C791" s="4"/>
    </row>
    <row r="792" ht="15.75" customHeight="1">
      <c r="A792" s="4"/>
      <c r="B792" s="4"/>
      <c r="C792" s="4"/>
    </row>
    <row r="793" ht="15.75" customHeight="1">
      <c r="A793" s="4"/>
      <c r="B793" s="4"/>
      <c r="C793" s="4"/>
    </row>
    <row r="794" ht="15.75" customHeight="1">
      <c r="A794" s="4"/>
      <c r="B794" s="4"/>
      <c r="C794" s="4"/>
    </row>
    <row r="795" ht="15.75" customHeight="1">
      <c r="A795" s="4"/>
      <c r="B795" s="4"/>
      <c r="C795" s="4"/>
    </row>
    <row r="796" ht="15.75" customHeight="1">
      <c r="A796" s="4"/>
      <c r="B796" s="4"/>
      <c r="C796" s="4"/>
    </row>
    <row r="797" ht="15.75" customHeight="1">
      <c r="A797" s="4"/>
      <c r="B797" s="4"/>
      <c r="C797" s="4"/>
    </row>
    <row r="798" ht="15.75" customHeight="1">
      <c r="A798" s="4"/>
      <c r="B798" s="4"/>
      <c r="C798" s="4"/>
    </row>
    <row r="799" ht="15.75" customHeight="1">
      <c r="A799" s="4"/>
      <c r="B799" s="4"/>
      <c r="C799" s="4"/>
    </row>
    <row r="800" ht="15.75" customHeight="1">
      <c r="A800" s="4"/>
      <c r="B800" s="4"/>
      <c r="C800" s="4"/>
    </row>
    <row r="801" ht="15.75" customHeight="1">
      <c r="A801" s="4"/>
      <c r="B801" s="4"/>
      <c r="C801" s="4"/>
    </row>
    <row r="802" ht="15.75" customHeight="1">
      <c r="A802" s="4"/>
      <c r="B802" s="4"/>
      <c r="C802" s="4"/>
    </row>
    <row r="803" ht="15.75" customHeight="1">
      <c r="A803" s="4"/>
      <c r="B803" s="4"/>
      <c r="C803" s="4"/>
    </row>
    <row r="804" ht="15.75" customHeight="1">
      <c r="A804" s="4"/>
      <c r="B804" s="4"/>
      <c r="C804" s="4"/>
    </row>
    <row r="805" ht="15.75" customHeight="1">
      <c r="A805" s="4"/>
      <c r="B805" s="4"/>
      <c r="C805" s="4"/>
    </row>
    <row r="806" ht="15.75" customHeight="1">
      <c r="A806" s="4"/>
      <c r="B806" s="4"/>
      <c r="C806" s="4"/>
    </row>
    <row r="807" ht="15.75" customHeight="1">
      <c r="A807" s="4"/>
      <c r="B807" s="4"/>
      <c r="C807" s="4"/>
    </row>
    <row r="808" ht="15.75" customHeight="1">
      <c r="A808" s="4"/>
      <c r="B808" s="4"/>
      <c r="C808" s="4"/>
    </row>
    <row r="809" ht="15.75" customHeight="1">
      <c r="A809" s="4"/>
      <c r="B809" s="4"/>
      <c r="C809" s="4"/>
    </row>
    <row r="810" ht="15.75" customHeight="1">
      <c r="A810" s="4"/>
      <c r="B810" s="4"/>
      <c r="C810" s="4"/>
    </row>
    <row r="811" ht="15.75" customHeight="1">
      <c r="A811" s="4"/>
      <c r="B811" s="4"/>
      <c r="C811" s="4"/>
    </row>
    <row r="812" ht="15.75" customHeight="1">
      <c r="A812" s="4"/>
      <c r="B812" s="4"/>
      <c r="C812" s="4"/>
    </row>
    <row r="813" ht="15.75" customHeight="1">
      <c r="A813" s="4"/>
      <c r="B813" s="4"/>
      <c r="C813" s="4"/>
    </row>
    <row r="814" ht="15.75" customHeight="1">
      <c r="A814" s="4"/>
      <c r="B814" s="4"/>
      <c r="C814" s="4"/>
    </row>
    <row r="815" ht="15.75" customHeight="1">
      <c r="A815" s="4"/>
      <c r="B815" s="4"/>
      <c r="C815" s="4"/>
    </row>
    <row r="816" ht="15.75" customHeight="1">
      <c r="A816" s="4"/>
      <c r="B816" s="4"/>
      <c r="C816" s="4"/>
    </row>
    <row r="817" ht="15.75" customHeight="1">
      <c r="A817" s="4"/>
      <c r="B817" s="4"/>
      <c r="C817" s="4"/>
    </row>
    <row r="818" ht="15.75" customHeight="1">
      <c r="A818" s="4"/>
      <c r="B818" s="4"/>
      <c r="C818" s="4"/>
    </row>
    <row r="819" ht="15.75" customHeight="1">
      <c r="A819" s="4"/>
      <c r="B819" s="4"/>
      <c r="C819" s="4"/>
    </row>
    <row r="820" ht="15.75" customHeight="1">
      <c r="A820" s="4"/>
      <c r="B820" s="4"/>
      <c r="C820" s="4"/>
    </row>
    <row r="821" ht="15.75" customHeight="1">
      <c r="A821" s="4"/>
      <c r="B821" s="4"/>
      <c r="C821" s="4"/>
    </row>
    <row r="822" ht="15.75" customHeight="1">
      <c r="A822" s="4"/>
      <c r="B822" s="4"/>
      <c r="C822" s="4"/>
    </row>
    <row r="823" ht="15.75" customHeight="1">
      <c r="A823" s="4"/>
      <c r="B823" s="4"/>
      <c r="C823" s="4"/>
    </row>
    <row r="824" ht="15.75" customHeight="1">
      <c r="A824" s="4"/>
      <c r="B824" s="4"/>
      <c r="C824" s="4"/>
    </row>
    <row r="825" ht="15.75" customHeight="1">
      <c r="A825" s="4"/>
      <c r="B825" s="4"/>
      <c r="C825" s="4"/>
    </row>
    <row r="826" ht="15.75" customHeight="1">
      <c r="A826" s="4"/>
      <c r="B826" s="4"/>
      <c r="C826" s="4"/>
    </row>
    <row r="827" ht="15.75" customHeight="1">
      <c r="A827" s="4"/>
      <c r="B827" s="4"/>
      <c r="C827" s="4"/>
    </row>
    <row r="828" ht="15.75" customHeight="1">
      <c r="A828" s="4"/>
      <c r="B828" s="4"/>
      <c r="C828" s="4"/>
    </row>
    <row r="829" ht="15.75" customHeight="1">
      <c r="A829" s="4"/>
      <c r="B829" s="4"/>
      <c r="C829" s="4"/>
    </row>
    <row r="830" ht="15.75" customHeight="1">
      <c r="A830" s="4"/>
      <c r="B830" s="4"/>
      <c r="C830" s="4"/>
    </row>
    <row r="831" ht="15.75" customHeight="1">
      <c r="A831" s="4"/>
      <c r="B831" s="4"/>
      <c r="C831" s="4"/>
    </row>
    <row r="832" ht="15.75" customHeight="1">
      <c r="A832" s="4"/>
      <c r="B832" s="4"/>
      <c r="C832" s="4"/>
    </row>
    <row r="833" ht="15.75" customHeight="1">
      <c r="A833" s="4"/>
      <c r="B833" s="4"/>
      <c r="C833" s="4"/>
    </row>
    <row r="834" ht="15.75" customHeight="1">
      <c r="A834" s="4"/>
      <c r="B834" s="4"/>
      <c r="C834" s="4"/>
    </row>
    <row r="835" ht="15.75" customHeight="1">
      <c r="A835" s="4"/>
      <c r="B835" s="4"/>
      <c r="C835" s="4"/>
    </row>
    <row r="836" ht="15.75" customHeight="1">
      <c r="A836" s="4"/>
      <c r="B836" s="4"/>
      <c r="C836" s="4"/>
    </row>
    <row r="837" ht="15.75" customHeight="1">
      <c r="A837" s="4"/>
      <c r="B837" s="4"/>
      <c r="C837" s="4"/>
    </row>
    <row r="838" ht="15.75" customHeight="1">
      <c r="A838" s="4"/>
      <c r="B838" s="4"/>
      <c r="C838" s="4"/>
    </row>
    <row r="839" ht="15.75" customHeight="1">
      <c r="A839" s="4"/>
      <c r="B839" s="4"/>
      <c r="C839" s="4"/>
    </row>
    <row r="840" ht="15.75" customHeight="1">
      <c r="A840" s="4"/>
      <c r="B840" s="4"/>
      <c r="C840" s="4"/>
    </row>
    <row r="841" ht="15.75" customHeight="1">
      <c r="A841" s="4"/>
      <c r="B841" s="4"/>
      <c r="C841" s="4"/>
    </row>
    <row r="842" ht="15.75" customHeight="1">
      <c r="A842" s="4"/>
      <c r="B842" s="4"/>
      <c r="C842" s="4"/>
    </row>
    <row r="843" ht="15.75" customHeight="1">
      <c r="A843" s="4"/>
      <c r="B843" s="4"/>
      <c r="C843" s="4"/>
    </row>
    <row r="844" ht="15.75" customHeight="1">
      <c r="A844" s="4"/>
      <c r="B844" s="4"/>
      <c r="C844" s="4"/>
    </row>
    <row r="845" ht="15.75" customHeight="1">
      <c r="A845" s="4"/>
      <c r="B845" s="4"/>
      <c r="C845" s="4"/>
    </row>
    <row r="846" ht="15.75" customHeight="1">
      <c r="A846" s="4"/>
      <c r="B846" s="4"/>
      <c r="C846" s="4"/>
    </row>
    <row r="847" ht="15.75" customHeight="1">
      <c r="A847" s="4"/>
      <c r="B847" s="4"/>
      <c r="C847" s="4"/>
    </row>
    <row r="848" ht="15.75" customHeight="1">
      <c r="A848" s="4"/>
      <c r="B848" s="4"/>
      <c r="C848" s="4"/>
    </row>
    <row r="849" ht="15.75" customHeight="1">
      <c r="A849" s="4"/>
      <c r="B849" s="4"/>
      <c r="C849" s="4"/>
    </row>
    <row r="850" ht="15.75" customHeight="1">
      <c r="A850" s="4"/>
      <c r="B850" s="4"/>
      <c r="C850" s="4"/>
    </row>
    <row r="851" ht="15.75" customHeight="1">
      <c r="A851" s="4"/>
      <c r="B851" s="4"/>
      <c r="C851" s="4"/>
    </row>
    <row r="852" ht="15.75" customHeight="1">
      <c r="A852" s="4"/>
      <c r="B852" s="4"/>
      <c r="C852" s="4"/>
    </row>
    <row r="853" ht="15.75" customHeight="1">
      <c r="A853" s="4"/>
      <c r="B853" s="4"/>
      <c r="C853" s="4"/>
    </row>
    <row r="854" ht="15.75" customHeight="1">
      <c r="A854" s="4"/>
      <c r="B854" s="4"/>
      <c r="C854" s="4"/>
    </row>
    <row r="855" ht="15.75" customHeight="1">
      <c r="A855" s="4"/>
      <c r="B855" s="4"/>
      <c r="C855" s="4"/>
    </row>
    <row r="856" ht="15.75" customHeight="1">
      <c r="A856" s="4"/>
      <c r="B856" s="4"/>
      <c r="C856" s="4"/>
    </row>
    <row r="857" ht="15.75" customHeight="1">
      <c r="A857" s="4"/>
      <c r="B857" s="4"/>
      <c r="C857" s="4"/>
    </row>
    <row r="858" ht="15.75" customHeight="1">
      <c r="A858" s="4"/>
      <c r="B858" s="4"/>
      <c r="C858" s="4"/>
    </row>
    <row r="859" ht="15.75" customHeight="1">
      <c r="A859" s="4"/>
      <c r="B859" s="4"/>
      <c r="C859" s="4"/>
    </row>
    <row r="860" ht="15.75" customHeight="1">
      <c r="A860" s="4"/>
      <c r="B860" s="4"/>
      <c r="C860" s="4"/>
    </row>
    <row r="861" ht="15.75" customHeight="1">
      <c r="A861" s="4"/>
      <c r="B861" s="4"/>
      <c r="C861" s="4"/>
    </row>
    <row r="862" ht="15.75" customHeight="1">
      <c r="A862" s="4"/>
      <c r="B862" s="4"/>
      <c r="C862" s="4"/>
    </row>
    <row r="863" ht="15.75" customHeight="1">
      <c r="A863" s="4"/>
      <c r="B863" s="4"/>
      <c r="C863" s="4"/>
    </row>
    <row r="864" ht="15.75" customHeight="1">
      <c r="A864" s="4"/>
      <c r="B864" s="4"/>
      <c r="C864" s="4"/>
    </row>
    <row r="865" ht="15.75" customHeight="1">
      <c r="A865" s="4"/>
      <c r="B865" s="4"/>
      <c r="C865" s="4"/>
    </row>
    <row r="866" ht="15.75" customHeight="1">
      <c r="A866" s="4"/>
      <c r="B866" s="4"/>
      <c r="C866" s="4"/>
    </row>
    <row r="867" ht="15.75" customHeight="1">
      <c r="A867" s="4"/>
      <c r="B867" s="4"/>
      <c r="C867" s="4"/>
    </row>
    <row r="868" ht="15.75" customHeight="1">
      <c r="A868" s="4"/>
      <c r="B868" s="4"/>
      <c r="C868" s="4"/>
    </row>
    <row r="869" ht="15.75" customHeight="1">
      <c r="A869" s="4"/>
      <c r="B869" s="4"/>
      <c r="C869" s="4"/>
    </row>
    <row r="870" ht="15.75" customHeight="1">
      <c r="A870" s="4"/>
      <c r="B870" s="4"/>
      <c r="C870" s="4"/>
    </row>
    <row r="871" ht="15.75" customHeight="1">
      <c r="A871" s="4"/>
      <c r="B871" s="4"/>
      <c r="C871" s="4"/>
    </row>
    <row r="872" ht="15.75" customHeight="1">
      <c r="A872" s="4"/>
      <c r="B872" s="4"/>
      <c r="C872" s="4"/>
    </row>
    <row r="873" ht="15.75" customHeight="1">
      <c r="A873" s="4"/>
      <c r="B873" s="4"/>
      <c r="C873" s="4"/>
    </row>
    <row r="874" ht="15.75" customHeight="1">
      <c r="A874" s="4"/>
      <c r="B874" s="4"/>
      <c r="C874" s="4"/>
    </row>
    <row r="875" ht="15.75" customHeight="1">
      <c r="A875" s="4"/>
      <c r="B875" s="4"/>
      <c r="C875" s="4"/>
    </row>
    <row r="876" ht="15.75" customHeight="1">
      <c r="A876" s="4"/>
      <c r="B876" s="4"/>
      <c r="C876" s="4"/>
    </row>
    <row r="877" ht="15.75" customHeight="1">
      <c r="A877" s="4"/>
      <c r="B877" s="4"/>
      <c r="C877" s="4"/>
    </row>
    <row r="878" ht="15.75" customHeight="1">
      <c r="A878" s="4"/>
      <c r="B878" s="4"/>
      <c r="C878" s="4"/>
    </row>
    <row r="879" ht="15.75" customHeight="1">
      <c r="A879" s="4"/>
      <c r="B879" s="4"/>
      <c r="C879" s="4"/>
    </row>
    <row r="880" ht="15.75" customHeight="1">
      <c r="A880" s="4"/>
      <c r="B880" s="4"/>
      <c r="C880" s="4"/>
    </row>
    <row r="881" ht="15.75" customHeight="1">
      <c r="A881" s="4"/>
      <c r="B881" s="4"/>
      <c r="C881" s="4"/>
    </row>
    <row r="882" ht="15.75" customHeight="1">
      <c r="A882" s="4"/>
      <c r="B882" s="4"/>
      <c r="C882" s="4"/>
    </row>
    <row r="883" ht="15.75" customHeight="1">
      <c r="A883" s="4"/>
      <c r="B883" s="4"/>
      <c r="C883" s="4"/>
    </row>
    <row r="884" ht="15.75" customHeight="1">
      <c r="A884" s="4"/>
      <c r="B884" s="4"/>
      <c r="C884" s="4"/>
    </row>
    <row r="885" ht="15.75" customHeight="1">
      <c r="A885" s="4"/>
      <c r="B885" s="4"/>
      <c r="C885" s="4"/>
    </row>
    <row r="886" ht="15.75" customHeight="1">
      <c r="A886" s="4"/>
      <c r="B886" s="4"/>
      <c r="C886" s="4"/>
    </row>
    <row r="887" ht="15.75" customHeight="1">
      <c r="A887" s="4"/>
      <c r="B887" s="4"/>
      <c r="C887" s="4"/>
    </row>
    <row r="888" ht="15.75" customHeight="1">
      <c r="A888" s="4"/>
      <c r="B888" s="4"/>
      <c r="C888" s="4"/>
    </row>
    <row r="889" ht="15.75" customHeight="1">
      <c r="A889" s="4"/>
      <c r="B889" s="4"/>
      <c r="C889" s="4"/>
    </row>
    <row r="890" ht="15.75" customHeight="1">
      <c r="A890" s="4"/>
      <c r="B890" s="4"/>
      <c r="C890" s="4"/>
    </row>
    <row r="891" ht="15.75" customHeight="1">
      <c r="A891" s="4"/>
      <c r="B891" s="4"/>
      <c r="C891" s="4"/>
    </row>
    <row r="892" ht="15.75" customHeight="1">
      <c r="A892" s="4"/>
      <c r="B892" s="4"/>
      <c r="C892" s="4"/>
    </row>
    <row r="893" ht="15.75" customHeight="1">
      <c r="A893" s="4"/>
      <c r="B893" s="4"/>
      <c r="C893" s="4"/>
    </row>
    <row r="894" ht="15.75" customHeight="1">
      <c r="A894" s="4"/>
      <c r="B894" s="4"/>
      <c r="C894" s="4"/>
    </row>
    <row r="895" ht="15.75" customHeight="1">
      <c r="A895" s="4"/>
      <c r="B895" s="4"/>
      <c r="C895" s="4"/>
    </row>
    <row r="896" ht="15.75" customHeight="1">
      <c r="A896" s="4"/>
      <c r="B896" s="4"/>
      <c r="C896" s="4"/>
    </row>
    <row r="897" ht="15.75" customHeight="1">
      <c r="A897" s="4"/>
      <c r="B897" s="4"/>
      <c r="C897" s="4"/>
    </row>
    <row r="898" ht="15.75" customHeight="1">
      <c r="A898" s="4"/>
      <c r="B898" s="4"/>
      <c r="C898" s="4"/>
    </row>
    <row r="899" ht="15.75" customHeight="1">
      <c r="A899" s="4"/>
      <c r="B899" s="4"/>
      <c r="C899" s="4"/>
    </row>
    <row r="900" ht="15.75" customHeight="1">
      <c r="A900" s="4"/>
      <c r="B900" s="4"/>
      <c r="C900" s="4"/>
    </row>
    <row r="901" ht="15.75" customHeight="1">
      <c r="A901" s="4"/>
      <c r="B901" s="4"/>
      <c r="C901" s="4"/>
    </row>
    <row r="902" ht="15.75" customHeight="1">
      <c r="A902" s="4"/>
      <c r="B902" s="4"/>
      <c r="C902" s="4"/>
    </row>
    <row r="903" ht="15.75" customHeight="1">
      <c r="A903" s="4"/>
      <c r="B903" s="4"/>
      <c r="C903" s="4"/>
    </row>
    <row r="904" ht="15.75" customHeight="1">
      <c r="A904" s="4"/>
      <c r="B904" s="4"/>
      <c r="C904" s="4"/>
    </row>
    <row r="905" ht="15.75" customHeight="1">
      <c r="A905" s="4"/>
      <c r="B905" s="4"/>
      <c r="C905" s="4"/>
    </row>
    <row r="906" ht="15.75" customHeight="1">
      <c r="A906" s="4"/>
      <c r="B906" s="4"/>
      <c r="C906" s="4"/>
    </row>
    <row r="907" ht="15.75" customHeight="1">
      <c r="A907" s="4"/>
      <c r="B907" s="4"/>
      <c r="C907" s="4"/>
    </row>
    <row r="908" ht="15.75" customHeight="1">
      <c r="A908" s="4"/>
      <c r="B908" s="4"/>
      <c r="C908" s="4"/>
    </row>
    <row r="909" ht="15.75" customHeight="1">
      <c r="A909" s="4"/>
      <c r="B909" s="4"/>
      <c r="C909" s="4"/>
    </row>
    <row r="910" ht="15.75" customHeight="1">
      <c r="A910" s="4"/>
      <c r="B910" s="4"/>
      <c r="C910" s="4"/>
    </row>
    <row r="911" ht="15.75" customHeight="1">
      <c r="A911" s="4"/>
      <c r="B911" s="4"/>
      <c r="C911" s="4"/>
    </row>
    <row r="912" ht="15.75" customHeight="1">
      <c r="A912" s="4"/>
      <c r="B912" s="4"/>
      <c r="C912" s="4"/>
    </row>
    <row r="913" ht="15.75" customHeight="1">
      <c r="A913" s="4"/>
      <c r="B913" s="4"/>
      <c r="C913" s="4"/>
    </row>
    <row r="914" ht="15.75" customHeight="1">
      <c r="A914" s="4"/>
      <c r="B914" s="4"/>
      <c r="C914" s="4"/>
    </row>
    <row r="915" ht="15.75" customHeight="1">
      <c r="A915" s="4"/>
      <c r="B915" s="4"/>
      <c r="C915" s="4"/>
    </row>
    <row r="916" ht="15.75" customHeight="1">
      <c r="A916" s="4"/>
      <c r="B916" s="4"/>
      <c r="C916" s="4"/>
    </row>
    <row r="917" ht="15.75" customHeight="1">
      <c r="A917" s="4"/>
      <c r="B917" s="4"/>
      <c r="C917" s="4"/>
    </row>
    <row r="918" ht="15.75" customHeight="1">
      <c r="A918" s="4"/>
      <c r="B918" s="4"/>
      <c r="C918" s="4"/>
    </row>
    <row r="919" ht="15.75" customHeight="1">
      <c r="A919" s="4"/>
      <c r="B919" s="4"/>
      <c r="C919" s="4"/>
    </row>
    <row r="920" ht="15.75" customHeight="1">
      <c r="A920" s="4"/>
      <c r="B920" s="4"/>
      <c r="C920" s="4"/>
    </row>
    <row r="921" ht="15.75" customHeight="1">
      <c r="A921" s="4"/>
      <c r="B921" s="4"/>
      <c r="C921" s="4"/>
    </row>
    <row r="922" ht="15.75" customHeight="1">
      <c r="A922" s="4"/>
      <c r="B922" s="4"/>
      <c r="C922" s="4"/>
    </row>
    <row r="923" ht="15.75" customHeight="1">
      <c r="A923" s="4"/>
      <c r="B923" s="4"/>
      <c r="C923" s="4"/>
    </row>
    <row r="924" ht="15.75" customHeight="1">
      <c r="A924" s="4"/>
      <c r="B924" s="4"/>
      <c r="C924" s="4"/>
    </row>
    <row r="925" ht="15.75" customHeight="1">
      <c r="A925" s="4"/>
      <c r="B925" s="4"/>
      <c r="C925" s="4"/>
    </row>
    <row r="926" ht="15.75" customHeight="1">
      <c r="A926" s="4"/>
      <c r="B926" s="4"/>
      <c r="C926" s="4"/>
    </row>
    <row r="927" ht="15.75" customHeight="1">
      <c r="A927" s="4"/>
      <c r="B927" s="4"/>
      <c r="C927" s="4"/>
    </row>
    <row r="928" ht="15.75" customHeight="1">
      <c r="A928" s="4"/>
      <c r="B928" s="4"/>
      <c r="C928" s="4"/>
    </row>
    <row r="929" ht="15.75" customHeight="1">
      <c r="A929" s="4"/>
      <c r="B929" s="4"/>
      <c r="C929" s="4"/>
    </row>
    <row r="930" ht="15.75" customHeight="1">
      <c r="A930" s="4"/>
      <c r="B930" s="4"/>
      <c r="C930" s="4"/>
    </row>
    <row r="931" ht="15.75" customHeight="1">
      <c r="A931" s="4"/>
      <c r="B931" s="4"/>
      <c r="C931" s="4"/>
    </row>
    <row r="932" ht="15.75" customHeight="1">
      <c r="A932" s="4"/>
      <c r="B932" s="4"/>
      <c r="C932" s="4"/>
    </row>
    <row r="933" ht="15.75" customHeight="1">
      <c r="A933" s="4"/>
      <c r="B933" s="4"/>
      <c r="C933" s="4"/>
    </row>
    <row r="934" ht="15.75" customHeight="1">
      <c r="A934" s="4"/>
      <c r="B934" s="4"/>
      <c r="C934" s="4"/>
    </row>
    <row r="935" ht="15.75" customHeight="1">
      <c r="A935" s="4"/>
      <c r="B935" s="4"/>
      <c r="C935" s="4"/>
    </row>
    <row r="936" ht="15.75" customHeight="1">
      <c r="A936" s="4"/>
      <c r="B936" s="4"/>
      <c r="C936" s="4"/>
    </row>
    <row r="937" ht="15.75" customHeight="1">
      <c r="A937" s="4"/>
      <c r="B937" s="4"/>
      <c r="C937" s="4"/>
    </row>
    <row r="938" ht="15.75" customHeight="1">
      <c r="A938" s="4"/>
      <c r="B938" s="4"/>
      <c r="C938" s="4"/>
    </row>
    <row r="939" ht="15.75" customHeight="1">
      <c r="A939" s="4"/>
      <c r="B939" s="4"/>
      <c r="C939" s="4"/>
    </row>
    <row r="940" ht="15.75" customHeight="1">
      <c r="A940" s="4"/>
      <c r="B940" s="4"/>
      <c r="C940" s="4"/>
    </row>
    <row r="941" ht="15.75" customHeight="1">
      <c r="A941" s="4"/>
      <c r="B941" s="4"/>
      <c r="C941" s="4"/>
    </row>
    <row r="942" ht="15.75" customHeight="1">
      <c r="A942" s="4"/>
      <c r="B942" s="4"/>
      <c r="C942" s="4"/>
    </row>
    <row r="943" ht="15.75" customHeight="1">
      <c r="A943" s="4"/>
      <c r="B943" s="4"/>
      <c r="C943" s="4"/>
    </row>
    <row r="944" ht="15.75" customHeight="1">
      <c r="A944" s="4"/>
      <c r="B944" s="4"/>
      <c r="C944" s="4"/>
    </row>
    <row r="945" ht="15.75" customHeight="1">
      <c r="A945" s="4"/>
      <c r="B945" s="4"/>
      <c r="C945" s="4"/>
    </row>
    <row r="946" ht="15.75" customHeight="1">
      <c r="A946" s="4"/>
      <c r="B946" s="4"/>
      <c r="C946" s="4"/>
    </row>
    <row r="947" ht="15.75" customHeight="1">
      <c r="A947" s="4"/>
      <c r="B947" s="4"/>
      <c r="C947" s="4"/>
    </row>
    <row r="948" ht="15.75" customHeight="1">
      <c r="A948" s="4"/>
      <c r="B948" s="4"/>
      <c r="C948" s="4"/>
    </row>
    <row r="949" ht="15.75" customHeight="1">
      <c r="A949" s="4"/>
      <c r="B949" s="4"/>
      <c r="C949" s="4"/>
    </row>
    <row r="950" ht="15.75" customHeight="1">
      <c r="A950" s="4"/>
      <c r="B950" s="4"/>
      <c r="C950" s="4"/>
    </row>
    <row r="951" ht="15.75" customHeight="1">
      <c r="A951" s="4"/>
      <c r="B951" s="4"/>
      <c r="C951" s="4"/>
    </row>
    <row r="952" ht="15.75" customHeight="1">
      <c r="A952" s="4"/>
      <c r="B952" s="4"/>
      <c r="C952" s="4"/>
    </row>
    <row r="953" ht="15.75" customHeight="1">
      <c r="A953" s="4"/>
      <c r="B953" s="4"/>
      <c r="C953" s="4"/>
    </row>
    <row r="954" ht="15.75" customHeight="1">
      <c r="A954" s="4"/>
      <c r="B954" s="4"/>
      <c r="C954" s="4"/>
    </row>
    <row r="955" ht="15.75" customHeight="1">
      <c r="A955" s="4"/>
      <c r="B955" s="4"/>
      <c r="C955" s="4"/>
    </row>
    <row r="956" ht="15.75" customHeight="1">
      <c r="A956" s="4"/>
      <c r="B956" s="4"/>
      <c r="C956" s="4"/>
    </row>
    <row r="957" ht="15.75" customHeight="1">
      <c r="A957" s="4"/>
      <c r="B957" s="4"/>
      <c r="C957" s="4"/>
    </row>
    <row r="958" ht="15.75" customHeight="1">
      <c r="A958" s="4"/>
      <c r="B958" s="4"/>
      <c r="C958" s="4"/>
    </row>
    <row r="959" ht="15.75" customHeight="1">
      <c r="A959" s="4"/>
      <c r="B959" s="4"/>
      <c r="C959" s="4"/>
    </row>
    <row r="960" ht="15.75" customHeight="1">
      <c r="A960" s="4"/>
      <c r="B960" s="4"/>
      <c r="C960" s="4"/>
    </row>
    <row r="961" ht="15.75" customHeight="1">
      <c r="A961" s="4"/>
      <c r="B961" s="4"/>
      <c r="C961" s="4"/>
    </row>
    <row r="962" ht="15.75" customHeight="1">
      <c r="A962" s="4"/>
      <c r="B962" s="4"/>
      <c r="C962" s="4"/>
    </row>
    <row r="963" ht="15.75" customHeight="1">
      <c r="A963" s="4"/>
      <c r="B963" s="4"/>
      <c r="C963" s="4"/>
    </row>
    <row r="964" ht="15.75" customHeight="1">
      <c r="A964" s="4"/>
      <c r="B964" s="4"/>
      <c r="C964" s="4"/>
    </row>
    <row r="965" ht="15.75" customHeight="1">
      <c r="A965" s="4"/>
      <c r="B965" s="4"/>
      <c r="C965" s="4"/>
    </row>
    <row r="966" ht="15.75" customHeight="1">
      <c r="A966" s="4"/>
      <c r="B966" s="4"/>
      <c r="C966" s="4"/>
    </row>
    <row r="967" ht="15.75" customHeight="1">
      <c r="A967" s="4"/>
      <c r="B967" s="4"/>
      <c r="C967" s="4"/>
    </row>
    <row r="968" ht="15.75" customHeight="1">
      <c r="A968" s="4"/>
      <c r="B968" s="4"/>
      <c r="C968" s="4"/>
    </row>
    <row r="969" ht="15.75" customHeight="1">
      <c r="A969" s="4"/>
      <c r="B969" s="4"/>
      <c r="C969" s="4"/>
    </row>
    <row r="970" ht="15.75" customHeight="1">
      <c r="A970" s="4"/>
      <c r="B970" s="4"/>
      <c r="C970" s="4"/>
    </row>
    <row r="971" ht="15.75" customHeight="1">
      <c r="A971" s="4"/>
      <c r="B971" s="4"/>
      <c r="C971" s="4"/>
    </row>
    <row r="972" ht="15.75" customHeight="1">
      <c r="A972" s="4"/>
      <c r="B972" s="4"/>
      <c r="C972" s="4"/>
    </row>
    <row r="973" ht="15.75" customHeight="1">
      <c r="A973" s="4"/>
      <c r="B973" s="4"/>
      <c r="C973" s="4"/>
    </row>
    <row r="974" ht="15.75" customHeight="1">
      <c r="A974" s="4"/>
      <c r="B974" s="4"/>
      <c r="C974" s="4"/>
    </row>
    <row r="975" ht="15.75" customHeight="1">
      <c r="A975" s="4"/>
      <c r="B975" s="4"/>
      <c r="C975" s="4"/>
    </row>
    <row r="976" ht="15.75" customHeight="1">
      <c r="A976" s="4"/>
      <c r="B976" s="4"/>
      <c r="C976" s="4"/>
    </row>
    <row r="977" ht="15.75" customHeight="1">
      <c r="A977" s="4"/>
      <c r="B977" s="4"/>
      <c r="C977" s="4"/>
    </row>
    <row r="978" ht="15.75" customHeight="1">
      <c r="A978" s="4"/>
      <c r="B978" s="4"/>
      <c r="C978" s="4"/>
    </row>
    <row r="979" ht="15.75" customHeight="1">
      <c r="A979" s="4"/>
      <c r="B979" s="4"/>
      <c r="C979" s="4"/>
    </row>
    <row r="980" ht="15.75" customHeight="1">
      <c r="A980" s="4"/>
      <c r="B980" s="4"/>
      <c r="C980" s="4"/>
    </row>
    <row r="981" ht="15.75" customHeight="1">
      <c r="A981" s="4"/>
      <c r="B981" s="4"/>
      <c r="C981" s="4"/>
    </row>
    <row r="982" ht="15.75" customHeight="1">
      <c r="A982" s="4"/>
      <c r="B982" s="4"/>
      <c r="C982" s="4"/>
    </row>
    <row r="983" ht="15.75" customHeight="1">
      <c r="A983" s="4"/>
      <c r="B983" s="4"/>
      <c r="C983" s="4"/>
    </row>
    <row r="984" ht="15.75" customHeight="1">
      <c r="A984" s="4"/>
      <c r="B984" s="4"/>
      <c r="C984" s="4"/>
    </row>
    <row r="985" ht="15.75" customHeight="1">
      <c r="A985" s="4"/>
      <c r="B985" s="4"/>
      <c r="C985" s="4"/>
    </row>
    <row r="986" ht="15.75" customHeight="1">
      <c r="A986" s="4"/>
      <c r="B986" s="4"/>
      <c r="C986" s="4"/>
    </row>
    <row r="987" ht="15.75" customHeight="1">
      <c r="A987" s="4"/>
      <c r="B987" s="4"/>
      <c r="C987" s="4"/>
    </row>
    <row r="988" ht="15.75" customHeight="1">
      <c r="A988" s="4"/>
      <c r="B988" s="4"/>
      <c r="C988" s="4"/>
    </row>
    <row r="989" ht="15.75" customHeight="1">
      <c r="A989" s="4"/>
      <c r="B989" s="4"/>
      <c r="C989" s="4"/>
    </row>
    <row r="990" ht="15.75" customHeight="1">
      <c r="A990" s="4"/>
      <c r="B990" s="4"/>
      <c r="C990" s="4"/>
    </row>
    <row r="991" ht="15.75" customHeight="1">
      <c r="A991" s="4"/>
      <c r="B991" s="4"/>
      <c r="C991" s="4"/>
    </row>
    <row r="992" ht="15.75" customHeight="1">
      <c r="A992" s="4"/>
      <c r="B992" s="4"/>
      <c r="C992" s="4"/>
    </row>
    <row r="993" ht="15.75" customHeight="1">
      <c r="A993" s="4"/>
      <c r="B993" s="4"/>
      <c r="C993" s="4"/>
    </row>
    <row r="994" ht="15.75" customHeight="1">
      <c r="A994" s="4"/>
      <c r="B994" s="4"/>
      <c r="C994" s="4"/>
    </row>
    <row r="995" ht="15.75" customHeight="1">
      <c r="A995" s="4"/>
      <c r="B995" s="4"/>
      <c r="C995" s="4"/>
    </row>
    <row r="996" ht="15.75" customHeight="1">
      <c r="A996" s="4"/>
      <c r="B996" s="4"/>
      <c r="C996" s="4"/>
    </row>
    <row r="997" ht="15.75" customHeight="1">
      <c r="A997" s="4"/>
      <c r="B997" s="4"/>
      <c r="C997" s="4"/>
    </row>
    <row r="998" ht="15.75" customHeight="1">
      <c r="A998" s="4"/>
      <c r="B998" s="4"/>
      <c r="C998" s="4"/>
    </row>
    <row r="999" ht="15.75" customHeight="1">
      <c r="A999" s="4"/>
      <c r="B999" s="4"/>
      <c r="C999" s="4"/>
    </row>
    <row r="1000" ht="15.75" customHeight="1">
      <c r="A1000" s="4"/>
      <c r="B1000" s="4"/>
      <c r="C1000" s="4"/>
    </row>
  </sheetData>
  <mergeCells count="1">
    <mergeCell ref="A2:C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0.0"/>
    <col customWidth="1" min="3" max="3" width="12.0"/>
    <col customWidth="1" min="4" max="4" width="40.0"/>
    <col customWidth="1" min="5" max="5" width="10.0"/>
    <col customWidth="1" min="6" max="26" width="8.71"/>
  </cols>
  <sheetData>
    <row r="1">
      <c r="A1" s="20" t="s">
        <v>161</v>
      </c>
      <c r="B1" s="20" t="s">
        <v>162</v>
      </c>
      <c r="C1" s="20" t="s">
        <v>163</v>
      </c>
      <c r="D1" s="20" t="s">
        <v>165</v>
      </c>
      <c r="E1" s="20" t="s">
        <v>166</v>
      </c>
    </row>
    <row r="2">
      <c r="A2" s="10" t="s">
        <v>37</v>
      </c>
      <c r="B2" s="10" t="s">
        <v>122</v>
      </c>
      <c r="C2" s="41">
        <f t="array" ref="C2">IF(IFERROR(INDEX(CATALOG_POINTS,MATCH(A2,CATALOG_TASK,0)),"")="",IF(MAX(IF(IFERROR(FIND(CATALOG_BASE,A2),0)=1,CATALOG_POINTS,0))=0,DAILY_POST_POINTS,MAX(IF(IFERROR(FIND(CATALOG_BASE,A2),0)=1,CATALOG_POINTS,0))),IFERROR(INDEX(CATALOG_POINTS,MATCH(A2,CATALOG_TASK,0)),""))</f>
        <v>2</v>
      </c>
      <c r="D2" s="10" t="s">
        <v>167</v>
      </c>
      <c r="E2" s="41" t="str">
        <f t="shared" ref="E2:E3177" si="1">IF(ISNUMBER(SEARCH("PROX5",D2)),"PROX5",IF(ISNUMBER(SEARCH("PROX4",D2)),"PROX4",IF(ISNUMBER(SEARCH("PROX3",D2)),"PROX3",IF(ISNUMBER(SEARCH("SEM",D2)),"SEM",IF(ISNUMBER(SEARCH("SE1",D2)),"SE1",IF(ISNUMBER(SEARCH("E0",D2)),"E0",""))))))</f>
        <v/>
      </c>
    </row>
    <row r="3">
      <c r="A3" s="10" t="s">
        <v>37</v>
      </c>
      <c r="B3" s="10" t="s">
        <v>127</v>
      </c>
      <c r="C3" s="41">
        <f t="array" ref="C3">IF(IFERROR(INDEX(CATALOG_POINTS,MATCH(A3,CATALOG_TASK,0)),"")="",IF(MAX(IF(IFERROR(FIND(CATALOG_BASE,A3),0)=1,CATALOG_POINTS,0))=0,DAILY_POST_POINTS,MAX(IF(IFERROR(FIND(CATALOG_BASE,A3),0)=1,CATALOG_POINTS,0))),IFERROR(INDEX(CATALOG_POINTS,MATCH(A3,CATALOG_TASK,0)),""))</f>
        <v>2</v>
      </c>
      <c r="D3" s="10" t="s">
        <v>167</v>
      </c>
      <c r="E3" s="41" t="str">
        <f t="shared" si="1"/>
        <v/>
      </c>
    </row>
    <row r="4">
      <c r="A4" s="10" t="s">
        <v>168</v>
      </c>
      <c r="B4" s="10" t="s">
        <v>119</v>
      </c>
      <c r="C4" s="41">
        <f t="array" ref="C4">IF(IFERROR(INDEX(CATALOG_POINTS,MATCH(A4,CATALOG_TASK,0)),"")="",IF(MAX(IF(IFERROR(FIND(CATALOG_BASE,A4),0)=1,CATALOG_POINTS,0))=0,DAILY_POST_POINTS,MAX(IF(IFERROR(FIND(CATALOG_BASE,A4),0)=1,CATALOG_POINTS,0))),IFERROR(INDEX(CATALOG_POINTS,MATCH(A4,CATALOG_TASK,0)),""))</f>
        <v>1</v>
      </c>
      <c r="D4" s="10" t="s">
        <v>167</v>
      </c>
      <c r="E4" s="41" t="str">
        <f t="shared" si="1"/>
        <v/>
      </c>
    </row>
    <row r="5">
      <c r="A5" s="10" t="s">
        <v>168</v>
      </c>
      <c r="B5" s="10" t="s">
        <v>119</v>
      </c>
      <c r="C5" s="41">
        <f t="array" ref="C5">IF(IFERROR(INDEX(CATALOG_POINTS,MATCH(A5,CATALOG_TASK,0)),"")="",IF(MAX(IF(IFERROR(FIND(CATALOG_BASE,A5),0)=1,CATALOG_POINTS,0))=0,DAILY_POST_POINTS,MAX(IF(IFERROR(FIND(CATALOG_BASE,A5),0)=1,CATALOG_POINTS,0))),IFERROR(INDEX(CATALOG_POINTS,MATCH(A5,CATALOG_TASK,0)),""))</f>
        <v>1</v>
      </c>
      <c r="D5" s="10" t="s">
        <v>167</v>
      </c>
      <c r="E5" s="41" t="str">
        <f t="shared" si="1"/>
        <v/>
      </c>
    </row>
    <row r="6">
      <c r="A6" s="10" t="s">
        <v>168</v>
      </c>
      <c r="B6" s="10" t="s">
        <v>124</v>
      </c>
      <c r="C6" s="41">
        <f t="array" ref="C6">IF(IFERROR(INDEX(CATALOG_POINTS,MATCH(A6,CATALOG_TASK,0)),"")="",IF(MAX(IF(IFERROR(FIND(CATALOG_BASE,A6),0)=1,CATALOG_POINTS,0))=0,DAILY_POST_POINTS,MAX(IF(IFERROR(FIND(CATALOG_BASE,A6),0)=1,CATALOG_POINTS,0))),IFERROR(INDEX(CATALOG_POINTS,MATCH(A6,CATALOG_TASK,0)),""))</f>
        <v>1</v>
      </c>
      <c r="D6" s="10" t="s">
        <v>167</v>
      </c>
      <c r="E6" s="41" t="str">
        <f t="shared" si="1"/>
        <v/>
      </c>
    </row>
    <row r="7">
      <c r="A7" s="10" t="s">
        <v>53</v>
      </c>
      <c r="B7" s="10" t="s">
        <v>142</v>
      </c>
      <c r="C7" s="41">
        <f t="array" ref="C7">IF(IFERROR(INDEX(CATALOG_POINTS,MATCH(A7,CATALOG_TASK,0)),"")="",IF(MAX(IF(IFERROR(FIND(CATALOG_BASE,A7),0)=1,CATALOG_POINTS,0))=0,DAILY_POST_POINTS,MAX(IF(IFERROR(FIND(CATALOG_BASE,A7),0)=1,CATALOG_POINTS,0))),IFERROR(INDEX(CATALOG_POINTS,MATCH(A7,CATALOG_TASK,0)),""))</f>
        <v>6</v>
      </c>
      <c r="D7" s="10" t="s">
        <v>167</v>
      </c>
      <c r="E7" s="41" t="str">
        <f t="shared" si="1"/>
        <v/>
      </c>
    </row>
    <row r="8">
      <c r="A8" s="10" t="s">
        <v>53</v>
      </c>
      <c r="B8" s="10" t="s">
        <v>141</v>
      </c>
      <c r="C8" s="41">
        <f t="array" ref="C8">IF(IFERROR(INDEX(CATALOG_POINTS,MATCH(A8,CATALOG_TASK,0)),"")="",IF(MAX(IF(IFERROR(FIND(CATALOG_BASE,A8),0)=1,CATALOG_POINTS,0))=0,DAILY_POST_POINTS,MAX(IF(IFERROR(FIND(CATALOG_BASE,A8),0)=1,CATALOG_POINTS,0))),IFERROR(INDEX(CATALOG_POINTS,MATCH(A8,CATALOG_TASK,0)),""))</f>
        <v>6</v>
      </c>
      <c r="D8" s="10" t="s">
        <v>167</v>
      </c>
      <c r="E8" s="41" t="str">
        <f t="shared" si="1"/>
        <v/>
      </c>
    </row>
    <row r="9">
      <c r="A9" s="10" t="s">
        <v>53</v>
      </c>
      <c r="B9" s="10" t="s">
        <v>140</v>
      </c>
      <c r="C9" s="41">
        <f t="array" ref="C9">IF(IFERROR(INDEX(CATALOG_POINTS,MATCH(A9,CATALOG_TASK,0)),"")="",IF(MAX(IF(IFERROR(FIND(CATALOG_BASE,A9),0)=1,CATALOG_POINTS,0))=0,DAILY_POST_POINTS,MAX(IF(IFERROR(FIND(CATALOG_BASE,A9),0)=1,CATALOG_POINTS,0))),IFERROR(INDEX(CATALOG_POINTS,MATCH(A9,CATALOG_TASK,0)),""))</f>
        <v>6</v>
      </c>
      <c r="D9" s="10" t="s">
        <v>167</v>
      </c>
      <c r="E9" s="41" t="str">
        <f t="shared" si="1"/>
        <v/>
      </c>
    </row>
    <row r="10">
      <c r="A10" s="10" t="s">
        <v>37</v>
      </c>
      <c r="B10" s="10" t="s">
        <v>119</v>
      </c>
      <c r="C10" s="41">
        <f t="array" ref="C10">IF(IFERROR(INDEX(CATALOG_POINTS,MATCH(A10,CATALOG_TASK,0)),"")="",IF(MAX(IF(IFERROR(FIND(CATALOG_BASE,A10),0)=1,CATALOG_POINTS,0))=0,DAILY_POST_POINTS,MAX(IF(IFERROR(FIND(CATALOG_BASE,A10),0)=1,CATALOG_POINTS,0))),IFERROR(INDEX(CATALOG_POINTS,MATCH(A10,CATALOG_TASK,0)),""))</f>
        <v>2</v>
      </c>
      <c r="D10" s="10" t="s">
        <v>167</v>
      </c>
      <c r="E10" s="41" t="str">
        <f t="shared" si="1"/>
        <v/>
      </c>
    </row>
    <row r="11">
      <c r="A11" s="10" t="s">
        <v>37</v>
      </c>
      <c r="B11" s="10" t="s">
        <v>119</v>
      </c>
      <c r="C11" s="41">
        <f t="array" ref="C11">IF(IFERROR(INDEX(CATALOG_POINTS,MATCH(A11,CATALOG_TASK,0)),"")="",IF(MAX(IF(IFERROR(FIND(CATALOG_BASE,A11),0)=1,CATALOG_POINTS,0))=0,DAILY_POST_POINTS,MAX(IF(IFERROR(FIND(CATALOG_BASE,A11),0)=1,CATALOG_POINTS,0))),IFERROR(INDEX(CATALOG_POINTS,MATCH(A11,CATALOG_TASK,0)),""))</f>
        <v>2</v>
      </c>
      <c r="D11" s="10" t="s">
        <v>167</v>
      </c>
      <c r="E11" s="41" t="str">
        <f t="shared" si="1"/>
        <v/>
      </c>
    </row>
    <row r="12">
      <c r="A12" s="10" t="s">
        <v>37</v>
      </c>
      <c r="B12" s="10" t="s">
        <v>124</v>
      </c>
      <c r="C12" s="41">
        <f t="array" ref="C12">IF(IFERROR(INDEX(CATALOG_POINTS,MATCH(A12,CATALOG_TASK,0)),"")="",IF(MAX(IF(IFERROR(FIND(CATALOG_BASE,A12),0)=1,CATALOG_POINTS,0))=0,DAILY_POST_POINTS,MAX(IF(IFERROR(FIND(CATALOG_BASE,A12),0)=1,CATALOG_POINTS,0))),IFERROR(INDEX(CATALOG_POINTS,MATCH(A12,CATALOG_TASK,0)),""))</f>
        <v>2</v>
      </c>
      <c r="D12" s="10" t="s">
        <v>167</v>
      </c>
      <c r="E12" s="41" t="str">
        <f t="shared" si="1"/>
        <v/>
      </c>
    </row>
    <row r="13">
      <c r="A13" s="10" t="s">
        <v>37</v>
      </c>
      <c r="B13" s="10" t="s">
        <v>124</v>
      </c>
      <c r="C13" s="41">
        <f t="array" ref="C13">IF(IFERROR(INDEX(CATALOG_POINTS,MATCH(A13,CATALOG_TASK,0)),"")="",IF(MAX(IF(IFERROR(FIND(CATALOG_BASE,A13),0)=1,CATALOG_POINTS,0))=0,DAILY_POST_POINTS,MAX(IF(IFERROR(FIND(CATALOG_BASE,A13),0)=1,CATALOG_POINTS,0))),IFERROR(INDEX(CATALOG_POINTS,MATCH(A13,CATALOG_TASK,0)),""))</f>
        <v>2</v>
      </c>
      <c r="D13" s="10" t="s">
        <v>167</v>
      </c>
      <c r="E13" s="41" t="str">
        <f t="shared" si="1"/>
        <v/>
      </c>
    </row>
    <row r="14">
      <c r="A14" s="10" t="s">
        <v>37</v>
      </c>
      <c r="B14" s="10" t="s">
        <v>120</v>
      </c>
      <c r="C14" s="41">
        <f t="array" ref="C14">IF(IFERROR(INDEX(CATALOG_POINTS,MATCH(A14,CATALOG_TASK,0)),"")="",IF(MAX(IF(IFERROR(FIND(CATALOG_BASE,A14),0)=1,CATALOG_POINTS,0))=0,DAILY_POST_POINTS,MAX(IF(IFERROR(FIND(CATALOG_BASE,A14),0)=1,CATALOG_POINTS,0))),IFERROR(INDEX(CATALOG_POINTS,MATCH(A14,CATALOG_TASK,0)),""))</f>
        <v>2</v>
      </c>
      <c r="D14" s="10" t="s">
        <v>167</v>
      </c>
      <c r="E14" s="41" t="str">
        <f t="shared" si="1"/>
        <v/>
      </c>
    </row>
    <row r="15">
      <c r="A15" s="10" t="s">
        <v>37</v>
      </c>
      <c r="B15" s="10" t="s">
        <v>121</v>
      </c>
      <c r="C15" s="41">
        <f t="array" ref="C15">IF(IFERROR(INDEX(CATALOG_POINTS,MATCH(A15,CATALOG_TASK,0)),"")="",IF(MAX(IF(IFERROR(FIND(CATALOG_BASE,A15),0)=1,CATALOG_POINTS,0))=0,DAILY_POST_POINTS,MAX(IF(IFERROR(FIND(CATALOG_BASE,A15),0)=1,CATALOG_POINTS,0))),IFERROR(INDEX(CATALOG_POINTS,MATCH(A15,CATALOG_TASK,0)),""))</f>
        <v>2</v>
      </c>
      <c r="D15" s="10" t="s">
        <v>167</v>
      </c>
      <c r="E15" s="41" t="str">
        <f t="shared" si="1"/>
        <v/>
      </c>
    </row>
    <row r="16">
      <c r="A16" s="10" t="s">
        <v>37</v>
      </c>
      <c r="B16" s="10" t="s">
        <v>117</v>
      </c>
      <c r="C16" s="41">
        <f t="array" ref="C16">IF(IFERROR(INDEX(CATALOG_POINTS,MATCH(A16,CATALOG_TASK,0)),"")="",IF(MAX(IF(IFERROR(FIND(CATALOG_BASE,A16),0)=1,CATALOG_POINTS,0))=0,DAILY_POST_POINTS,MAX(IF(IFERROR(FIND(CATALOG_BASE,A16),0)=1,CATALOG_POINTS,0))),IFERROR(INDEX(CATALOG_POINTS,MATCH(A16,CATALOG_TASK,0)),""))</f>
        <v>2</v>
      </c>
      <c r="D16" s="10" t="s">
        <v>167</v>
      </c>
      <c r="E16" s="41" t="str">
        <f t="shared" si="1"/>
        <v/>
      </c>
    </row>
    <row r="17">
      <c r="A17" s="10" t="s">
        <v>37</v>
      </c>
      <c r="B17" s="10" t="s">
        <v>121</v>
      </c>
      <c r="C17" s="41">
        <f t="array" ref="C17">IF(IFERROR(INDEX(CATALOG_POINTS,MATCH(A17,CATALOG_TASK,0)),"")="",IF(MAX(IF(IFERROR(FIND(CATALOG_BASE,A17),0)=1,CATALOG_POINTS,0))=0,DAILY_POST_POINTS,MAX(IF(IFERROR(FIND(CATALOG_BASE,A17),0)=1,CATALOG_POINTS,0))),IFERROR(INDEX(CATALOG_POINTS,MATCH(A17,CATALOG_TASK,0)),""))</f>
        <v>2</v>
      </c>
      <c r="D17" s="10" t="s">
        <v>167</v>
      </c>
      <c r="E17" s="41" t="str">
        <f t="shared" si="1"/>
        <v/>
      </c>
    </row>
    <row r="18">
      <c r="A18" s="10" t="s">
        <v>37</v>
      </c>
      <c r="B18" s="10" t="s">
        <v>121</v>
      </c>
      <c r="C18" s="41">
        <f t="array" ref="C18">IF(IFERROR(INDEX(CATALOG_POINTS,MATCH(A18,CATALOG_TASK,0)),"")="",IF(MAX(IF(IFERROR(FIND(CATALOG_BASE,A18),0)=1,CATALOG_POINTS,0))=0,DAILY_POST_POINTS,MAX(IF(IFERROR(FIND(CATALOG_BASE,A18),0)=1,CATALOG_POINTS,0))),IFERROR(INDEX(CATALOG_POINTS,MATCH(A18,CATALOG_TASK,0)),""))</f>
        <v>2</v>
      </c>
      <c r="D18" s="10" t="s">
        <v>167</v>
      </c>
      <c r="E18" s="41" t="str">
        <f t="shared" si="1"/>
        <v/>
      </c>
    </row>
    <row r="19">
      <c r="A19" s="10" t="s">
        <v>37</v>
      </c>
      <c r="B19" s="10" t="s">
        <v>123</v>
      </c>
      <c r="C19" s="41">
        <f t="array" ref="C19">IF(IFERROR(INDEX(CATALOG_POINTS,MATCH(A19,CATALOG_TASK,0)),"")="",IF(MAX(IF(IFERROR(FIND(CATALOG_BASE,A19),0)=1,CATALOG_POINTS,0))=0,DAILY_POST_POINTS,MAX(IF(IFERROR(FIND(CATALOG_BASE,A19),0)=1,CATALOG_POINTS,0))),IFERROR(INDEX(CATALOG_POINTS,MATCH(A19,CATALOG_TASK,0)),""))</f>
        <v>2</v>
      </c>
      <c r="D19" s="10" t="s">
        <v>167</v>
      </c>
      <c r="E19" s="41" t="str">
        <f t="shared" si="1"/>
        <v/>
      </c>
    </row>
    <row r="20">
      <c r="A20" s="10" t="s">
        <v>37</v>
      </c>
      <c r="B20" s="10" t="s">
        <v>124</v>
      </c>
      <c r="C20" s="41">
        <f t="array" ref="C20">IF(IFERROR(INDEX(CATALOG_POINTS,MATCH(A20,CATALOG_TASK,0)),"")="",IF(MAX(IF(IFERROR(FIND(CATALOG_BASE,A20),0)=1,CATALOG_POINTS,0))=0,DAILY_POST_POINTS,MAX(IF(IFERROR(FIND(CATALOG_BASE,A20),0)=1,CATALOG_POINTS,0))),IFERROR(INDEX(CATALOG_POINTS,MATCH(A20,CATALOG_TASK,0)),""))</f>
        <v>2</v>
      </c>
      <c r="D20" s="10" t="s">
        <v>169</v>
      </c>
      <c r="E20" s="41" t="str">
        <f t="shared" si="1"/>
        <v/>
      </c>
    </row>
    <row r="21" ht="15.75" customHeight="1">
      <c r="A21" s="10" t="s">
        <v>37</v>
      </c>
      <c r="B21" s="10" t="s">
        <v>153</v>
      </c>
      <c r="C21" s="41">
        <f t="array" ref="C21">IF(IFERROR(INDEX(CATALOG_POINTS,MATCH(A21,CATALOG_TASK,0)),"")="",IF(MAX(IF(IFERROR(FIND(CATALOG_BASE,A21),0)=1,CATALOG_POINTS,0))=0,DAILY_POST_POINTS,MAX(IF(IFERROR(FIND(CATALOG_BASE,A21),0)=1,CATALOG_POINTS,0))),IFERROR(INDEX(CATALOG_POINTS,MATCH(A21,CATALOG_TASK,0)),""))</f>
        <v>2</v>
      </c>
      <c r="D21" s="10" t="s">
        <v>169</v>
      </c>
      <c r="E21" s="41" t="str">
        <f t="shared" si="1"/>
        <v/>
      </c>
    </row>
    <row r="22" ht="15.75" customHeight="1">
      <c r="A22" s="10" t="s">
        <v>37</v>
      </c>
      <c r="B22" s="10" t="s">
        <v>124</v>
      </c>
      <c r="C22" s="41">
        <f t="array" ref="C22">IF(IFERROR(INDEX(CATALOG_POINTS,MATCH(A22,CATALOG_TASK,0)),"")="",IF(MAX(IF(IFERROR(FIND(CATALOG_BASE,A22),0)=1,CATALOG_POINTS,0))=0,DAILY_POST_POINTS,MAX(IF(IFERROR(FIND(CATALOG_BASE,A22),0)=1,CATALOG_POINTS,0))),IFERROR(INDEX(CATALOG_POINTS,MATCH(A22,CATALOG_TASK,0)),""))</f>
        <v>2</v>
      </c>
      <c r="D22" s="10" t="s">
        <v>169</v>
      </c>
      <c r="E22" s="41" t="str">
        <f t="shared" si="1"/>
        <v/>
      </c>
    </row>
    <row r="23" ht="15.75" customHeight="1">
      <c r="A23" s="10" t="s">
        <v>37</v>
      </c>
      <c r="B23" s="10" t="s">
        <v>124</v>
      </c>
      <c r="C23" s="41">
        <f t="array" ref="C23">IF(IFERROR(INDEX(CATALOG_POINTS,MATCH(A23,CATALOG_TASK,0)),"")="",IF(MAX(IF(IFERROR(FIND(CATALOG_BASE,A23),0)=1,CATALOG_POINTS,0))=0,DAILY_POST_POINTS,MAX(IF(IFERROR(FIND(CATALOG_BASE,A23),0)=1,CATALOG_POINTS,0))),IFERROR(INDEX(CATALOG_POINTS,MATCH(A23,CATALOG_TASK,0)),""))</f>
        <v>2</v>
      </c>
      <c r="D23" s="10" t="s">
        <v>169</v>
      </c>
      <c r="E23" s="41" t="str">
        <f t="shared" si="1"/>
        <v/>
      </c>
    </row>
    <row r="24" ht="15.75" customHeight="1">
      <c r="A24" s="10" t="s">
        <v>170</v>
      </c>
      <c r="B24" s="10" t="s">
        <v>120</v>
      </c>
      <c r="C24" s="41">
        <f t="array" ref="C24">IF(IFERROR(INDEX(CATALOG_POINTS,MATCH(A24,CATALOG_TASK,0)),"")="",IF(MAX(IF(IFERROR(FIND(CATALOG_BASE,A24),0)=1,CATALOG_POINTS,0))=0,DAILY_POST_POINTS,MAX(IF(IFERROR(FIND(CATALOG_BASE,A24),0)=1,CATALOG_POINTS,0))),IFERROR(INDEX(CATALOG_POINTS,MATCH(A24,CATALOG_TASK,0)),""))</f>
        <v>1</v>
      </c>
      <c r="D24" s="10" t="s">
        <v>171</v>
      </c>
      <c r="E24" s="41" t="str">
        <f t="shared" si="1"/>
        <v>E0</v>
      </c>
    </row>
    <row r="25" ht="15.75" customHeight="1">
      <c r="A25" s="10" t="s">
        <v>170</v>
      </c>
      <c r="B25" s="10" t="s">
        <v>126</v>
      </c>
      <c r="C25" s="41">
        <f t="array" ref="C25">IF(IFERROR(INDEX(CATALOG_POINTS,MATCH(A25,CATALOG_TASK,0)),"")="",IF(MAX(IF(IFERROR(FIND(CATALOG_BASE,A25),0)=1,CATALOG_POINTS,0))=0,DAILY_POST_POINTS,MAX(IF(IFERROR(FIND(CATALOG_BASE,A25),0)=1,CATALOG_POINTS,0))),IFERROR(INDEX(CATALOG_POINTS,MATCH(A25,CATALOG_TASK,0)),""))</f>
        <v>1</v>
      </c>
      <c r="D25" s="10" t="s">
        <v>171</v>
      </c>
      <c r="E25" s="41" t="str">
        <f t="shared" si="1"/>
        <v>E0</v>
      </c>
    </row>
    <row r="26" ht="15.75" customHeight="1">
      <c r="A26" s="10" t="s">
        <v>170</v>
      </c>
      <c r="B26" s="10" t="s">
        <v>126</v>
      </c>
      <c r="C26" s="41">
        <f t="array" ref="C26">IF(IFERROR(INDEX(CATALOG_POINTS,MATCH(A26,CATALOG_TASK,0)),"")="",IF(MAX(IF(IFERROR(FIND(CATALOG_BASE,A26),0)=1,CATALOG_POINTS,0))=0,DAILY_POST_POINTS,MAX(IF(IFERROR(FIND(CATALOG_BASE,A26),0)=1,CATALOG_POINTS,0))),IFERROR(INDEX(CATALOG_POINTS,MATCH(A26,CATALOG_TASK,0)),""))</f>
        <v>1</v>
      </c>
      <c r="D26" s="10" t="s">
        <v>171</v>
      </c>
      <c r="E26" s="41" t="str">
        <f t="shared" si="1"/>
        <v>E0</v>
      </c>
    </row>
    <row r="27" ht="15.75" customHeight="1">
      <c r="A27" s="10" t="s">
        <v>170</v>
      </c>
      <c r="B27" s="10" t="s">
        <v>119</v>
      </c>
      <c r="C27" s="41">
        <f t="array" ref="C27">IF(IFERROR(INDEX(CATALOG_POINTS,MATCH(A27,CATALOG_TASK,0)),"")="",IF(MAX(IF(IFERROR(FIND(CATALOG_BASE,A27),0)=1,CATALOG_POINTS,0))=0,DAILY_POST_POINTS,MAX(IF(IFERROR(FIND(CATALOG_BASE,A27),0)=1,CATALOG_POINTS,0))),IFERROR(INDEX(CATALOG_POINTS,MATCH(A27,CATALOG_TASK,0)),""))</f>
        <v>1</v>
      </c>
      <c r="D27" s="10" t="s">
        <v>171</v>
      </c>
      <c r="E27" s="41" t="str">
        <f t="shared" si="1"/>
        <v>E0</v>
      </c>
    </row>
    <row r="28" ht="15.75" customHeight="1">
      <c r="A28" s="10" t="s">
        <v>172</v>
      </c>
      <c r="B28" s="10" t="s">
        <v>126</v>
      </c>
      <c r="C28" s="41">
        <f t="array" ref="C28">IF(IFERROR(INDEX(CATALOG_POINTS,MATCH(A28,CATALOG_TASK,0)),"")="",IF(MAX(IF(IFERROR(FIND(CATALOG_BASE,A28),0)=1,CATALOG_POINTS,0))=0,DAILY_POST_POINTS,MAX(IF(IFERROR(FIND(CATALOG_BASE,A28),0)=1,CATALOG_POINTS,0))),IFERROR(INDEX(CATALOG_POINTS,MATCH(A28,CATALOG_TASK,0)),""))</f>
        <v>1</v>
      </c>
      <c r="D28" s="10" t="s">
        <v>172</v>
      </c>
      <c r="E28" s="41" t="str">
        <f t="shared" si="1"/>
        <v>PROX3</v>
      </c>
    </row>
    <row r="29" ht="15.75" customHeight="1">
      <c r="A29" s="10" t="s">
        <v>37</v>
      </c>
      <c r="B29" s="10" t="s">
        <v>126</v>
      </c>
      <c r="C29" s="41">
        <f t="array" ref="C29">IF(IFERROR(INDEX(CATALOG_POINTS,MATCH(A29,CATALOG_TASK,0)),"")="",IF(MAX(IF(IFERROR(FIND(CATALOG_BASE,A29),0)=1,CATALOG_POINTS,0))=0,DAILY_POST_POINTS,MAX(IF(IFERROR(FIND(CATALOG_BASE,A29),0)=1,CATALOG_POINTS,0))),IFERROR(INDEX(CATALOG_POINTS,MATCH(A29,CATALOG_TASK,0)),""))</f>
        <v>2</v>
      </c>
      <c r="D29" s="10" t="s">
        <v>173</v>
      </c>
      <c r="E29" s="41" t="str">
        <f t="shared" si="1"/>
        <v>E0</v>
      </c>
    </row>
    <row r="30" ht="15.75" customHeight="1">
      <c r="A30" s="10" t="s">
        <v>37</v>
      </c>
      <c r="B30" s="10" t="s">
        <v>121</v>
      </c>
      <c r="C30" s="41">
        <f t="array" ref="C30">IF(IFERROR(INDEX(CATALOG_POINTS,MATCH(A30,CATALOG_TASK,0)),"")="",IF(MAX(IF(IFERROR(FIND(CATALOG_BASE,A30),0)=1,CATALOG_POINTS,0))=0,DAILY_POST_POINTS,MAX(IF(IFERROR(FIND(CATALOG_BASE,A30),0)=1,CATALOG_POINTS,0))),IFERROR(INDEX(CATALOG_POINTS,MATCH(A30,CATALOG_TASK,0)),""))</f>
        <v>2</v>
      </c>
      <c r="D30" s="10" t="s">
        <v>173</v>
      </c>
      <c r="E30" s="41" t="str">
        <f t="shared" si="1"/>
        <v>E0</v>
      </c>
    </row>
    <row r="31" ht="15.75" customHeight="1">
      <c r="A31" s="10" t="s">
        <v>37</v>
      </c>
      <c r="B31" s="10" t="s">
        <v>122</v>
      </c>
      <c r="C31" s="41">
        <f t="array" ref="C31">IF(IFERROR(INDEX(CATALOG_POINTS,MATCH(A31,CATALOG_TASK,0)),"")="",IF(MAX(IF(IFERROR(FIND(CATALOG_BASE,A31),0)=1,CATALOG_POINTS,0))=0,DAILY_POST_POINTS,MAX(IF(IFERROR(FIND(CATALOG_BASE,A31),0)=1,CATALOG_POINTS,0))),IFERROR(INDEX(CATALOG_POINTS,MATCH(A31,CATALOG_TASK,0)),""))</f>
        <v>2</v>
      </c>
      <c r="D31" s="10" t="s">
        <v>173</v>
      </c>
      <c r="E31" s="41" t="str">
        <f t="shared" si="1"/>
        <v>E0</v>
      </c>
    </row>
    <row r="32" ht="15.75" customHeight="1">
      <c r="A32" s="10" t="s">
        <v>174</v>
      </c>
      <c r="B32" s="10" t="s">
        <v>125</v>
      </c>
      <c r="C32" s="41">
        <f t="array" ref="C32">IF(IFERROR(INDEX(CATALOG_POINTS,MATCH(A32,CATALOG_TASK,0)),"")="",IF(MAX(IF(IFERROR(FIND(CATALOG_BASE,A32),0)=1,CATALOG_POINTS,0))=0,DAILY_POST_POINTS,MAX(IF(IFERROR(FIND(CATALOG_BASE,A32),0)=1,CATALOG_POINTS,0))),IFERROR(INDEX(CATALOG_POINTS,MATCH(A32,CATALOG_TASK,0)),""))</f>
        <v>1</v>
      </c>
      <c r="D32" s="10" t="s">
        <v>175</v>
      </c>
      <c r="E32" s="41" t="str">
        <f t="shared" si="1"/>
        <v>PROX3</v>
      </c>
    </row>
    <row r="33" ht="15.75" customHeight="1">
      <c r="A33" s="10" t="s">
        <v>168</v>
      </c>
      <c r="B33" s="10" t="s">
        <v>125</v>
      </c>
      <c r="C33" s="41">
        <f t="array" ref="C33">IF(IFERROR(INDEX(CATALOG_POINTS,MATCH(A33,CATALOG_TASK,0)),"")="",IF(MAX(IF(IFERROR(FIND(CATALOG_BASE,A33),0)=1,CATALOG_POINTS,0))=0,DAILY_POST_POINTS,MAX(IF(IFERROR(FIND(CATALOG_BASE,A33),0)=1,CATALOG_POINTS,0))),IFERROR(INDEX(CATALOG_POINTS,MATCH(A33,CATALOG_TASK,0)),""))</f>
        <v>1</v>
      </c>
      <c r="D33" s="10" t="s">
        <v>175</v>
      </c>
      <c r="E33" s="41" t="str">
        <f t="shared" si="1"/>
        <v>PROX3</v>
      </c>
    </row>
    <row r="34" ht="15.75" customHeight="1">
      <c r="A34" s="10" t="s">
        <v>174</v>
      </c>
      <c r="B34" s="10" t="s">
        <v>127</v>
      </c>
      <c r="C34" s="41">
        <f t="array" ref="C34">IF(IFERROR(INDEX(CATALOG_POINTS,MATCH(A34,CATALOG_TASK,0)),"")="",IF(MAX(IF(IFERROR(FIND(CATALOG_BASE,A34),0)=1,CATALOG_POINTS,0))=0,DAILY_POST_POINTS,MAX(IF(IFERROR(FIND(CATALOG_BASE,A34),0)=1,CATALOG_POINTS,0))),IFERROR(INDEX(CATALOG_POINTS,MATCH(A34,CATALOG_TASK,0)),""))</f>
        <v>1</v>
      </c>
      <c r="D34" s="10" t="s">
        <v>176</v>
      </c>
      <c r="E34" s="41" t="str">
        <f t="shared" si="1"/>
        <v>PROX4</v>
      </c>
    </row>
    <row r="35" ht="15.75" customHeight="1">
      <c r="A35" s="10" t="s">
        <v>177</v>
      </c>
      <c r="B35" s="10" t="s">
        <v>141</v>
      </c>
      <c r="C35" s="41">
        <f t="array" ref="C35">IF(IFERROR(INDEX(CATALOG_POINTS,MATCH(A35,CATALOG_TASK,0)),"")="",IF(MAX(IF(IFERROR(FIND(CATALOG_BASE,A35),0)=1,CATALOG_POINTS,0))=0,DAILY_POST_POINTS,MAX(IF(IFERROR(FIND(CATALOG_BASE,A35),0)=1,CATALOG_POINTS,0))),IFERROR(INDEX(CATALOG_POINTS,MATCH(A35,CATALOG_TASK,0)),""))</f>
        <v>6</v>
      </c>
      <c r="D35" s="10" t="s">
        <v>176</v>
      </c>
      <c r="E35" s="41" t="str">
        <f t="shared" si="1"/>
        <v>PROX4</v>
      </c>
    </row>
    <row r="36" ht="15.75" customHeight="1">
      <c r="A36" s="10" t="s">
        <v>178</v>
      </c>
      <c r="B36" s="10" t="s">
        <v>124</v>
      </c>
      <c r="C36" s="41">
        <f t="array" ref="C36">IF(IFERROR(INDEX(CATALOG_POINTS,MATCH(A36,CATALOG_TASK,0)),"")="",IF(MAX(IF(IFERROR(FIND(CATALOG_BASE,A36),0)=1,CATALOG_POINTS,0))=0,DAILY_POST_POINTS,MAX(IF(IFERROR(FIND(CATALOG_BASE,A36),0)=1,CATALOG_POINTS,0))),IFERROR(INDEX(CATALOG_POINTS,MATCH(A36,CATALOG_TASK,0)),""))</f>
        <v>1</v>
      </c>
      <c r="D36" s="10" t="s">
        <v>176</v>
      </c>
      <c r="E36" s="41" t="str">
        <f t="shared" si="1"/>
        <v>PROX4</v>
      </c>
    </row>
    <row r="37" ht="15.75" customHeight="1">
      <c r="A37" s="10" t="s">
        <v>37</v>
      </c>
      <c r="B37" s="10" t="s">
        <v>122</v>
      </c>
      <c r="C37" s="41">
        <f t="array" ref="C37">IF(IFERROR(INDEX(CATALOG_POINTS,MATCH(A37,CATALOG_TASK,0)),"")="",IF(MAX(IF(IFERROR(FIND(CATALOG_BASE,A37),0)=1,CATALOG_POINTS,0))=0,DAILY_POST_POINTS,MAX(IF(IFERROR(FIND(CATALOG_BASE,A37),0)=1,CATALOG_POINTS,0))),IFERROR(INDEX(CATALOG_POINTS,MATCH(A37,CATALOG_TASK,0)),""))</f>
        <v>2</v>
      </c>
      <c r="D37" s="10" t="s">
        <v>176</v>
      </c>
      <c r="E37" s="41" t="str">
        <f t="shared" si="1"/>
        <v>PROX4</v>
      </c>
    </row>
    <row r="38" ht="15.75" customHeight="1">
      <c r="A38" s="10" t="s">
        <v>177</v>
      </c>
      <c r="B38" s="10" t="s">
        <v>141</v>
      </c>
      <c r="C38" s="41">
        <f t="array" ref="C38">IF(IFERROR(INDEX(CATALOG_POINTS,MATCH(A38,CATALOG_TASK,0)),"")="",IF(MAX(IF(IFERROR(FIND(CATALOG_BASE,A38),0)=1,CATALOG_POINTS,0))=0,DAILY_POST_POINTS,MAX(IF(IFERROR(FIND(CATALOG_BASE,A38),0)=1,CATALOG_POINTS,0))),IFERROR(INDEX(CATALOG_POINTS,MATCH(A38,CATALOG_TASK,0)),""))</f>
        <v>6</v>
      </c>
      <c r="D38" s="10" t="s">
        <v>176</v>
      </c>
      <c r="E38" s="41" t="str">
        <f t="shared" si="1"/>
        <v>PROX4</v>
      </c>
    </row>
    <row r="39" ht="15.75" customHeight="1">
      <c r="A39" s="10" t="s">
        <v>176</v>
      </c>
      <c r="B39" s="10" t="s">
        <v>138</v>
      </c>
      <c r="C39" s="41">
        <f t="array" ref="C39">IF(IFERROR(INDEX(CATALOG_POINTS,MATCH(A39,CATALOG_TASK,0)),"")="",IF(MAX(IF(IFERROR(FIND(CATALOG_BASE,A39),0)=1,CATALOG_POINTS,0))=0,DAILY_POST_POINTS,MAX(IF(IFERROR(FIND(CATALOG_BASE,A39),0)=1,CATALOG_POINTS,0))),IFERROR(INDEX(CATALOG_POINTS,MATCH(A39,CATALOG_TASK,0)),""))</f>
        <v>1</v>
      </c>
      <c r="D39" s="10" t="s">
        <v>176</v>
      </c>
      <c r="E39" s="41" t="str">
        <f t="shared" si="1"/>
        <v>PROX4</v>
      </c>
    </row>
    <row r="40" ht="15.75" customHeight="1">
      <c r="A40" s="10" t="s">
        <v>37</v>
      </c>
      <c r="B40" s="10" t="s">
        <v>125</v>
      </c>
      <c r="C40" s="41">
        <f t="array" ref="C40">IF(IFERROR(INDEX(CATALOG_POINTS,MATCH(A40,CATALOG_TASK,0)),"")="",IF(MAX(IF(IFERROR(FIND(CATALOG_BASE,A40),0)=1,CATALOG_POINTS,0))=0,DAILY_POST_POINTS,MAX(IF(IFERROR(FIND(CATALOG_BASE,A40),0)=1,CATALOG_POINTS,0))),IFERROR(INDEX(CATALOG_POINTS,MATCH(A40,CATALOG_TASK,0)),""))</f>
        <v>2</v>
      </c>
      <c r="D40" s="10" t="s">
        <v>176</v>
      </c>
      <c r="E40" s="41" t="str">
        <f t="shared" si="1"/>
        <v>PROX4</v>
      </c>
    </row>
    <row r="41" ht="15.75" customHeight="1">
      <c r="A41" s="10" t="s">
        <v>179</v>
      </c>
      <c r="B41" s="10" t="s">
        <v>141</v>
      </c>
      <c r="C41" s="41">
        <f t="array" ref="C41">IF(IFERROR(INDEX(CATALOG_POINTS,MATCH(A41,CATALOG_TASK,0)),"")="",IF(MAX(IF(IFERROR(FIND(CATALOG_BASE,A41),0)=1,CATALOG_POINTS,0))=0,DAILY_POST_POINTS,MAX(IF(IFERROR(FIND(CATALOG_BASE,A41),0)=1,CATALOG_POINTS,0))),IFERROR(INDEX(CATALOG_POINTS,MATCH(A41,CATALOG_TASK,0)),""))</f>
        <v>1</v>
      </c>
      <c r="D41" s="10" t="s">
        <v>176</v>
      </c>
      <c r="E41" s="41" t="str">
        <f t="shared" si="1"/>
        <v>PROX4</v>
      </c>
    </row>
    <row r="42" ht="15.75" customHeight="1">
      <c r="A42" s="10" t="s">
        <v>180</v>
      </c>
      <c r="B42" s="10" t="s">
        <v>125</v>
      </c>
      <c r="C42" s="41">
        <f t="array" ref="C42">IF(IFERROR(INDEX(CATALOG_POINTS,MATCH(A42,CATALOG_TASK,0)),"")="",IF(MAX(IF(IFERROR(FIND(CATALOG_BASE,A42),0)=1,CATALOG_POINTS,0))=0,DAILY_POST_POINTS,MAX(IF(IFERROR(FIND(CATALOG_BASE,A42),0)=1,CATALOG_POINTS,0))),IFERROR(INDEX(CATALOG_POINTS,MATCH(A42,CATALOG_TASK,0)),""))</f>
        <v>1</v>
      </c>
      <c r="D42" s="10" t="s">
        <v>181</v>
      </c>
      <c r="E42" s="41" t="str">
        <f t="shared" si="1"/>
        <v>PROX3</v>
      </c>
    </row>
    <row r="43" ht="15.75" customHeight="1">
      <c r="A43" s="10" t="s">
        <v>174</v>
      </c>
      <c r="B43" s="10" t="s">
        <v>123</v>
      </c>
      <c r="C43" s="41">
        <f t="array" ref="C43">IF(IFERROR(INDEX(CATALOG_POINTS,MATCH(A43,CATALOG_TASK,0)),"")="",IF(MAX(IF(IFERROR(FIND(CATALOG_BASE,A43),0)=1,CATALOG_POINTS,0))=0,DAILY_POST_POINTS,MAX(IF(IFERROR(FIND(CATALOG_BASE,A43),0)=1,CATALOG_POINTS,0))),IFERROR(INDEX(CATALOG_POINTS,MATCH(A43,CATALOG_TASK,0)),""))</f>
        <v>1</v>
      </c>
      <c r="D43" s="10" t="s">
        <v>181</v>
      </c>
      <c r="E43" s="41" t="str">
        <f t="shared" si="1"/>
        <v>PROX3</v>
      </c>
    </row>
    <row r="44" ht="15.75" customHeight="1">
      <c r="A44" s="10" t="s">
        <v>24</v>
      </c>
      <c r="B44" s="10" t="s">
        <v>127</v>
      </c>
      <c r="C44" s="41">
        <f t="array" ref="C44">IF(IFERROR(INDEX(CATALOG_POINTS,MATCH(A44,CATALOG_TASK,0)),"")="",IF(MAX(IF(IFERROR(FIND(CATALOG_BASE,A44),0)=1,CATALOG_POINTS,0))=0,DAILY_POST_POINTS,MAX(IF(IFERROR(FIND(CATALOG_BASE,A44),0)=1,CATALOG_POINTS,0))),IFERROR(INDEX(CATALOG_POINTS,MATCH(A44,CATALOG_TASK,0)),""))</f>
        <v>2</v>
      </c>
      <c r="D44" s="10" t="s">
        <v>181</v>
      </c>
      <c r="E44" s="41" t="str">
        <f t="shared" si="1"/>
        <v>PROX3</v>
      </c>
    </row>
    <row r="45" ht="15.75" customHeight="1">
      <c r="A45" s="10" t="s">
        <v>182</v>
      </c>
      <c r="B45" s="10" t="s">
        <v>117</v>
      </c>
      <c r="C45" s="41">
        <f t="array" ref="C45">IF(IFERROR(INDEX(CATALOG_POINTS,MATCH(A45,CATALOG_TASK,0)),"")="",IF(MAX(IF(IFERROR(FIND(CATALOG_BASE,A45),0)=1,CATALOG_POINTS,0))=0,DAILY_POST_POINTS,MAX(IF(IFERROR(FIND(CATALOG_BASE,A45),0)=1,CATALOG_POINTS,0))),IFERROR(INDEX(CATALOG_POINTS,MATCH(A45,CATALOG_TASK,0)),""))</f>
        <v>1</v>
      </c>
      <c r="D45" s="10" t="s">
        <v>182</v>
      </c>
      <c r="E45" s="41" t="str">
        <f t="shared" si="1"/>
        <v>PROX3</v>
      </c>
    </row>
    <row r="46" ht="15.75" customHeight="1">
      <c r="A46" s="10" t="s">
        <v>183</v>
      </c>
      <c r="B46" s="10" t="s">
        <v>134</v>
      </c>
      <c r="C46" s="41">
        <f t="array" ref="C46">IF(IFERROR(INDEX(CATALOG_POINTS,MATCH(A46,CATALOG_TASK,0)),"")="",IF(MAX(IF(IFERROR(FIND(CATALOG_BASE,A46),0)=1,CATALOG_POINTS,0))=0,DAILY_POST_POINTS,MAX(IF(IFERROR(FIND(CATALOG_BASE,A46),0)=1,CATALOG_POINTS,0))),IFERROR(INDEX(CATALOG_POINTS,MATCH(A46,CATALOG_TASK,0)),""))</f>
        <v>1</v>
      </c>
      <c r="D46" s="10" t="s">
        <v>183</v>
      </c>
      <c r="E46" s="41" t="str">
        <f t="shared" si="1"/>
        <v>PROX3</v>
      </c>
    </row>
    <row r="47" ht="15.75" customHeight="1">
      <c r="A47" s="10" t="s">
        <v>180</v>
      </c>
      <c r="B47" s="10" t="s">
        <v>138</v>
      </c>
      <c r="C47" s="41">
        <f t="array" ref="C47">IF(IFERROR(INDEX(CATALOG_POINTS,MATCH(A47,CATALOG_TASK,0)),"")="",IF(MAX(IF(IFERROR(FIND(CATALOG_BASE,A47),0)=1,CATALOG_POINTS,0))=0,DAILY_POST_POINTS,MAX(IF(IFERROR(FIND(CATALOG_BASE,A47),0)=1,CATALOG_POINTS,0))),IFERROR(INDEX(CATALOG_POINTS,MATCH(A47,CATALOG_TASK,0)),""))</f>
        <v>1</v>
      </c>
      <c r="D47" s="10" t="s">
        <v>184</v>
      </c>
      <c r="E47" s="41" t="str">
        <f t="shared" si="1"/>
        <v>PROX3</v>
      </c>
    </row>
    <row r="48" ht="15.75" customHeight="1">
      <c r="A48" s="10" t="s">
        <v>185</v>
      </c>
      <c r="B48" s="10" t="s">
        <v>126</v>
      </c>
      <c r="C48" s="41">
        <f t="array" ref="C48">IF(IFERROR(INDEX(CATALOG_POINTS,MATCH(A48,CATALOG_TASK,0)),"")="",IF(MAX(IF(IFERROR(FIND(CATALOG_BASE,A48),0)=1,CATALOG_POINTS,0))=0,DAILY_POST_POINTS,MAX(IF(IFERROR(FIND(CATALOG_BASE,A48),0)=1,CATALOG_POINTS,0))),IFERROR(INDEX(CATALOG_POINTS,MATCH(A48,CATALOG_TASK,0)),""))</f>
        <v>1</v>
      </c>
      <c r="D48" s="10" t="s">
        <v>185</v>
      </c>
      <c r="E48" s="41" t="str">
        <f t="shared" si="1"/>
        <v>PROX3</v>
      </c>
    </row>
    <row r="49" ht="15.75" customHeight="1">
      <c r="A49" s="10" t="s">
        <v>186</v>
      </c>
      <c r="B49" s="10" t="s">
        <v>121</v>
      </c>
      <c r="C49" s="41">
        <f t="array" ref="C49">IF(IFERROR(INDEX(CATALOG_POINTS,MATCH(A49,CATALOG_TASK,0)),"")="",IF(MAX(IF(IFERROR(FIND(CATALOG_BASE,A49),0)=1,CATALOG_POINTS,0))=0,DAILY_POST_POINTS,MAX(IF(IFERROR(FIND(CATALOG_BASE,A49),0)=1,CATALOG_POINTS,0))),IFERROR(INDEX(CATALOG_POINTS,MATCH(A49,CATALOG_TASK,0)),""))</f>
        <v>1</v>
      </c>
      <c r="D49" s="10" t="s">
        <v>186</v>
      </c>
      <c r="E49" s="41" t="str">
        <f t="shared" si="1"/>
        <v>PROX3</v>
      </c>
    </row>
    <row r="50" ht="15.75" customHeight="1">
      <c r="A50" s="10" t="s">
        <v>187</v>
      </c>
      <c r="B50" s="10" t="s">
        <v>123</v>
      </c>
      <c r="C50" s="41">
        <f t="array" ref="C50">IF(IFERROR(INDEX(CATALOG_POINTS,MATCH(A50,CATALOG_TASK,0)),"")="",IF(MAX(IF(IFERROR(FIND(CATALOG_BASE,A50),0)=1,CATALOG_POINTS,0))=0,DAILY_POST_POINTS,MAX(IF(IFERROR(FIND(CATALOG_BASE,A50),0)=1,CATALOG_POINTS,0))),IFERROR(INDEX(CATALOG_POINTS,MATCH(A50,CATALOG_TASK,0)),""))</f>
        <v>1</v>
      </c>
      <c r="D50" s="10" t="s">
        <v>187</v>
      </c>
      <c r="E50" s="41" t="str">
        <f t="shared" si="1"/>
        <v>PROX4</v>
      </c>
    </row>
    <row r="51" ht="15.75" customHeight="1">
      <c r="A51" s="10" t="s">
        <v>188</v>
      </c>
      <c r="B51" s="10" t="s">
        <v>136</v>
      </c>
      <c r="C51" s="41">
        <f t="array" ref="C51">IF(IFERROR(INDEX(CATALOG_POINTS,MATCH(A51,CATALOG_TASK,0)),"")="",IF(MAX(IF(IFERROR(FIND(CATALOG_BASE,A51),0)=1,CATALOG_POINTS,0))=0,DAILY_POST_POINTS,MAX(IF(IFERROR(FIND(CATALOG_BASE,A51),0)=1,CATALOG_POINTS,0))),IFERROR(INDEX(CATALOG_POINTS,MATCH(A51,CATALOG_TASK,0)),""))</f>
        <v>1</v>
      </c>
      <c r="D51" s="10" t="s">
        <v>188</v>
      </c>
      <c r="E51" s="41" t="str">
        <f t="shared" si="1"/>
        <v>E0</v>
      </c>
    </row>
    <row r="52" ht="15.75" customHeight="1">
      <c r="A52" s="10" t="s">
        <v>24</v>
      </c>
      <c r="B52" s="10" t="s">
        <v>121</v>
      </c>
      <c r="C52" s="41">
        <f t="array" ref="C52">IF(IFERROR(INDEX(CATALOG_POINTS,MATCH(A52,CATALOG_TASK,0)),"")="",IF(MAX(IF(IFERROR(FIND(CATALOG_BASE,A52),0)=1,CATALOG_POINTS,0))=0,DAILY_POST_POINTS,MAX(IF(IFERROR(FIND(CATALOG_BASE,A52),0)=1,CATALOG_POINTS,0))),IFERROR(INDEX(CATALOG_POINTS,MATCH(A52,CATALOG_TASK,0)),""))</f>
        <v>2</v>
      </c>
      <c r="D52" s="10" t="s">
        <v>189</v>
      </c>
      <c r="E52" s="41" t="str">
        <f t="shared" si="1"/>
        <v>PROX3</v>
      </c>
    </row>
    <row r="53" ht="15.75" customHeight="1">
      <c r="A53" s="10" t="s">
        <v>174</v>
      </c>
      <c r="B53" s="10" t="s">
        <v>125</v>
      </c>
      <c r="C53" s="41">
        <f t="array" ref="C53">IF(IFERROR(INDEX(CATALOG_POINTS,MATCH(A53,CATALOG_TASK,0)),"")="",IF(MAX(IF(IFERROR(FIND(CATALOG_BASE,A53),0)=1,CATALOG_POINTS,0))=0,DAILY_POST_POINTS,MAX(IF(IFERROR(FIND(CATALOG_BASE,A53),0)=1,CATALOG_POINTS,0))),IFERROR(INDEX(CATALOG_POINTS,MATCH(A53,CATALOG_TASK,0)),""))</f>
        <v>1</v>
      </c>
      <c r="D53" s="10" t="s">
        <v>189</v>
      </c>
      <c r="E53" s="41" t="str">
        <f t="shared" si="1"/>
        <v>PROX3</v>
      </c>
    </row>
    <row r="54" ht="15.75" customHeight="1">
      <c r="A54" s="10" t="s">
        <v>168</v>
      </c>
      <c r="B54" s="10" t="s">
        <v>126</v>
      </c>
      <c r="C54" s="41">
        <f t="array" ref="C54">IF(IFERROR(INDEX(CATALOG_POINTS,MATCH(A54,CATALOG_TASK,0)),"")="",IF(MAX(IF(IFERROR(FIND(CATALOG_BASE,A54),0)=1,CATALOG_POINTS,0))=0,DAILY_POST_POINTS,MAX(IF(IFERROR(FIND(CATALOG_BASE,A54),0)=1,CATALOG_POINTS,0))),IFERROR(INDEX(CATALOG_POINTS,MATCH(A54,CATALOG_TASK,0)),""))</f>
        <v>1</v>
      </c>
      <c r="D54" s="10" t="s">
        <v>190</v>
      </c>
      <c r="E54" s="41" t="str">
        <f t="shared" si="1"/>
        <v>PROX4</v>
      </c>
    </row>
    <row r="55" ht="15.75" customHeight="1">
      <c r="A55" s="10" t="s">
        <v>168</v>
      </c>
      <c r="B55" s="10" t="s">
        <v>117</v>
      </c>
      <c r="C55" s="41">
        <f t="array" ref="C55">IF(IFERROR(INDEX(CATALOG_POINTS,MATCH(A55,CATALOG_TASK,0)),"")="",IF(MAX(IF(IFERROR(FIND(CATALOG_BASE,A55),0)=1,CATALOG_POINTS,0))=0,DAILY_POST_POINTS,MAX(IF(IFERROR(FIND(CATALOG_BASE,A55),0)=1,CATALOG_POINTS,0))),IFERROR(INDEX(CATALOG_POINTS,MATCH(A55,CATALOG_TASK,0)),""))</f>
        <v>1</v>
      </c>
      <c r="D55" s="10" t="s">
        <v>190</v>
      </c>
      <c r="E55" s="41" t="str">
        <f t="shared" si="1"/>
        <v>PROX4</v>
      </c>
    </row>
    <row r="56" ht="15.75" customHeight="1">
      <c r="A56" s="10" t="s">
        <v>168</v>
      </c>
      <c r="B56" s="10" t="s">
        <v>117</v>
      </c>
      <c r="C56" s="41">
        <f t="array" ref="C56">IF(IFERROR(INDEX(CATALOG_POINTS,MATCH(A56,CATALOG_TASK,0)),"")="",IF(MAX(IF(IFERROR(FIND(CATALOG_BASE,A56),0)=1,CATALOG_POINTS,0))=0,DAILY_POST_POINTS,MAX(IF(IFERROR(FIND(CATALOG_BASE,A56),0)=1,CATALOG_POINTS,0))),IFERROR(INDEX(CATALOG_POINTS,MATCH(A56,CATALOG_TASK,0)),""))</f>
        <v>1</v>
      </c>
      <c r="D56" s="10" t="s">
        <v>190</v>
      </c>
      <c r="E56" s="41" t="str">
        <f t="shared" si="1"/>
        <v>PROX4</v>
      </c>
    </row>
    <row r="57" ht="15.75" customHeight="1">
      <c r="A57" s="10" t="s">
        <v>168</v>
      </c>
      <c r="B57" s="10" t="s">
        <v>117</v>
      </c>
      <c r="C57" s="41">
        <f t="array" ref="C57">IF(IFERROR(INDEX(CATALOG_POINTS,MATCH(A57,CATALOG_TASK,0)),"")="",IF(MAX(IF(IFERROR(FIND(CATALOG_BASE,A57),0)=1,CATALOG_POINTS,0))=0,DAILY_POST_POINTS,MAX(IF(IFERROR(FIND(CATALOG_BASE,A57),0)=1,CATALOG_POINTS,0))),IFERROR(INDEX(CATALOG_POINTS,MATCH(A57,CATALOG_TASK,0)),""))</f>
        <v>1</v>
      </c>
      <c r="D57" s="10" t="s">
        <v>190</v>
      </c>
      <c r="E57" s="41" t="str">
        <f t="shared" si="1"/>
        <v>PROX4</v>
      </c>
    </row>
    <row r="58" ht="15.75" customHeight="1">
      <c r="A58" s="10" t="s">
        <v>24</v>
      </c>
      <c r="B58" s="10" t="s">
        <v>117</v>
      </c>
      <c r="C58" s="41">
        <f t="array" ref="C58">IF(IFERROR(INDEX(CATALOG_POINTS,MATCH(A58,CATALOG_TASK,0)),"")="",IF(MAX(IF(IFERROR(FIND(CATALOG_BASE,A58),0)=1,CATALOG_POINTS,0))=0,DAILY_POST_POINTS,MAX(IF(IFERROR(FIND(CATALOG_BASE,A58),0)=1,CATALOG_POINTS,0))),IFERROR(INDEX(CATALOG_POINTS,MATCH(A58,CATALOG_TASK,0)),""))</f>
        <v>2</v>
      </c>
      <c r="D58" s="10" t="s">
        <v>190</v>
      </c>
      <c r="E58" s="41" t="str">
        <f t="shared" si="1"/>
        <v>PROX4</v>
      </c>
    </row>
    <row r="59" ht="15.75" customHeight="1">
      <c r="A59" s="10" t="s">
        <v>174</v>
      </c>
      <c r="B59" s="10" t="s">
        <v>126</v>
      </c>
      <c r="C59" s="41">
        <f t="array" ref="C59">IF(IFERROR(INDEX(CATALOG_POINTS,MATCH(A59,CATALOG_TASK,0)),"")="",IF(MAX(IF(IFERROR(FIND(CATALOG_BASE,A59),0)=1,CATALOG_POINTS,0))=0,DAILY_POST_POINTS,MAX(IF(IFERROR(FIND(CATALOG_BASE,A59),0)=1,CATALOG_POINTS,0))),IFERROR(INDEX(CATALOG_POINTS,MATCH(A59,CATALOG_TASK,0)),""))</f>
        <v>1</v>
      </c>
      <c r="D59" s="10" t="s">
        <v>190</v>
      </c>
      <c r="E59" s="41" t="str">
        <f t="shared" si="1"/>
        <v>PROX4</v>
      </c>
    </row>
    <row r="60" ht="15.75" customHeight="1">
      <c r="A60" s="10" t="s">
        <v>174</v>
      </c>
      <c r="B60" s="10" t="s">
        <v>127</v>
      </c>
      <c r="C60" s="41">
        <f t="array" ref="C60">IF(IFERROR(INDEX(CATALOG_POINTS,MATCH(A60,CATALOG_TASK,0)),"")="",IF(MAX(IF(IFERROR(FIND(CATALOG_BASE,A60),0)=1,CATALOG_POINTS,0))=0,DAILY_POST_POINTS,MAX(IF(IFERROR(FIND(CATALOG_BASE,A60),0)=1,CATALOG_POINTS,0))),IFERROR(INDEX(CATALOG_POINTS,MATCH(A60,CATALOG_TASK,0)),""))</f>
        <v>1</v>
      </c>
      <c r="D60" s="10" t="s">
        <v>190</v>
      </c>
      <c r="E60" s="41" t="str">
        <f t="shared" si="1"/>
        <v>PROX4</v>
      </c>
    </row>
    <row r="61" ht="15.75" customHeight="1">
      <c r="A61" s="10" t="s">
        <v>191</v>
      </c>
      <c r="B61" s="10" t="s">
        <v>137</v>
      </c>
      <c r="C61" s="41">
        <f t="array" ref="C61">IF(IFERROR(INDEX(CATALOG_POINTS,MATCH(A61,CATALOG_TASK,0)),"")="",IF(MAX(IF(IFERROR(FIND(CATALOG_BASE,A61),0)=1,CATALOG_POINTS,0))=0,DAILY_POST_POINTS,MAX(IF(IFERROR(FIND(CATALOG_BASE,A61),0)=1,CATALOG_POINTS,0))),IFERROR(INDEX(CATALOG_POINTS,MATCH(A61,CATALOG_TASK,0)),""))</f>
        <v>1</v>
      </c>
      <c r="D61" s="10" t="s">
        <v>191</v>
      </c>
      <c r="E61" s="41" t="str">
        <f t="shared" si="1"/>
        <v>PROX4</v>
      </c>
    </row>
    <row r="62" ht="15.75" customHeight="1">
      <c r="A62" s="10" t="s">
        <v>192</v>
      </c>
      <c r="B62" s="10" t="s">
        <v>122</v>
      </c>
      <c r="C62" s="41">
        <f t="array" ref="C62">IF(IFERROR(INDEX(CATALOG_POINTS,MATCH(A62,CATALOG_TASK,0)),"")="",IF(MAX(IF(IFERROR(FIND(CATALOG_BASE,A62),0)=1,CATALOG_POINTS,0))=0,DAILY_POST_POINTS,MAX(IF(IFERROR(FIND(CATALOG_BASE,A62),0)=1,CATALOG_POINTS,0))),IFERROR(INDEX(CATALOG_POINTS,MATCH(A62,CATALOG_TASK,0)),""))</f>
        <v>1</v>
      </c>
      <c r="D62" s="10" t="s">
        <v>192</v>
      </c>
      <c r="E62" s="41" t="str">
        <f t="shared" si="1"/>
        <v>PROX3</v>
      </c>
    </row>
    <row r="63" ht="15.75" customHeight="1">
      <c r="A63" s="10" t="s">
        <v>193</v>
      </c>
      <c r="B63" s="10" t="s">
        <v>136</v>
      </c>
      <c r="C63" s="41">
        <f t="array" ref="C63">IF(IFERROR(INDEX(CATALOG_POINTS,MATCH(A63,CATALOG_TASK,0)),"")="",IF(MAX(IF(IFERROR(FIND(CATALOG_BASE,A63),0)=1,CATALOG_POINTS,0))=0,DAILY_POST_POINTS,MAX(IF(IFERROR(FIND(CATALOG_BASE,A63),0)=1,CATALOG_POINTS,0))),IFERROR(INDEX(CATALOG_POINTS,MATCH(A63,CATALOG_TASK,0)),""))</f>
        <v>1</v>
      </c>
      <c r="D63" s="10" t="s">
        <v>193</v>
      </c>
      <c r="E63" s="41" t="str">
        <f t="shared" si="1"/>
        <v>PROX3</v>
      </c>
    </row>
    <row r="64" ht="15.75" customHeight="1">
      <c r="A64" s="10" t="s">
        <v>194</v>
      </c>
      <c r="B64" s="10" t="s">
        <v>134</v>
      </c>
      <c r="C64" s="41">
        <f t="array" ref="C64">IF(IFERROR(INDEX(CATALOG_POINTS,MATCH(A64,CATALOG_TASK,0)),"")="",IF(MAX(IF(IFERROR(FIND(CATALOG_BASE,A64),0)=1,CATALOG_POINTS,0))=0,DAILY_POST_POINTS,MAX(IF(IFERROR(FIND(CATALOG_BASE,A64),0)=1,CATALOG_POINTS,0))),IFERROR(INDEX(CATALOG_POINTS,MATCH(A64,CATALOG_TASK,0)),""))</f>
        <v>1</v>
      </c>
      <c r="D64" s="10" t="s">
        <v>194</v>
      </c>
      <c r="E64" s="41" t="str">
        <f t="shared" si="1"/>
        <v>E0</v>
      </c>
    </row>
    <row r="65" ht="15.75" customHeight="1">
      <c r="A65" s="10" t="s">
        <v>195</v>
      </c>
      <c r="B65" s="10" t="s">
        <v>137</v>
      </c>
      <c r="C65" s="41">
        <f t="array" ref="C65">IF(IFERROR(INDEX(CATALOG_POINTS,MATCH(A65,CATALOG_TASK,0)),"")="",IF(MAX(IF(IFERROR(FIND(CATALOG_BASE,A65),0)=1,CATALOG_POINTS,0))=0,DAILY_POST_POINTS,MAX(IF(IFERROR(FIND(CATALOG_BASE,A65),0)=1,CATALOG_POINTS,0))),IFERROR(INDEX(CATALOG_POINTS,MATCH(A65,CATALOG_TASK,0)),""))</f>
        <v>1</v>
      </c>
      <c r="D65" s="10" t="s">
        <v>195</v>
      </c>
      <c r="E65" s="41" t="str">
        <f t="shared" si="1"/>
        <v>PROX3</v>
      </c>
    </row>
    <row r="66" ht="15.75" customHeight="1">
      <c r="A66" s="10" t="s">
        <v>174</v>
      </c>
      <c r="B66" s="10" t="s">
        <v>155</v>
      </c>
      <c r="C66" s="41">
        <f t="array" ref="C66">IF(IFERROR(INDEX(CATALOG_POINTS,MATCH(A66,CATALOG_TASK,0)),"")="",IF(MAX(IF(IFERROR(FIND(CATALOG_BASE,A66),0)=1,CATALOG_POINTS,0))=0,DAILY_POST_POINTS,MAX(IF(IFERROR(FIND(CATALOG_BASE,A66),0)=1,CATALOG_POINTS,0))),IFERROR(INDEX(CATALOG_POINTS,MATCH(A66,CATALOG_TASK,0)),""))</f>
        <v>1</v>
      </c>
      <c r="D66" s="10" t="s">
        <v>196</v>
      </c>
      <c r="E66" s="41" t="str">
        <f t="shared" si="1"/>
        <v>PROX3</v>
      </c>
    </row>
    <row r="67" ht="15.75" customHeight="1">
      <c r="A67" s="10" t="s">
        <v>37</v>
      </c>
      <c r="B67" s="10" t="s">
        <v>125</v>
      </c>
      <c r="C67" s="41">
        <f t="array" ref="C67">IF(IFERROR(INDEX(CATALOG_POINTS,MATCH(A67,CATALOG_TASK,0)),"")="",IF(MAX(IF(IFERROR(FIND(CATALOG_BASE,A67),0)=1,CATALOG_POINTS,0))=0,DAILY_POST_POINTS,MAX(IF(IFERROR(FIND(CATALOG_BASE,A67),0)=1,CATALOG_POINTS,0))),IFERROR(INDEX(CATALOG_POINTS,MATCH(A67,CATALOG_TASK,0)),""))</f>
        <v>2</v>
      </c>
      <c r="D67" s="10" t="s">
        <v>196</v>
      </c>
      <c r="E67" s="41" t="str">
        <f t="shared" si="1"/>
        <v>PROX3</v>
      </c>
    </row>
    <row r="68" ht="15.75" customHeight="1">
      <c r="A68" s="10" t="s">
        <v>168</v>
      </c>
      <c r="B68" s="10" t="s">
        <v>122</v>
      </c>
      <c r="C68" s="41">
        <f t="array" ref="C68">IF(IFERROR(INDEX(CATALOG_POINTS,MATCH(A68,CATALOG_TASK,0)),"")="",IF(MAX(IF(IFERROR(FIND(CATALOG_BASE,A68),0)=1,CATALOG_POINTS,0))=0,DAILY_POST_POINTS,MAX(IF(IFERROR(FIND(CATALOG_BASE,A68),0)=1,CATALOG_POINTS,0))),IFERROR(INDEX(CATALOG_POINTS,MATCH(A68,CATALOG_TASK,0)),""))</f>
        <v>1</v>
      </c>
      <c r="D68" s="10" t="s">
        <v>196</v>
      </c>
      <c r="E68" s="41" t="str">
        <f t="shared" si="1"/>
        <v>PROX3</v>
      </c>
    </row>
    <row r="69" ht="15.75" customHeight="1">
      <c r="A69" s="10" t="s">
        <v>37</v>
      </c>
      <c r="B69" s="10" t="s">
        <v>120</v>
      </c>
      <c r="C69" s="41">
        <f t="array" ref="C69">IF(IFERROR(INDEX(CATALOG_POINTS,MATCH(A69,CATALOG_TASK,0)),"")="",IF(MAX(IF(IFERROR(FIND(CATALOG_BASE,A69),0)=1,CATALOG_POINTS,0))=0,DAILY_POST_POINTS,MAX(IF(IFERROR(FIND(CATALOG_BASE,A69),0)=1,CATALOG_POINTS,0))),IFERROR(INDEX(CATALOG_POINTS,MATCH(A69,CATALOG_TASK,0)),""))</f>
        <v>2</v>
      </c>
      <c r="D69" s="10" t="s">
        <v>196</v>
      </c>
      <c r="E69" s="41" t="str">
        <f t="shared" si="1"/>
        <v>PROX3</v>
      </c>
    </row>
    <row r="70" ht="15.75" customHeight="1">
      <c r="A70" s="10" t="s">
        <v>37</v>
      </c>
      <c r="B70" s="10" t="s">
        <v>128</v>
      </c>
      <c r="C70" s="41">
        <f t="array" ref="C70">IF(IFERROR(INDEX(CATALOG_POINTS,MATCH(A70,CATALOG_TASK,0)),"")="",IF(MAX(IF(IFERROR(FIND(CATALOG_BASE,A70),0)=1,CATALOG_POINTS,0))=0,DAILY_POST_POINTS,MAX(IF(IFERROR(FIND(CATALOG_BASE,A70),0)=1,CATALOG_POINTS,0))),IFERROR(INDEX(CATALOG_POINTS,MATCH(A70,CATALOG_TASK,0)),""))</f>
        <v>2</v>
      </c>
      <c r="D70" s="10" t="s">
        <v>196</v>
      </c>
      <c r="E70" s="41" t="str">
        <f t="shared" si="1"/>
        <v>PROX3</v>
      </c>
    </row>
    <row r="71" ht="15.75" customHeight="1">
      <c r="A71" s="10" t="s">
        <v>178</v>
      </c>
      <c r="B71" s="10" t="s">
        <v>124</v>
      </c>
      <c r="C71" s="41">
        <f t="array" ref="C71">IF(IFERROR(INDEX(CATALOG_POINTS,MATCH(A71,CATALOG_TASK,0)),"")="",IF(MAX(IF(IFERROR(FIND(CATALOG_BASE,A71),0)=1,CATALOG_POINTS,0))=0,DAILY_POST_POINTS,MAX(IF(IFERROR(FIND(CATALOG_BASE,A71),0)=1,CATALOG_POINTS,0))),IFERROR(INDEX(CATALOG_POINTS,MATCH(A71,CATALOG_TASK,0)),""))</f>
        <v>1</v>
      </c>
      <c r="D71" s="10" t="s">
        <v>196</v>
      </c>
      <c r="E71" s="41" t="str">
        <f t="shared" si="1"/>
        <v>PROX3</v>
      </c>
    </row>
    <row r="72" ht="15.75" customHeight="1">
      <c r="A72" s="10" t="s">
        <v>174</v>
      </c>
      <c r="B72" s="10" t="s">
        <v>126</v>
      </c>
      <c r="C72" s="41">
        <f t="array" ref="C72">IF(IFERROR(INDEX(CATALOG_POINTS,MATCH(A72,CATALOG_TASK,0)),"")="",IF(MAX(IF(IFERROR(FIND(CATALOG_BASE,A72),0)=1,CATALOG_POINTS,0))=0,DAILY_POST_POINTS,MAX(IF(IFERROR(FIND(CATALOG_BASE,A72),0)=1,CATALOG_POINTS,0))),IFERROR(INDEX(CATALOG_POINTS,MATCH(A72,CATALOG_TASK,0)),""))</f>
        <v>1</v>
      </c>
      <c r="D72" s="10" t="s">
        <v>197</v>
      </c>
      <c r="E72" s="41" t="str">
        <f t="shared" si="1"/>
        <v>PROX3</v>
      </c>
    </row>
    <row r="73" ht="15.75" customHeight="1">
      <c r="A73" s="10" t="s">
        <v>37</v>
      </c>
      <c r="B73" s="10" t="s">
        <v>124</v>
      </c>
      <c r="C73" s="41">
        <f t="array" ref="C73">IF(IFERROR(INDEX(CATALOG_POINTS,MATCH(A73,CATALOG_TASK,0)),"")="",IF(MAX(IF(IFERROR(FIND(CATALOG_BASE,A73),0)=1,CATALOG_POINTS,0))=0,DAILY_POST_POINTS,MAX(IF(IFERROR(FIND(CATALOG_BASE,A73),0)=1,CATALOG_POINTS,0))),IFERROR(INDEX(CATALOG_POINTS,MATCH(A73,CATALOG_TASK,0)),""))</f>
        <v>2</v>
      </c>
      <c r="D73" s="10" t="s">
        <v>197</v>
      </c>
      <c r="E73" s="41" t="str">
        <f t="shared" si="1"/>
        <v>PROX3</v>
      </c>
    </row>
    <row r="74" ht="15.75" customHeight="1">
      <c r="A74" s="10" t="s">
        <v>24</v>
      </c>
      <c r="B74" s="10" t="s">
        <v>127</v>
      </c>
      <c r="C74" s="41">
        <f t="array" ref="C74">IF(IFERROR(INDEX(CATALOG_POINTS,MATCH(A74,CATALOG_TASK,0)),"")="",IF(MAX(IF(IFERROR(FIND(CATALOG_BASE,A74),0)=1,CATALOG_POINTS,0))=0,DAILY_POST_POINTS,MAX(IF(IFERROR(FIND(CATALOG_BASE,A74),0)=1,CATALOG_POINTS,0))),IFERROR(INDEX(CATALOG_POINTS,MATCH(A74,CATALOG_TASK,0)),""))</f>
        <v>2</v>
      </c>
      <c r="D74" s="10" t="s">
        <v>197</v>
      </c>
      <c r="E74" s="41" t="str">
        <f t="shared" si="1"/>
        <v>PROX3</v>
      </c>
    </row>
    <row r="75" ht="15.75" customHeight="1">
      <c r="A75" s="10" t="s">
        <v>178</v>
      </c>
      <c r="B75" s="10" t="s">
        <v>126</v>
      </c>
      <c r="C75" s="41">
        <f t="array" ref="C75">IF(IFERROR(INDEX(CATALOG_POINTS,MATCH(A75,CATALOG_TASK,0)),"")="",IF(MAX(IF(IFERROR(FIND(CATALOG_BASE,A75),0)=1,CATALOG_POINTS,0))=0,DAILY_POST_POINTS,MAX(IF(IFERROR(FIND(CATALOG_BASE,A75),0)=1,CATALOG_POINTS,0))),IFERROR(INDEX(CATALOG_POINTS,MATCH(A75,CATALOG_TASK,0)),""))</f>
        <v>1</v>
      </c>
      <c r="D75" s="10" t="s">
        <v>197</v>
      </c>
      <c r="E75" s="41" t="str">
        <f t="shared" si="1"/>
        <v>PROX3</v>
      </c>
    </row>
    <row r="76" ht="15.75" customHeight="1">
      <c r="A76" s="10" t="s">
        <v>37</v>
      </c>
      <c r="B76" s="10" t="s">
        <v>125</v>
      </c>
      <c r="C76" s="41">
        <f t="array" ref="C76">IF(IFERROR(INDEX(CATALOG_POINTS,MATCH(A76,CATALOG_TASK,0)),"")="",IF(MAX(IF(IFERROR(FIND(CATALOG_BASE,A76),0)=1,CATALOG_POINTS,0))=0,DAILY_POST_POINTS,MAX(IF(IFERROR(FIND(CATALOG_BASE,A76),0)=1,CATALOG_POINTS,0))),IFERROR(INDEX(CATALOG_POINTS,MATCH(A76,CATALOG_TASK,0)),""))</f>
        <v>2</v>
      </c>
      <c r="D76" s="10" t="s">
        <v>198</v>
      </c>
      <c r="E76" s="41" t="str">
        <f t="shared" si="1"/>
        <v>PROX3</v>
      </c>
    </row>
    <row r="77" ht="15.75" customHeight="1">
      <c r="A77" s="10" t="s">
        <v>37</v>
      </c>
      <c r="B77" s="10" t="s">
        <v>124</v>
      </c>
      <c r="C77" s="41">
        <f t="array" ref="C77">IF(IFERROR(INDEX(CATALOG_POINTS,MATCH(A77,CATALOG_TASK,0)),"")="",IF(MAX(IF(IFERROR(FIND(CATALOG_BASE,A77),0)=1,CATALOG_POINTS,0))=0,DAILY_POST_POINTS,MAX(IF(IFERROR(FIND(CATALOG_BASE,A77),0)=1,CATALOG_POINTS,0))),IFERROR(INDEX(CATALOG_POINTS,MATCH(A77,CATALOG_TASK,0)),""))</f>
        <v>2</v>
      </c>
      <c r="D77" s="10" t="s">
        <v>198</v>
      </c>
      <c r="E77" s="41" t="str">
        <f t="shared" si="1"/>
        <v>PROX3</v>
      </c>
    </row>
    <row r="78" ht="15.75" customHeight="1">
      <c r="A78" s="10" t="s">
        <v>37</v>
      </c>
      <c r="B78" s="10" t="s">
        <v>125</v>
      </c>
      <c r="C78" s="41">
        <f t="array" ref="C78">IF(IFERROR(INDEX(CATALOG_POINTS,MATCH(A78,CATALOG_TASK,0)),"")="",IF(MAX(IF(IFERROR(FIND(CATALOG_BASE,A78),0)=1,CATALOG_POINTS,0))=0,DAILY_POST_POINTS,MAX(IF(IFERROR(FIND(CATALOG_BASE,A78),0)=1,CATALOG_POINTS,0))),IFERROR(INDEX(CATALOG_POINTS,MATCH(A78,CATALOG_TASK,0)),""))</f>
        <v>2</v>
      </c>
      <c r="D78" s="10" t="s">
        <v>198</v>
      </c>
      <c r="E78" s="41" t="str">
        <f t="shared" si="1"/>
        <v>PROX3</v>
      </c>
    </row>
    <row r="79" ht="15.75" customHeight="1">
      <c r="A79" s="10" t="s">
        <v>198</v>
      </c>
      <c r="B79" s="10" t="s">
        <v>117</v>
      </c>
      <c r="C79" s="41">
        <f t="array" ref="C79">IF(IFERROR(INDEX(CATALOG_POINTS,MATCH(A79,CATALOG_TASK,0)),"")="",IF(MAX(IF(IFERROR(FIND(CATALOG_BASE,A79),0)=1,CATALOG_POINTS,0))=0,DAILY_POST_POINTS,MAX(IF(IFERROR(FIND(CATALOG_BASE,A79),0)=1,CATALOG_POINTS,0))),IFERROR(INDEX(CATALOG_POINTS,MATCH(A79,CATALOG_TASK,0)),""))</f>
        <v>1</v>
      </c>
      <c r="D79" s="10" t="s">
        <v>198</v>
      </c>
      <c r="E79" s="41" t="str">
        <f t="shared" si="1"/>
        <v>PROX3</v>
      </c>
    </row>
    <row r="80" ht="15.75" customHeight="1">
      <c r="A80" s="10" t="s">
        <v>199</v>
      </c>
      <c r="B80" s="10" t="s">
        <v>135</v>
      </c>
      <c r="C80" s="41">
        <f t="array" ref="C80">IF(IFERROR(INDEX(CATALOG_POINTS,MATCH(A80,CATALOG_TASK,0)),"")="",IF(MAX(IF(IFERROR(FIND(CATALOG_BASE,A80),0)=1,CATALOG_POINTS,0))=0,DAILY_POST_POINTS,MAX(IF(IFERROR(FIND(CATALOG_BASE,A80),0)=1,CATALOG_POINTS,0))),IFERROR(INDEX(CATALOG_POINTS,MATCH(A80,CATALOG_TASK,0)),""))</f>
        <v>1</v>
      </c>
      <c r="D80" s="10" t="s">
        <v>199</v>
      </c>
      <c r="E80" s="41" t="str">
        <f t="shared" si="1"/>
        <v>PROX3</v>
      </c>
    </row>
    <row r="81" ht="15.75" customHeight="1">
      <c r="A81" s="10" t="s">
        <v>200</v>
      </c>
      <c r="B81" s="10" t="s">
        <v>134</v>
      </c>
      <c r="C81" s="41">
        <f t="array" ref="C81">IF(IFERROR(INDEX(CATALOG_POINTS,MATCH(A81,CATALOG_TASK,0)),"")="",IF(MAX(IF(IFERROR(FIND(CATALOG_BASE,A81),0)=1,CATALOG_POINTS,0))=0,DAILY_POST_POINTS,MAX(IF(IFERROR(FIND(CATALOG_BASE,A81),0)=1,CATALOG_POINTS,0))),IFERROR(INDEX(CATALOG_POINTS,MATCH(A81,CATALOG_TASK,0)),""))</f>
        <v>1</v>
      </c>
      <c r="D81" s="10" t="s">
        <v>200</v>
      </c>
      <c r="E81" s="41" t="str">
        <f t="shared" si="1"/>
        <v>PROX3</v>
      </c>
    </row>
    <row r="82" ht="15.75" customHeight="1">
      <c r="A82" s="10" t="s">
        <v>201</v>
      </c>
      <c r="B82" s="10" t="s">
        <v>121</v>
      </c>
      <c r="C82" s="41">
        <f t="array" ref="C82">IF(IFERROR(INDEX(CATALOG_POINTS,MATCH(A82,CATALOG_TASK,0)),"")="",IF(MAX(IF(IFERROR(FIND(CATALOG_BASE,A82),0)=1,CATALOG_POINTS,0))=0,DAILY_POST_POINTS,MAX(IF(IFERROR(FIND(CATALOG_BASE,A82),0)=1,CATALOG_POINTS,0))),IFERROR(INDEX(CATALOG_POINTS,MATCH(A82,CATALOG_TASK,0)),""))</f>
        <v>1</v>
      </c>
      <c r="D82" s="10" t="s">
        <v>201</v>
      </c>
      <c r="E82" s="41" t="str">
        <f t="shared" si="1"/>
        <v>PROX3</v>
      </c>
    </row>
    <row r="83" ht="15.75" customHeight="1">
      <c r="A83" s="10" t="s">
        <v>202</v>
      </c>
      <c r="B83" s="10" t="s">
        <v>127</v>
      </c>
      <c r="C83" s="41">
        <f t="array" ref="C83">IF(IFERROR(INDEX(CATALOG_POINTS,MATCH(A83,CATALOG_TASK,0)),"")="",IF(MAX(IF(IFERROR(FIND(CATALOG_BASE,A83),0)=1,CATALOG_POINTS,0))=0,DAILY_POST_POINTS,MAX(IF(IFERROR(FIND(CATALOG_BASE,A83),0)=1,CATALOG_POINTS,0))),IFERROR(INDEX(CATALOG_POINTS,MATCH(A83,CATALOG_TASK,0)),""))</f>
        <v>1</v>
      </c>
      <c r="D83" s="10" t="s">
        <v>202</v>
      </c>
      <c r="E83" s="41" t="str">
        <f t="shared" si="1"/>
        <v>PROX3</v>
      </c>
    </row>
    <row r="84" ht="15.75" customHeight="1">
      <c r="A84" s="10" t="s">
        <v>203</v>
      </c>
      <c r="B84" s="10" t="s">
        <v>124</v>
      </c>
      <c r="C84" s="41">
        <f t="array" ref="C84">IF(IFERROR(INDEX(CATALOG_POINTS,MATCH(A84,CATALOG_TASK,0)),"")="",IF(MAX(IF(IFERROR(FIND(CATALOG_BASE,A84),0)=1,CATALOG_POINTS,0))=0,DAILY_POST_POINTS,MAX(IF(IFERROR(FIND(CATALOG_BASE,A84),0)=1,CATALOG_POINTS,0))),IFERROR(INDEX(CATALOG_POINTS,MATCH(A84,CATALOG_TASK,0)),""))</f>
        <v>1</v>
      </c>
      <c r="D84" s="10" t="s">
        <v>203</v>
      </c>
      <c r="E84" s="41" t="str">
        <f t="shared" si="1"/>
        <v>PROX3</v>
      </c>
    </row>
    <row r="85" ht="15.75" customHeight="1">
      <c r="A85" s="10" t="s">
        <v>37</v>
      </c>
      <c r="B85" s="10" t="s">
        <v>125</v>
      </c>
      <c r="C85" s="41">
        <f t="array" ref="C85">IF(IFERROR(INDEX(CATALOG_POINTS,MATCH(A85,CATALOG_TASK,0)),"")="",IF(MAX(IF(IFERROR(FIND(CATALOG_BASE,A85),0)=1,CATALOG_POINTS,0))=0,DAILY_POST_POINTS,MAX(IF(IFERROR(FIND(CATALOG_BASE,A85),0)=1,CATALOG_POINTS,0))),IFERROR(INDEX(CATALOG_POINTS,MATCH(A85,CATALOG_TASK,0)),""))</f>
        <v>2</v>
      </c>
      <c r="D85" s="10" t="s">
        <v>204</v>
      </c>
      <c r="E85" s="41" t="str">
        <f t="shared" si="1"/>
        <v>PROX3</v>
      </c>
    </row>
    <row r="86" ht="15.75" customHeight="1">
      <c r="A86" s="10" t="s">
        <v>204</v>
      </c>
      <c r="B86" s="10" t="s">
        <v>124</v>
      </c>
      <c r="C86" s="41">
        <f t="array" ref="C86">IF(IFERROR(INDEX(CATALOG_POINTS,MATCH(A86,CATALOG_TASK,0)),"")="",IF(MAX(IF(IFERROR(FIND(CATALOG_BASE,A86),0)=1,CATALOG_POINTS,0))=0,DAILY_POST_POINTS,MAX(IF(IFERROR(FIND(CATALOG_BASE,A86),0)=1,CATALOG_POINTS,0))),IFERROR(INDEX(CATALOG_POINTS,MATCH(A86,CATALOG_TASK,0)),""))</f>
        <v>1</v>
      </c>
      <c r="D86" s="10" t="s">
        <v>204</v>
      </c>
      <c r="E86" s="41" t="str">
        <f t="shared" si="1"/>
        <v>PROX3</v>
      </c>
    </row>
    <row r="87" ht="15.75" customHeight="1">
      <c r="A87" s="10" t="s">
        <v>24</v>
      </c>
      <c r="B87" s="10" t="s">
        <v>121</v>
      </c>
      <c r="C87" s="41">
        <f t="array" ref="C87">IF(IFERROR(INDEX(CATALOG_POINTS,MATCH(A87,CATALOG_TASK,0)),"")="",IF(MAX(IF(IFERROR(FIND(CATALOG_BASE,A87),0)=1,CATALOG_POINTS,0))=0,DAILY_POST_POINTS,MAX(IF(IFERROR(FIND(CATALOG_BASE,A87),0)=1,CATALOG_POINTS,0))),IFERROR(INDEX(CATALOG_POINTS,MATCH(A87,CATALOG_TASK,0)),""))</f>
        <v>2</v>
      </c>
      <c r="D87" s="10" t="s">
        <v>205</v>
      </c>
      <c r="E87" s="41" t="str">
        <f t="shared" si="1"/>
        <v>PROX3</v>
      </c>
    </row>
    <row r="88" ht="15.75" customHeight="1">
      <c r="A88" s="10" t="s">
        <v>174</v>
      </c>
      <c r="B88" s="10" t="s">
        <v>125</v>
      </c>
      <c r="C88" s="41">
        <f t="array" ref="C88">IF(IFERROR(INDEX(CATALOG_POINTS,MATCH(A88,CATALOG_TASK,0)),"")="",IF(MAX(IF(IFERROR(FIND(CATALOG_BASE,A88),0)=1,CATALOG_POINTS,0))=0,DAILY_POST_POINTS,MAX(IF(IFERROR(FIND(CATALOG_BASE,A88),0)=1,CATALOG_POINTS,0))),IFERROR(INDEX(CATALOG_POINTS,MATCH(A88,CATALOG_TASK,0)),""))</f>
        <v>1</v>
      </c>
      <c r="D88" s="10" t="s">
        <v>205</v>
      </c>
      <c r="E88" s="41" t="str">
        <f t="shared" si="1"/>
        <v>PROX3</v>
      </c>
    </row>
    <row r="89" ht="15.75" customHeight="1">
      <c r="A89" s="10" t="s">
        <v>206</v>
      </c>
      <c r="B89" s="10" t="s">
        <v>135</v>
      </c>
      <c r="C89" s="41">
        <f t="array" ref="C89">IF(IFERROR(INDEX(CATALOG_POINTS,MATCH(A89,CATALOG_TASK,0)),"")="",IF(MAX(IF(IFERROR(FIND(CATALOG_BASE,A89),0)=1,CATALOG_POINTS,0))=0,DAILY_POST_POINTS,MAX(IF(IFERROR(FIND(CATALOG_BASE,A89),0)=1,CATALOG_POINTS,0))),IFERROR(INDEX(CATALOG_POINTS,MATCH(A89,CATALOG_TASK,0)),""))</f>
        <v>1</v>
      </c>
      <c r="D89" s="10" t="s">
        <v>206</v>
      </c>
      <c r="E89" s="41" t="str">
        <f t="shared" si="1"/>
        <v>PROX3</v>
      </c>
    </row>
    <row r="90" ht="15.75" customHeight="1">
      <c r="A90" s="10" t="s">
        <v>207</v>
      </c>
      <c r="B90" s="10" t="s">
        <v>126</v>
      </c>
      <c r="C90" s="41">
        <f t="array" ref="C90">IF(IFERROR(INDEX(CATALOG_POINTS,MATCH(A90,CATALOG_TASK,0)),"")="",IF(MAX(IF(IFERROR(FIND(CATALOG_BASE,A90),0)=1,CATALOG_POINTS,0))=0,DAILY_POST_POINTS,MAX(IF(IFERROR(FIND(CATALOG_BASE,A90),0)=1,CATALOG_POINTS,0))),IFERROR(INDEX(CATALOG_POINTS,MATCH(A90,CATALOG_TASK,0)),""))</f>
        <v>1</v>
      </c>
      <c r="D90" s="10" t="s">
        <v>207</v>
      </c>
      <c r="E90" s="41" t="str">
        <f t="shared" si="1"/>
        <v>PROX3</v>
      </c>
    </row>
    <row r="91" ht="15.75" customHeight="1">
      <c r="A91" s="10" t="s">
        <v>37</v>
      </c>
      <c r="B91" s="10" t="s">
        <v>128</v>
      </c>
      <c r="C91" s="41">
        <f t="array" ref="C91">IF(IFERROR(INDEX(CATALOG_POINTS,MATCH(A91,CATALOG_TASK,0)),"")="",IF(MAX(IF(IFERROR(FIND(CATALOG_BASE,A91),0)=1,CATALOG_POINTS,0))=0,DAILY_POST_POINTS,MAX(IF(IFERROR(FIND(CATALOG_BASE,A91),0)=1,CATALOG_POINTS,0))),IFERROR(INDEX(CATALOG_POINTS,MATCH(A91,CATALOG_TASK,0)),""))</f>
        <v>2</v>
      </c>
      <c r="D91" s="10" t="s">
        <v>207</v>
      </c>
      <c r="E91" s="41" t="str">
        <f t="shared" si="1"/>
        <v>PROX3</v>
      </c>
    </row>
    <row r="92" ht="15.75" customHeight="1">
      <c r="A92" s="10" t="s">
        <v>208</v>
      </c>
      <c r="B92" s="10" t="s">
        <v>120</v>
      </c>
      <c r="C92" s="41">
        <f t="array" ref="C92">IF(IFERROR(INDEX(CATALOG_POINTS,MATCH(A92,CATALOG_TASK,0)),"")="",IF(MAX(IF(IFERROR(FIND(CATALOG_BASE,A92),0)=1,CATALOG_POINTS,0))=0,DAILY_POST_POINTS,MAX(IF(IFERROR(FIND(CATALOG_BASE,A92),0)=1,CATALOG_POINTS,0))),IFERROR(INDEX(CATALOG_POINTS,MATCH(A92,CATALOG_TASK,0)),""))</f>
        <v>1</v>
      </c>
      <c r="D92" s="10" t="s">
        <v>208</v>
      </c>
      <c r="E92" s="41" t="str">
        <f t="shared" si="1"/>
        <v>PROX3</v>
      </c>
    </row>
    <row r="93" ht="15.75" customHeight="1">
      <c r="A93" s="10" t="s">
        <v>178</v>
      </c>
      <c r="B93" s="10" t="s">
        <v>119</v>
      </c>
      <c r="C93" s="41">
        <f t="array" ref="C93">IF(IFERROR(INDEX(CATALOG_POINTS,MATCH(A93,CATALOG_TASK,0)),"")="",IF(MAX(IF(IFERROR(FIND(CATALOG_BASE,A93),0)=1,CATALOG_POINTS,0))=0,DAILY_POST_POINTS,MAX(IF(IFERROR(FIND(CATALOG_BASE,A93),0)=1,CATALOG_POINTS,0))),IFERROR(INDEX(CATALOG_POINTS,MATCH(A93,CATALOG_TASK,0)),""))</f>
        <v>1</v>
      </c>
      <c r="D93" s="10" t="s">
        <v>209</v>
      </c>
      <c r="E93" s="41" t="str">
        <f t="shared" si="1"/>
        <v>PROX3</v>
      </c>
    </row>
    <row r="94" ht="15.75" customHeight="1">
      <c r="A94" s="10" t="s">
        <v>174</v>
      </c>
      <c r="B94" s="10" t="s">
        <v>149</v>
      </c>
      <c r="C94" s="41">
        <f t="array" ref="C94">IF(IFERROR(INDEX(CATALOG_POINTS,MATCH(A94,CATALOG_TASK,0)),"")="",IF(MAX(IF(IFERROR(FIND(CATALOG_BASE,A94),0)=1,CATALOG_POINTS,0))=0,DAILY_POST_POINTS,MAX(IF(IFERROR(FIND(CATALOG_BASE,A94),0)=1,CATALOG_POINTS,0))),IFERROR(INDEX(CATALOG_POINTS,MATCH(A94,CATALOG_TASK,0)),""))</f>
        <v>1</v>
      </c>
      <c r="D94" s="10" t="s">
        <v>209</v>
      </c>
      <c r="E94" s="41" t="str">
        <f t="shared" si="1"/>
        <v>PROX3</v>
      </c>
    </row>
    <row r="95" ht="15.75" customHeight="1">
      <c r="A95" s="10" t="s">
        <v>24</v>
      </c>
      <c r="B95" s="10" t="s">
        <v>119</v>
      </c>
      <c r="C95" s="41">
        <f t="array" ref="C95">IF(IFERROR(INDEX(CATALOG_POINTS,MATCH(A95,CATALOG_TASK,0)),"")="",IF(MAX(IF(IFERROR(FIND(CATALOG_BASE,A95),0)=1,CATALOG_POINTS,0))=0,DAILY_POST_POINTS,MAX(IF(IFERROR(FIND(CATALOG_BASE,A95),0)=1,CATALOG_POINTS,0))),IFERROR(INDEX(CATALOG_POINTS,MATCH(A95,CATALOG_TASK,0)),""))</f>
        <v>2</v>
      </c>
      <c r="D95" s="10" t="s">
        <v>209</v>
      </c>
      <c r="E95" s="41" t="str">
        <f t="shared" si="1"/>
        <v>PROX3</v>
      </c>
    </row>
    <row r="96" ht="15.75" customHeight="1">
      <c r="A96" s="10" t="s">
        <v>168</v>
      </c>
      <c r="B96" s="10" t="s">
        <v>123</v>
      </c>
      <c r="C96" s="41">
        <f t="array" ref="C96">IF(IFERROR(INDEX(CATALOG_POINTS,MATCH(A96,CATALOG_TASK,0)),"")="",IF(MAX(IF(IFERROR(FIND(CATALOG_BASE,A96),0)=1,CATALOG_POINTS,0))=0,DAILY_POST_POINTS,MAX(IF(IFERROR(FIND(CATALOG_BASE,A96),0)=1,CATALOG_POINTS,0))),IFERROR(INDEX(CATALOG_POINTS,MATCH(A96,CATALOG_TASK,0)),""))</f>
        <v>1</v>
      </c>
      <c r="D96" s="10" t="s">
        <v>210</v>
      </c>
      <c r="E96" s="41" t="str">
        <f t="shared" si="1"/>
        <v>PROX3</v>
      </c>
    </row>
    <row r="97" ht="15.75" customHeight="1">
      <c r="A97" s="10" t="s">
        <v>37</v>
      </c>
      <c r="B97" s="10" t="s">
        <v>123</v>
      </c>
      <c r="C97" s="41">
        <f t="array" ref="C97">IF(IFERROR(INDEX(CATALOG_POINTS,MATCH(A97,CATALOG_TASK,0)),"")="",IF(MAX(IF(IFERROR(FIND(CATALOG_BASE,A97),0)=1,CATALOG_POINTS,0))=0,DAILY_POST_POINTS,MAX(IF(IFERROR(FIND(CATALOG_BASE,A97),0)=1,CATALOG_POINTS,0))),IFERROR(INDEX(CATALOG_POINTS,MATCH(A97,CATALOG_TASK,0)),""))</f>
        <v>2</v>
      </c>
      <c r="D97" s="10" t="s">
        <v>210</v>
      </c>
      <c r="E97" s="41" t="str">
        <f t="shared" si="1"/>
        <v>PROX3</v>
      </c>
    </row>
    <row r="98" ht="15.75" customHeight="1">
      <c r="A98" s="10" t="s">
        <v>210</v>
      </c>
      <c r="B98" s="10" t="s">
        <v>134</v>
      </c>
      <c r="C98" s="41">
        <f t="array" ref="C98">IF(IFERROR(INDEX(CATALOG_POINTS,MATCH(A98,CATALOG_TASK,0)),"")="",IF(MAX(IF(IFERROR(FIND(CATALOG_BASE,A98),0)=1,CATALOG_POINTS,0))=0,DAILY_POST_POINTS,MAX(IF(IFERROR(FIND(CATALOG_BASE,A98),0)=1,CATALOG_POINTS,0))),IFERROR(INDEX(CATALOG_POINTS,MATCH(A98,CATALOG_TASK,0)),""))</f>
        <v>1</v>
      </c>
      <c r="D98" s="10" t="s">
        <v>210</v>
      </c>
      <c r="E98" s="41" t="str">
        <f t="shared" si="1"/>
        <v>PROX3</v>
      </c>
    </row>
    <row r="99" ht="15.75" customHeight="1">
      <c r="A99" s="10" t="s">
        <v>174</v>
      </c>
      <c r="B99" s="10" t="s">
        <v>125</v>
      </c>
      <c r="C99" s="41">
        <f t="array" ref="C99">IF(IFERROR(INDEX(CATALOG_POINTS,MATCH(A99,CATALOG_TASK,0)),"")="",IF(MAX(IF(IFERROR(FIND(CATALOG_BASE,A99),0)=1,CATALOG_POINTS,0))=0,DAILY_POST_POINTS,MAX(IF(IFERROR(FIND(CATALOG_BASE,A99),0)=1,CATALOG_POINTS,0))),IFERROR(INDEX(CATALOG_POINTS,MATCH(A99,CATALOG_TASK,0)),""))</f>
        <v>1</v>
      </c>
      <c r="D99" s="10" t="s">
        <v>211</v>
      </c>
      <c r="E99" s="41" t="str">
        <f t="shared" si="1"/>
        <v>PROX3</v>
      </c>
    </row>
    <row r="100" ht="15.75" customHeight="1">
      <c r="A100" s="10" t="s">
        <v>211</v>
      </c>
      <c r="B100" s="10" t="s">
        <v>124</v>
      </c>
      <c r="C100" s="41">
        <f t="array" ref="C100">IF(IFERROR(INDEX(CATALOG_POINTS,MATCH(A100,CATALOG_TASK,0)),"")="",IF(MAX(IF(IFERROR(FIND(CATALOG_BASE,A100),0)=1,CATALOG_POINTS,0))=0,DAILY_POST_POINTS,MAX(IF(IFERROR(FIND(CATALOG_BASE,A100),0)=1,CATALOG_POINTS,0))),IFERROR(INDEX(CATALOG_POINTS,MATCH(A100,CATALOG_TASK,0)),""))</f>
        <v>1</v>
      </c>
      <c r="D100" s="10" t="s">
        <v>211</v>
      </c>
      <c r="E100" s="41" t="str">
        <f t="shared" si="1"/>
        <v>PROX3</v>
      </c>
    </row>
    <row r="101" ht="15.75" customHeight="1">
      <c r="A101" s="10" t="s">
        <v>52</v>
      </c>
      <c r="B101" s="10" t="s">
        <v>140</v>
      </c>
      <c r="C101" s="41">
        <f t="array" ref="C101">IF(IFERROR(INDEX(CATALOG_POINTS,MATCH(A101,CATALOG_TASK,0)),"")="",IF(MAX(IF(IFERROR(FIND(CATALOG_BASE,A101),0)=1,CATALOG_POINTS,0))=0,DAILY_POST_POINTS,MAX(IF(IFERROR(FIND(CATALOG_BASE,A101),0)=1,CATALOG_POINTS,0))),IFERROR(INDEX(CATALOG_POINTS,MATCH(A101,CATALOG_TASK,0)),""))</f>
        <v>10</v>
      </c>
      <c r="D101" s="10" t="s">
        <v>212</v>
      </c>
      <c r="E101" s="41" t="str">
        <f t="shared" si="1"/>
        <v>E0</v>
      </c>
    </row>
    <row r="102" ht="15.75" customHeight="1">
      <c r="A102" s="10" t="s">
        <v>177</v>
      </c>
      <c r="B102" s="10" t="s">
        <v>140</v>
      </c>
      <c r="C102" s="41">
        <f t="array" ref="C102">IF(IFERROR(INDEX(CATALOG_POINTS,MATCH(A102,CATALOG_TASK,0)),"")="",IF(MAX(IF(IFERROR(FIND(CATALOG_BASE,A102),0)=1,CATALOG_POINTS,0))=0,DAILY_POST_POINTS,MAX(IF(IFERROR(FIND(CATALOG_BASE,A102),0)=1,CATALOG_POINTS,0))),IFERROR(INDEX(CATALOG_POINTS,MATCH(A102,CATALOG_TASK,0)),""))</f>
        <v>6</v>
      </c>
      <c r="D102" s="10" t="s">
        <v>212</v>
      </c>
      <c r="E102" s="41" t="str">
        <f t="shared" si="1"/>
        <v>E0</v>
      </c>
    </row>
    <row r="103" ht="15.75" customHeight="1">
      <c r="A103" s="10" t="s">
        <v>212</v>
      </c>
      <c r="B103" s="10" t="s">
        <v>134</v>
      </c>
      <c r="C103" s="41">
        <f t="array" ref="C103">IF(IFERROR(INDEX(CATALOG_POINTS,MATCH(A103,CATALOG_TASK,0)),"")="",IF(MAX(IF(IFERROR(FIND(CATALOG_BASE,A103),0)=1,CATALOG_POINTS,0))=0,DAILY_POST_POINTS,MAX(IF(IFERROR(FIND(CATALOG_BASE,A103),0)=1,CATALOG_POINTS,0))),IFERROR(INDEX(CATALOG_POINTS,MATCH(A103,CATALOG_TASK,0)),""))</f>
        <v>1</v>
      </c>
      <c r="D103" s="10" t="s">
        <v>212</v>
      </c>
      <c r="E103" s="41" t="str">
        <f t="shared" si="1"/>
        <v>E0</v>
      </c>
    </row>
    <row r="104" ht="15.75" customHeight="1">
      <c r="A104" s="10" t="s">
        <v>213</v>
      </c>
      <c r="B104" s="10" t="s">
        <v>126</v>
      </c>
      <c r="C104" s="41">
        <f t="array" ref="C104">IF(IFERROR(INDEX(CATALOG_POINTS,MATCH(A104,CATALOG_TASK,0)),"")="",IF(MAX(IF(IFERROR(FIND(CATALOG_BASE,A104),0)=1,CATALOG_POINTS,0))=0,DAILY_POST_POINTS,MAX(IF(IFERROR(FIND(CATALOG_BASE,A104),0)=1,CATALOG_POINTS,0))),IFERROR(INDEX(CATALOG_POINTS,MATCH(A104,CATALOG_TASK,0)),""))</f>
        <v>1</v>
      </c>
      <c r="D104" s="10" t="s">
        <v>213</v>
      </c>
      <c r="E104" s="41" t="str">
        <f t="shared" si="1"/>
        <v>PROX4</v>
      </c>
    </row>
    <row r="105" ht="15.75" customHeight="1">
      <c r="A105" s="10" t="s">
        <v>214</v>
      </c>
      <c r="B105" s="10" t="s">
        <v>124</v>
      </c>
      <c r="C105" s="41">
        <f t="array" ref="C105">IF(IFERROR(INDEX(CATALOG_POINTS,MATCH(A105,CATALOG_TASK,0)),"")="",IF(MAX(IF(IFERROR(FIND(CATALOG_BASE,A105),0)=1,CATALOG_POINTS,0))=0,DAILY_POST_POINTS,MAX(IF(IFERROR(FIND(CATALOG_BASE,A105),0)=1,CATALOG_POINTS,0))),IFERROR(INDEX(CATALOG_POINTS,MATCH(A105,CATALOG_TASK,0)),""))</f>
        <v>1</v>
      </c>
      <c r="D105" s="10" t="s">
        <v>214</v>
      </c>
      <c r="E105" s="41" t="str">
        <f t="shared" si="1"/>
        <v>PROX3</v>
      </c>
    </row>
    <row r="106" ht="15.75" customHeight="1">
      <c r="A106" s="10" t="s">
        <v>178</v>
      </c>
      <c r="B106" s="10" t="s">
        <v>122</v>
      </c>
      <c r="C106" s="41">
        <f t="array" ref="C106">IF(IFERROR(INDEX(CATALOG_POINTS,MATCH(A106,CATALOG_TASK,0)),"")="",IF(MAX(IF(IFERROR(FIND(CATALOG_BASE,A106),0)=1,CATALOG_POINTS,0))=0,DAILY_POST_POINTS,MAX(IF(IFERROR(FIND(CATALOG_BASE,A106),0)=1,CATALOG_POINTS,0))),IFERROR(INDEX(CATALOG_POINTS,MATCH(A106,CATALOG_TASK,0)),""))</f>
        <v>1</v>
      </c>
      <c r="D106" s="10" t="s">
        <v>214</v>
      </c>
      <c r="E106" s="41" t="str">
        <f t="shared" si="1"/>
        <v>PROX3</v>
      </c>
    </row>
    <row r="107" ht="15.75" customHeight="1">
      <c r="A107" s="10" t="s">
        <v>37</v>
      </c>
      <c r="B107" s="10" t="s">
        <v>128</v>
      </c>
      <c r="C107" s="41">
        <f t="array" ref="C107">IF(IFERROR(INDEX(CATALOG_POINTS,MATCH(A107,CATALOG_TASK,0)),"")="",IF(MAX(IF(IFERROR(FIND(CATALOG_BASE,A107),0)=1,CATALOG_POINTS,0))=0,DAILY_POST_POINTS,MAX(IF(IFERROR(FIND(CATALOG_BASE,A107),0)=1,CATALOG_POINTS,0))),IFERROR(INDEX(CATALOG_POINTS,MATCH(A107,CATALOG_TASK,0)),""))</f>
        <v>2</v>
      </c>
      <c r="D107" s="10" t="s">
        <v>215</v>
      </c>
      <c r="E107" s="41" t="str">
        <f t="shared" si="1"/>
        <v>PROX3</v>
      </c>
    </row>
    <row r="108" ht="15.75" customHeight="1">
      <c r="A108" s="10" t="s">
        <v>215</v>
      </c>
      <c r="B108" s="10" t="s">
        <v>135</v>
      </c>
      <c r="C108" s="41">
        <f t="array" ref="C108">IF(IFERROR(INDEX(CATALOG_POINTS,MATCH(A108,CATALOG_TASK,0)),"")="",IF(MAX(IF(IFERROR(FIND(CATALOG_BASE,A108),0)=1,CATALOG_POINTS,0))=0,DAILY_POST_POINTS,MAX(IF(IFERROR(FIND(CATALOG_BASE,A108),0)=1,CATALOG_POINTS,0))),IFERROR(INDEX(CATALOG_POINTS,MATCH(A108,CATALOG_TASK,0)),""))</f>
        <v>1</v>
      </c>
      <c r="D108" s="10" t="s">
        <v>215</v>
      </c>
      <c r="E108" s="41" t="str">
        <f t="shared" si="1"/>
        <v>PROX3</v>
      </c>
    </row>
    <row r="109" ht="15.75" customHeight="1">
      <c r="A109" s="10" t="s">
        <v>37</v>
      </c>
      <c r="B109" s="10" t="s">
        <v>121</v>
      </c>
      <c r="C109" s="41">
        <f t="array" ref="C109">IF(IFERROR(INDEX(CATALOG_POINTS,MATCH(A109,CATALOG_TASK,0)),"")="",IF(MAX(IF(IFERROR(FIND(CATALOG_BASE,A109),0)=1,CATALOG_POINTS,0))=0,DAILY_POST_POINTS,MAX(IF(IFERROR(FIND(CATALOG_BASE,A109),0)=1,CATALOG_POINTS,0))),IFERROR(INDEX(CATALOG_POINTS,MATCH(A109,CATALOG_TASK,0)),""))</f>
        <v>2</v>
      </c>
      <c r="D109" s="10" t="s">
        <v>216</v>
      </c>
      <c r="E109" s="41" t="str">
        <f t="shared" si="1"/>
        <v>PROX3</v>
      </c>
    </row>
    <row r="110" ht="15.75" customHeight="1">
      <c r="A110" s="10" t="s">
        <v>216</v>
      </c>
      <c r="B110" s="10" t="s">
        <v>127</v>
      </c>
      <c r="C110" s="41">
        <f t="array" ref="C110">IF(IFERROR(INDEX(CATALOG_POINTS,MATCH(A110,CATALOG_TASK,0)),"")="",IF(MAX(IF(IFERROR(FIND(CATALOG_BASE,A110),0)=1,CATALOG_POINTS,0))=0,DAILY_POST_POINTS,MAX(IF(IFERROR(FIND(CATALOG_BASE,A110),0)=1,CATALOG_POINTS,0))),IFERROR(INDEX(CATALOG_POINTS,MATCH(A110,CATALOG_TASK,0)),""))</f>
        <v>1</v>
      </c>
      <c r="D110" s="10" t="s">
        <v>216</v>
      </c>
      <c r="E110" s="41" t="str">
        <f t="shared" si="1"/>
        <v>PROX3</v>
      </c>
    </row>
    <row r="111" ht="15.75" customHeight="1">
      <c r="A111" s="10" t="s">
        <v>217</v>
      </c>
      <c r="B111" s="10" t="s">
        <v>124</v>
      </c>
      <c r="C111" s="41">
        <f t="array" ref="C111">IF(IFERROR(INDEX(CATALOG_POINTS,MATCH(A111,CATALOG_TASK,0)),"")="",IF(MAX(IF(IFERROR(FIND(CATALOG_BASE,A111),0)=1,CATALOG_POINTS,0))=0,DAILY_POST_POINTS,MAX(IF(IFERROR(FIND(CATALOG_BASE,A111),0)=1,CATALOG_POINTS,0))),IFERROR(INDEX(CATALOG_POINTS,MATCH(A111,CATALOG_TASK,0)),""))</f>
        <v>1</v>
      </c>
      <c r="D111" s="10" t="s">
        <v>217</v>
      </c>
      <c r="E111" s="41" t="str">
        <f t="shared" si="1"/>
        <v>E0</v>
      </c>
    </row>
    <row r="112" ht="15.75" customHeight="1">
      <c r="A112" s="10" t="s">
        <v>168</v>
      </c>
      <c r="B112" s="10" t="s">
        <v>124</v>
      </c>
      <c r="C112" s="41">
        <f t="array" ref="C112">IF(IFERROR(INDEX(CATALOG_POINTS,MATCH(A112,CATALOG_TASK,0)),"")="",IF(MAX(IF(IFERROR(FIND(CATALOG_BASE,A112),0)=1,CATALOG_POINTS,0))=0,DAILY_POST_POINTS,MAX(IF(IFERROR(FIND(CATALOG_BASE,A112),0)=1,CATALOG_POINTS,0))),IFERROR(INDEX(CATALOG_POINTS,MATCH(A112,CATALOG_TASK,0)),""))</f>
        <v>1</v>
      </c>
      <c r="D112" s="10" t="s">
        <v>217</v>
      </c>
      <c r="E112" s="41" t="str">
        <f t="shared" si="1"/>
        <v>E0</v>
      </c>
    </row>
    <row r="113" ht="15.75" customHeight="1">
      <c r="A113" s="10" t="s">
        <v>37</v>
      </c>
      <c r="B113" s="10" t="s">
        <v>124</v>
      </c>
      <c r="C113" s="41">
        <f t="array" ref="C113">IF(IFERROR(INDEX(CATALOG_POINTS,MATCH(A113,CATALOG_TASK,0)),"")="",IF(MAX(IF(IFERROR(FIND(CATALOG_BASE,A113),0)=1,CATALOG_POINTS,0))=0,DAILY_POST_POINTS,MAX(IF(IFERROR(FIND(CATALOG_BASE,A113),0)=1,CATALOG_POINTS,0))),IFERROR(INDEX(CATALOG_POINTS,MATCH(A113,CATALOG_TASK,0)),""))</f>
        <v>2</v>
      </c>
      <c r="D113" s="10" t="s">
        <v>217</v>
      </c>
      <c r="E113" s="41" t="str">
        <f t="shared" si="1"/>
        <v>E0</v>
      </c>
    </row>
    <row r="114" ht="15.75" customHeight="1">
      <c r="A114" s="10" t="s">
        <v>178</v>
      </c>
      <c r="B114" s="10" t="s">
        <v>149</v>
      </c>
      <c r="C114" s="41">
        <f t="array" ref="C114">IF(IFERROR(INDEX(CATALOG_POINTS,MATCH(A114,CATALOG_TASK,0)),"")="",IF(MAX(IF(IFERROR(FIND(CATALOG_BASE,A114),0)=1,CATALOG_POINTS,0))=0,DAILY_POST_POINTS,MAX(IF(IFERROR(FIND(CATALOG_BASE,A114),0)=1,CATALOG_POINTS,0))),IFERROR(INDEX(CATALOG_POINTS,MATCH(A114,CATALOG_TASK,0)),""))</f>
        <v>1</v>
      </c>
      <c r="D114" s="10" t="s">
        <v>217</v>
      </c>
      <c r="E114" s="41" t="str">
        <f t="shared" si="1"/>
        <v>E0</v>
      </c>
    </row>
    <row r="115" ht="15.75" customHeight="1">
      <c r="A115" s="10" t="s">
        <v>218</v>
      </c>
      <c r="B115" s="10" t="s">
        <v>119</v>
      </c>
      <c r="C115" s="41">
        <f t="array" ref="C115">IF(IFERROR(INDEX(CATALOG_POINTS,MATCH(A115,CATALOG_TASK,0)),"")="",IF(MAX(IF(IFERROR(FIND(CATALOG_BASE,A115),0)=1,CATALOG_POINTS,0))=0,DAILY_POST_POINTS,MAX(IF(IFERROR(FIND(CATALOG_BASE,A115),0)=1,CATALOG_POINTS,0))),IFERROR(INDEX(CATALOG_POINTS,MATCH(A115,CATALOG_TASK,0)),""))</f>
        <v>1</v>
      </c>
      <c r="D115" s="10" t="s">
        <v>218</v>
      </c>
      <c r="E115" s="41" t="str">
        <f t="shared" si="1"/>
        <v>PROX3</v>
      </c>
    </row>
    <row r="116" ht="15.75" customHeight="1">
      <c r="A116" s="10" t="s">
        <v>219</v>
      </c>
      <c r="B116" s="10" t="s">
        <v>137</v>
      </c>
      <c r="C116" s="41">
        <f t="array" ref="C116">IF(IFERROR(INDEX(CATALOG_POINTS,MATCH(A116,CATALOG_TASK,0)),"")="",IF(MAX(IF(IFERROR(FIND(CATALOG_BASE,A116),0)=1,CATALOG_POINTS,0))=0,DAILY_POST_POINTS,MAX(IF(IFERROR(FIND(CATALOG_BASE,A116),0)=1,CATALOG_POINTS,0))),IFERROR(INDEX(CATALOG_POINTS,MATCH(A116,CATALOG_TASK,0)),""))</f>
        <v>1</v>
      </c>
      <c r="D116" s="10" t="s">
        <v>220</v>
      </c>
      <c r="E116" s="41" t="str">
        <f t="shared" si="1"/>
        <v/>
      </c>
    </row>
    <row r="117" ht="15.75" customHeight="1">
      <c r="A117" s="10" t="s">
        <v>221</v>
      </c>
      <c r="B117" s="10" t="s">
        <v>135</v>
      </c>
      <c r="C117" s="41">
        <f t="array" ref="C117">IF(IFERROR(INDEX(CATALOG_POINTS,MATCH(A117,CATALOG_TASK,0)),"")="",IF(MAX(IF(IFERROR(FIND(CATALOG_BASE,A117),0)=1,CATALOG_POINTS,0))=0,DAILY_POST_POINTS,MAX(IF(IFERROR(FIND(CATALOG_BASE,A117),0)=1,CATALOG_POINTS,0))),IFERROR(INDEX(CATALOG_POINTS,MATCH(A117,CATALOG_TASK,0)),""))</f>
        <v>1</v>
      </c>
      <c r="D117" s="10" t="s">
        <v>222</v>
      </c>
      <c r="E117" s="41" t="str">
        <f t="shared" si="1"/>
        <v/>
      </c>
    </row>
    <row r="118" ht="15.75" customHeight="1">
      <c r="A118" s="10" t="s">
        <v>223</v>
      </c>
      <c r="B118" s="10" t="s">
        <v>128</v>
      </c>
      <c r="C118" s="41">
        <f t="array" ref="C118">IF(IFERROR(INDEX(CATALOG_POINTS,MATCH(A118,CATALOG_TASK,0)),"")="",IF(MAX(IF(IFERROR(FIND(CATALOG_BASE,A118),0)=1,CATALOG_POINTS,0))=0,DAILY_POST_POINTS,MAX(IF(IFERROR(FIND(CATALOG_BASE,A118),0)=1,CATALOG_POINTS,0))),IFERROR(INDEX(CATALOG_POINTS,MATCH(A118,CATALOG_TASK,0)),""))</f>
        <v>1</v>
      </c>
      <c r="D118" s="10" t="s">
        <v>223</v>
      </c>
      <c r="E118" s="41" t="str">
        <f t="shared" si="1"/>
        <v>PROX3</v>
      </c>
    </row>
    <row r="119" ht="15.75" customHeight="1">
      <c r="A119" s="10" t="s">
        <v>224</v>
      </c>
      <c r="B119" s="10" t="s">
        <v>119</v>
      </c>
      <c r="C119" s="41">
        <f t="array" ref="C119">IF(IFERROR(INDEX(CATALOG_POINTS,MATCH(A119,CATALOG_TASK,0)),"")="",IF(MAX(IF(IFERROR(FIND(CATALOG_BASE,A119),0)=1,CATALOG_POINTS,0))=0,DAILY_POST_POINTS,MAX(IF(IFERROR(FIND(CATALOG_BASE,A119),0)=1,CATALOG_POINTS,0))),IFERROR(INDEX(CATALOG_POINTS,MATCH(A119,CATALOG_TASK,0)),""))</f>
        <v>1</v>
      </c>
      <c r="D119" s="10" t="s">
        <v>224</v>
      </c>
      <c r="E119" s="41" t="str">
        <f t="shared" si="1"/>
        <v>PROX3</v>
      </c>
    </row>
    <row r="120" ht="15.75" customHeight="1">
      <c r="A120" s="10" t="s">
        <v>180</v>
      </c>
      <c r="B120" s="10" t="s">
        <v>138</v>
      </c>
      <c r="C120" s="41">
        <f t="array" ref="C120">IF(IFERROR(INDEX(CATALOG_POINTS,MATCH(A120,CATALOG_TASK,0)),"")="",IF(MAX(IF(IFERROR(FIND(CATALOG_BASE,A120),0)=1,CATALOG_POINTS,0))=0,DAILY_POST_POINTS,MAX(IF(IFERROR(FIND(CATALOG_BASE,A120),0)=1,CATALOG_POINTS,0))),IFERROR(INDEX(CATALOG_POINTS,MATCH(A120,CATALOG_TASK,0)),""))</f>
        <v>1</v>
      </c>
      <c r="D120" s="10" t="s">
        <v>225</v>
      </c>
      <c r="E120" s="41" t="str">
        <f t="shared" si="1"/>
        <v>E0</v>
      </c>
    </row>
    <row r="121" ht="15.75" customHeight="1">
      <c r="A121" s="10" t="s">
        <v>37</v>
      </c>
      <c r="B121" s="10" t="s">
        <v>126</v>
      </c>
      <c r="C121" s="41">
        <f t="array" ref="C121">IF(IFERROR(INDEX(CATALOG_POINTS,MATCH(A121,CATALOG_TASK,0)),"")="",IF(MAX(IF(IFERROR(FIND(CATALOG_BASE,A121),0)=1,CATALOG_POINTS,0))=0,DAILY_POST_POINTS,MAX(IF(IFERROR(FIND(CATALOG_BASE,A121),0)=1,CATALOG_POINTS,0))),IFERROR(INDEX(CATALOG_POINTS,MATCH(A121,CATALOG_TASK,0)),""))</f>
        <v>2</v>
      </c>
      <c r="D121" s="10" t="s">
        <v>225</v>
      </c>
      <c r="E121" s="41" t="str">
        <f t="shared" si="1"/>
        <v>E0</v>
      </c>
    </row>
    <row r="122" ht="15.75" customHeight="1">
      <c r="A122" s="10" t="s">
        <v>180</v>
      </c>
      <c r="B122" s="10" t="s">
        <v>138</v>
      </c>
      <c r="C122" s="41">
        <f t="array" ref="C122">IF(IFERROR(INDEX(CATALOG_POINTS,MATCH(A122,CATALOG_TASK,0)),"")="",IF(MAX(IF(IFERROR(FIND(CATALOG_BASE,A122),0)=1,CATALOG_POINTS,0))=0,DAILY_POST_POINTS,MAX(IF(IFERROR(FIND(CATALOG_BASE,A122),0)=1,CATALOG_POINTS,0))),IFERROR(INDEX(CATALOG_POINTS,MATCH(A122,CATALOG_TASK,0)),""))</f>
        <v>1</v>
      </c>
      <c r="D122" s="10" t="s">
        <v>225</v>
      </c>
      <c r="E122" s="41" t="str">
        <f t="shared" si="1"/>
        <v>E0</v>
      </c>
    </row>
    <row r="123" ht="15.75" customHeight="1">
      <c r="A123" s="10" t="s">
        <v>37</v>
      </c>
      <c r="B123" s="10" t="s">
        <v>126</v>
      </c>
      <c r="C123" s="41">
        <f t="array" ref="C123">IF(IFERROR(INDEX(CATALOG_POINTS,MATCH(A123,CATALOG_TASK,0)),"")="",IF(MAX(IF(IFERROR(FIND(CATALOG_BASE,A123),0)=1,CATALOG_POINTS,0))=0,DAILY_POST_POINTS,MAX(IF(IFERROR(FIND(CATALOG_BASE,A123),0)=1,CATALOG_POINTS,0))),IFERROR(INDEX(CATALOG_POINTS,MATCH(A123,CATALOG_TASK,0)),""))</f>
        <v>2</v>
      </c>
      <c r="D123" s="10" t="s">
        <v>225</v>
      </c>
      <c r="E123" s="41" t="str">
        <f t="shared" si="1"/>
        <v>E0</v>
      </c>
    </row>
    <row r="124" ht="15.75" customHeight="1">
      <c r="A124" s="10" t="s">
        <v>225</v>
      </c>
      <c r="B124" s="10" t="s">
        <v>123</v>
      </c>
      <c r="C124" s="41">
        <f t="array" ref="C124">IF(IFERROR(INDEX(CATALOG_POINTS,MATCH(A124,CATALOG_TASK,0)),"")="",IF(MAX(IF(IFERROR(FIND(CATALOG_BASE,A124),0)=1,CATALOG_POINTS,0))=0,DAILY_POST_POINTS,MAX(IF(IFERROR(FIND(CATALOG_BASE,A124),0)=1,CATALOG_POINTS,0))),IFERROR(INDEX(CATALOG_POINTS,MATCH(A124,CATALOG_TASK,0)),""))</f>
        <v>1</v>
      </c>
      <c r="D124" s="10" t="s">
        <v>225</v>
      </c>
      <c r="E124" s="41" t="str">
        <f t="shared" si="1"/>
        <v>E0</v>
      </c>
    </row>
    <row r="125" ht="15.75" customHeight="1">
      <c r="A125" s="10" t="s">
        <v>226</v>
      </c>
      <c r="B125" s="10" t="s">
        <v>136</v>
      </c>
      <c r="C125" s="41">
        <f t="array" ref="C125">IF(IFERROR(INDEX(CATALOG_POINTS,MATCH(A125,CATALOG_TASK,0)),"")="",IF(MAX(IF(IFERROR(FIND(CATALOG_BASE,A125),0)=1,CATALOG_POINTS,0))=0,DAILY_POST_POINTS,MAX(IF(IFERROR(FIND(CATALOG_BASE,A125),0)=1,CATALOG_POINTS,0))),IFERROR(INDEX(CATALOG_POINTS,MATCH(A125,CATALOG_TASK,0)),""))</f>
        <v>1</v>
      </c>
      <c r="D125" s="10" t="s">
        <v>226</v>
      </c>
      <c r="E125" s="41" t="str">
        <f t="shared" si="1"/>
        <v>PROX3</v>
      </c>
    </row>
    <row r="126" ht="15.75" customHeight="1">
      <c r="A126" s="10" t="s">
        <v>227</v>
      </c>
      <c r="B126" s="10" t="s">
        <v>134</v>
      </c>
      <c r="C126" s="41">
        <f t="array" ref="C126">IF(IFERROR(INDEX(CATALOG_POINTS,MATCH(A126,CATALOG_TASK,0)),"")="",IF(MAX(IF(IFERROR(FIND(CATALOG_BASE,A126),0)=1,CATALOG_POINTS,0))=0,DAILY_POST_POINTS,MAX(IF(IFERROR(FIND(CATALOG_BASE,A126),0)=1,CATALOG_POINTS,0))),IFERROR(INDEX(CATALOG_POINTS,MATCH(A126,CATALOG_TASK,0)),""))</f>
        <v>1</v>
      </c>
      <c r="D126" s="10" t="s">
        <v>227</v>
      </c>
      <c r="E126" s="41" t="str">
        <f t="shared" si="1"/>
        <v>PROX3</v>
      </c>
    </row>
    <row r="127" ht="15.75" customHeight="1">
      <c r="A127" s="10" t="s">
        <v>228</v>
      </c>
      <c r="B127" s="10" t="s">
        <v>136</v>
      </c>
      <c r="C127" s="41">
        <f t="array" ref="C127">IF(IFERROR(INDEX(CATALOG_POINTS,MATCH(A127,CATALOG_TASK,0)),"")="",IF(MAX(IF(IFERROR(FIND(CATALOG_BASE,A127),0)=1,CATALOG_POINTS,0))=0,DAILY_POST_POINTS,MAX(IF(IFERROR(FIND(CATALOG_BASE,A127),0)=1,CATALOG_POINTS,0))),IFERROR(INDEX(CATALOG_POINTS,MATCH(A127,CATALOG_TASK,0)),""))</f>
        <v>1</v>
      </c>
      <c r="D127" s="10" t="s">
        <v>228</v>
      </c>
      <c r="E127" s="41" t="str">
        <f t="shared" si="1"/>
        <v/>
      </c>
    </row>
    <row r="128" ht="15.75" customHeight="1">
      <c r="A128" s="10" t="s">
        <v>229</v>
      </c>
      <c r="B128" s="10" t="s">
        <v>133</v>
      </c>
      <c r="C128" s="41">
        <f t="array" ref="C128">IF(IFERROR(INDEX(CATALOG_POINTS,MATCH(A128,CATALOG_TASK,0)),"")="",IF(MAX(IF(IFERROR(FIND(CATALOG_BASE,A128),0)=1,CATALOG_POINTS,0))=0,DAILY_POST_POINTS,MAX(IF(IFERROR(FIND(CATALOG_BASE,A128),0)=1,CATALOG_POINTS,0))),IFERROR(INDEX(CATALOG_POINTS,MATCH(A128,CATALOG_TASK,0)),""))</f>
        <v>1</v>
      </c>
      <c r="D128" s="10" t="s">
        <v>229</v>
      </c>
      <c r="E128" s="41" t="str">
        <f t="shared" si="1"/>
        <v>E0</v>
      </c>
    </row>
    <row r="129" ht="15.75" customHeight="1">
      <c r="A129" s="10" t="s">
        <v>230</v>
      </c>
      <c r="B129" s="10" t="s">
        <v>133</v>
      </c>
      <c r="C129" s="41">
        <f t="array" ref="C129">IF(IFERROR(INDEX(CATALOG_POINTS,MATCH(A129,CATALOG_TASK,0)),"")="",IF(MAX(IF(IFERROR(FIND(CATALOG_BASE,A129),0)=1,CATALOG_POINTS,0))=0,DAILY_POST_POINTS,MAX(IF(IFERROR(FIND(CATALOG_BASE,A129),0)=1,CATALOG_POINTS,0))),IFERROR(INDEX(CATALOG_POINTS,MATCH(A129,CATALOG_TASK,0)),""))</f>
        <v>1</v>
      </c>
      <c r="D129" s="10" t="s">
        <v>230</v>
      </c>
      <c r="E129" s="41" t="str">
        <f t="shared" si="1"/>
        <v>PROX3</v>
      </c>
    </row>
    <row r="130" ht="15.75" customHeight="1">
      <c r="A130" s="10" t="s">
        <v>37</v>
      </c>
      <c r="B130" s="10" t="s">
        <v>126</v>
      </c>
      <c r="C130" s="41">
        <f t="array" ref="C130">IF(IFERROR(INDEX(CATALOG_POINTS,MATCH(A130,CATALOG_TASK,0)),"")="",IF(MAX(IF(IFERROR(FIND(CATALOG_BASE,A130),0)=1,CATALOG_POINTS,0))=0,DAILY_POST_POINTS,MAX(IF(IFERROR(FIND(CATALOG_BASE,A130),0)=1,CATALOG_POINTS,0))),IFERROR(INDEX(CATALOG_POINTS,MATCH(A130,CATALOG_TASK,0)),""))</f>
        <v>2</v>
      </c>
      <c r="D130" s="10" t="s">
        <v>230</v>
      </c>
      <c r="E130" s="41" t="str">
        <f t="shared" si="1"/>
        <v>PROX3</v>
      </c>
    </row>
    <row r="131" ht="15.75" customHeight="1">
      <c r="A131" s="10" t="s">
        <v>231</v>
      </c>
      <c r="B131" s="10" t="s">
        <v>128</v>
      </c>
      <c r="C131" s="41">
        <f t="array" ref="C131">IF(IFERROR(INDEX(CATALOG_POINTS,MATCH(A131,CATALOG_TASK,0)),"")="",IF(MAX(IF(IFERROR(FIND(CATALOG_BASE,A131),0)=1,CATALOG_POINTS,0))=0,DAILY_POST_POINTS,MAX(IF(IFERROR(FIND(CATALOG_BASE,A131),0)=1,CATALOG_POINTS,0))),IFERROR(INDEX(CATALOG_POINTS,MATCH(A131,CATALOG_TASK,0)),""))</f>
        <v>1</v>
      </c>
      <c r="D131" s="10" t="s">
        <v>231</v>
      </c>
      <c r="E131" s="41" t="str">
        <f t="shared" si="1"/>
        <v>PROX3</v>
      </c>
    </row>
    <row r="132" ht="15.75" customHeight="1">
      <c r="A132" s="10" t="s">
        <v>37</v>
      </c>
      <c r="B132" s="10" t="s">
        <v>120</v>
      </c>
      <c r="C132" s="41">
        <f t="array" ref="C132">IF(IFERROR(INDEX(CATALOG_POINTS,MATCH(A132,CATALOG_TASK,0)),"")="",IF(MAX(IF(IFERROR(FIND(CATALOG_BASE,A132),0)=1,CATALOG_POINTS,0))=0,DAILY_POST_POINTS,MAX(IF(IFERROR(FIND(CATALOG_BASE,A132),0)=1,CATALOG_POINTS,0))),IFERROR(INDEX(CATALOG_POINTS,MATCH(A132,CATALOG_TASK,0)),""))</f>
        <v>2</v>
      </c>
      <c r="D132" s="10" t="s">
        <v>231</v>
      </c>
      <c r="E132" s="41" t="str">
        <f t="shared" si="1"/>
        <v>PROX3</v>
      </c>
    </row>
    <row r="133" ht="15.75" customHeight="1">
      <c r="A133" s="10" t="s">
        <v>180</v>
      </c>
      <c r="B133" s="10" t="s">
        <v>138</v>
      </c>
      <c r="C133" s="41">
        <f t="array" ref="C133">IF(IFERROR(INDEX(CATALOG_POINTS,MATCH(A133,CATALOG_TASK,0)),"")="",IF(MAX(IF(IFERROR(FIND(CATALOG_BASE,A133),0)=1,CATALOG_POINTS,0))=0,DAILY_POST_POINTS,MAX(IF(IFERROR(FIND(CATALOG_BASE,A133),0)=1,CATALOG_POINTS,0))),IFERROR(INDEX(CATALOG_POINTS,MATCH(A133,CATALOG_TASK,0)),""))</f>
        <v>1</v>
      </c>
      <c r="D133" s="10" t="s">
        <v>232</v>
      </c>
      <c r="E133" s="41" t="str">
        <f t="shared" si="1"/>
        <v>PROX3</v>
      </c>
    </row>
    <row r="134" ht="15.75" customHeight="1">
      <c r="A134" s="10" t="s">
        <v>233</v>
      </c>
      <c r="B134" s="10" t="s">
        <v>136</v>
      </c>
      <c r="C134" s="41">
        <f t="array" ref="C134">IF(IFERROR(INDEX(CATALOG_POINTS,MATCH(A134,CATALOG_TASK,0)),"")="",IF(MAX(IF(IFERROR(FIND(CATALOG_BASE,A134),0)=1,CATALOG_POINTS,0))=0,DAILY_POST_POINTS,MAX(IF(IFERROR(FIND(CATALOG_BASE,A134),0)=1,CATALOG_POINTS,0))),IFERROR(INDEX(CATALOG_POINTS,MATCH(A134,CATALOG_TASK,0)),""))</f>
        <v>1</v>
      </c>
      <c r="D134" s="10" t="s">
        <v>233</v>
      </c>
      <c r="E134" s="41" t="str">
        <f t="shared" si="1"/>
        <v>PROX4</v>
      </c>
    </row>
    <row r="135" ht="15.75" customHeight="1">
      <c r="A135" s="10" t="s">
        <v>234</v>
      </c>
      <c r="B135" s="10" t="s">
        <v>119</v>
      </c>
      <c r="C135" s="41">
        <f t="array" ref="C135">IF(IFERROR(INDEX(CATALOG_POINTS,MATCH(A135,CATALOG_TASK,0)),"")="",IF(MAX(IF(IFERROR(FIND(CATALOG_BASE,A135),0)=1,CATALOG_POINTS,0))=0,DAILY_POST_POINTS,MAX(IF(IFERROR(FIND(CATALOG_BASE,A135),0)=1,CATALOG_POINTS,0))),IFERROR(INDEX(CATALOG_POINTS,MATCH(A135,CATALOG_TASK,0)),""))</f>
        <v>1</v>
      </c>
      <c r="D135" s="10" t="s">
        <v>234</v>
      </c>
      <c r="E135" s="41" t="str">
        <f t="shared" si="1"/>
        <v>PROX4</v>
      </c>
    </row>
    <row r="136" ht="15.75" customHeight="1">
      <c r="A136" s="10" t="s">
        <v>235</v>
      </c>
      <c r="B136" s="10" t="s">
        <v>124</v>
      </c>
      <c r="C136" s="41">
        <f t="array" ref="C136">IF(IFERROR(INDEX(CATALOG_POINTS,MATCH(A136,CATALOG_TASK,0)),"")="",IF(MAX(IF(IFERROR(FIND(CATALOG_BASE,A136),0)=1,CATALOG_POINTS,0))=0,DAILY_POST_POINTS,MAX(IF(IFERROR(FIND(CATALOG_BASE,A136),0)=1,CATALOG_POINTS,0))),IFERROR(INDEX(CATALOG_POINTS,MATCH(A136,CATALOG_TASK,0)),""))</f>
        <v>1</v>
      </c>
      <c r="D136" s="10" t="s">
        <v>235</v>
      </c>
      <c r="E136" s="41" t="str">
        <f t="shared" si="1"/>
        <v>PROX3</v>
      </c>
    </row>
    <row r="137" ht="15.75" customHeight="1">
      <c r="A137" s="10" t="s">
        <v>24</v>
      </c>
      <c r="B137" s="10" t="s">
        <v>117</v>
      </c>
      <c r="C137" s="41">
        <f t="array" ref="C137">IF(IFERROR(INDEX(CATALOG_POINTS,MATCH(A137,CATALOG_TASK,0)),"")="",IF(MAX(IF(IFERROR(FIND(CATALOG_BASE,A137),0)=1,CATALOG_POINTS,0))=0,DAILY_POST_POINTS,MAX(IF(IFERROR(FIND(CATALOG_BASE,A137),0)=1,CATALOG_POINTS,0))),IFERROR(INDEX(CATALOG_POINTS,MATCH(A137,CATALOG_TASK,0)),""))</f>
        <v>2</v>
      </c>
      <c r="D137" s="10" t="s">
        <v>236</v>
      </c>
      <c r="E137" s="41" t="str">
        <f t="shared" si="1"/>
        <v>PROX4</v>
      </c>
    </row>
    <row r="138" ht="15.75" customHeight="1">
      <c r="A138" s="10" t="s">
        <v>37</v>
      </c>
      <c r="B138" s="10" t="s">
        <v>122</v>
      </c>
      <c r="C138" s="41">
        <f t="array" ref="C138">IF(IFERROR(INDEX(CATALOG_POINTS,MATCH(A138,CATALOG_TASK,0)),"")="",IF(MAX(IF(IFERROR(FIND(CATALOG_BASE,A138),0)=1,CATALOG_POINTS,0))=0,DAILY_POST_POINTS,MAX(IF(IFERROR(FIND(CATALOG_BASE,A138),0)=1,CATALOG_POINTS,0))),IFERROR(INDEX(CATALOG_POINTS,MATCH(A138,CATALOG_TASK,0)),""))</f>
        <v>2</v>
      </c>
      <c r="D138" s="10" t="s">
        <v>236</v>
      </c>
      <c r="E138" s="41" t="str">
        <f t="shared" si="1"/>
        <v>PROX4</v>
      </c>
    </row>
    <row r="139" ht="15.75" customHeight="1">
      <c r="A139" s="10" t="s">
        <v>55</v>
      </c>
      <c r="B139" s="10" t="s">
        <v>139</v>
      </c>
      <c r="C139" s="41">
        <f t="array" ref="C139">IF(IFERROR(INDEX(CATALOG_POINTS,MATCH(A139,CATALOG_TASK,0)),"")="",IF(MAX(IF(IFERROR(FIND(CATALOG_BASE,A139),0)=1,CATALOG_POINTS,0))=0,DAILY_POST_POINTS,MAX(IF(IFERROR(FIND(CATALOG_BASE,A139),0)=1,CATALOG_POINTS,0))),IFERROR(INDEX(CATALOG_POINTS,MATCH(A139,CATALOG_TASK,0)),""))</f>
        <v>8</v>
      </c>
      <c r="D139" s="10" t="s">
        <v>236</v>
      </c>
      <c r="E139" s="41" t="str">
        <f t="shared" si="1"/>
        <v>PROX4</v>
      </c>
    </row>
    <row r="140" ht="15.75" customHeight="1">
      <c r="A140" s="10" t="s">
        <v>37</v>
      </c>
      <c r="B140" s="10" t="s">
        <v>117</v>
      </c>
      <c r="C140" s="41">
        <f t="array" ref="C140">IF(IFERROR(INDEX(CATALOG_POINTS,MATCH(A140,CATALOG_TASK,0)),"")="",IF(MAX(IF(IFERROR(FIND(CATALOG_BASE,A140),0)=1,CATALOG_POINTS,0))=0,DAILY_POST_POINTS,MAX(IF(IFERROR(FIND(CATALOG_BASE,A140),0)=1,CATALOG_POINTS,0))),IFERROR(INDEX(CATALOG_POINTS,MATCH(A140,CATALOG_TASK,0)),""))</f>
        <v>2</v>
      </c>
      <c r="D140" s="10" t="s">
        <v>236</v>
      </c>
      <c r="E140" s="41" t="str">
        <f t="shared" si="1"/>
        <v>PROX4</v>
      </c>
    </row>
    <row r="141" ht="15.75" customHeight="1">
      <c r="A141" s="10" t="s">
        <v>180</v>
      </c>
      <c r="B141" s="10" t="s">
        <v>138</v>
      </c>
      <c r="C141" s="41">
        <f t="array" ref="C141">IF(IFERROR(INDEX(CATALOG_POINTS,MATCH(A141,CATALOG_TASK,0)),"")="",IF(MAX(IF(IFERROR(FIND(CATALOG_BASE,A141),0)=1,CATALOG_POINTS,0))=0,DAILY_POST_POINTS,MAX(IF(IFERROR(FIND(CATALOG_BASE,A141),0)=1,CATALOG_POINTS,0))),IFERROR(INDEX(CATALOG_POINTS,MATCH(A141,CATALOG_TASK,0)),""))</f>
        <v>1</v>
      </c>
      <c r="D141" s="10" t="s">
        <v>236</v>
      </c>
      <c r="E141" s="41" t="str">
        <f t="shared" si="1"/>
        <v>PROX4</v>
      </c>
    </row>
    <row r="142" ht="15.75" customHeight="1">
      <c r="A142" s="10" t="s">
        <v>37</v>
      </c>
      <c r="B142" s="10" t="s">
        <v>121</v>
      </c>
      <c r="C142" s="41">
        <f t="array" ref="C142">IF(IFERROR(INDEX(CATALOG_POINTS,MATCH(A142,CATALOG_TASK,0)),"")="",IF(MAX(IF(IFERROR(FIND(CATALOG_BASE,A142),0)=1,CATALOG_POINTS,0))=0,DAILY_POST_POINTS,MAX(IF(IFERROR(FIND(CATALOG_BASE,A142),0)=1,CATALOG_POINTS,0))),IFERROR(INDEX(CATALOG_POINTS,MATCH(A142,CATALOG_TASK,0)),""))</f>
        <v>2</v>
      </c>
      <c r="D142" s="10" t="s">
        <v>236</v>
      </c>
      <c r="E142" s="41" t="str">
        <f t="shared" si="1"/>
        <v>PROX4</v>
      </c>
    </row>
    <row r="143" ht="15.75" customHeight="1">
      <c r="A143" s="10" t="s">
        <v>37</v>
      </c>
      <c r="B143" s="10" t="s">
        <v>123</v>
      </c>
      <c r="C143" s="41">
        <f t="array" ref="C143">IF(IFERROR(INDEX(CATALOG_POINTS,MATCH(A143,CATALOG_TASK,0)),"")="",IF(MAX(IF(IFERROR(FIND(CATALOG_BASE,A143),0)=1,CATALOG_POINTS,0))=0,DAILY_POST_POINTS,MAX(IF(IFERROR(FIND(CATALOG_BASE,A143),0)=1,CATALOG_POINTS,0))),IFERROR(INDEX(CATALOG_POINTS,MATCH(A143,CATALOG_TASK,0)),""))</f>
        <v>2</v>
      </c>
      <c r="D143" s="10" t="s">
        <v>236</v>
      </c>
      <c r="E143" s="41" t="str">
        <f t="shared" si="1"/>
        <v>PROX4</v>
      </c>
    </row>
    <row r="144" ht="15.75" customHeight="1">
      <c r="A144" s="10" t="s">
        <v>174</v>
      </c>
      <c r="B144" s="10" t="s">
        <v>117</v>
      </c>
      <c r="C144" s="41">
        <f t="array" ref="C144">IF(IFERROR(INDEX(CATALOG_POINTS,MATCH(A144,CATALOG_TASK,0)),"")="",IF(MAX(IF(IFERROR(FIND(CATALOG_BASE,A144),0)=1,CATALOG_POINTS,0))=0,DAILY_POST_POINTS,MAX(IF(IFERROR(FIND(CATALOG_BASE,A144),0)=1,CATALOG_POINTS,0))),IFERROR(INDEX(CATALOG_POINTS,MATCH(A144,CATALOG_TASK,0)),""))</f>
        <v>1</v>
      </c>
      <c r="D144" s="10" t="s">
        <v>236</v>
      </c>
      <c r="E144" s="41" t="str">
        <f t="shared" si="1"/>
        <v>PROX4</v>
      </c>
    </row>
    <row r="145" ht="15.75" customHeight="1">
      <c r="A145" s="10" t="s">
        <v>37</v>
      </c>
      <c r="B145" s="10" t="s">
        <v>126</v>
      </c>
      <c r="C145" s="41">
        <f t="array" ref="C145">IF(IFERROR(INDEX(CATALOG_POINTS,MATCH(A145,CATALOG_TASK,0)),"")="",IF(MAX(IF(IFERROR(FIND(CATALOG_BASE,A145),0)=1,CATALOG_POINTS,0))=0,DAILY_POST_POINTS,MAX(IF(IFERROR(FIND(CATALOG_BASE,A145),0)=1,CATALOG_POINTS,0))),IFERROR(INDEX(CATALOG_POINTS,MATCH(A145,CATALOG_TASK,0)),""))</f>
        <v>2</v>
      </c>
      <c r="D145" s="10" t="s">
        <v>236</v>
      </c>
      <c r="E145" s="41" t="str">
        <f t="shared" si="1"/>
        <v>PROX4</v>
      </c>
    </row>
    <row r="146" ht="15.75" customHeight="1">
      <c r="A146" s="10" t="s">
        <v>237</v>
      </c>
      <c r="B146" s="10" t="s">
        <v>134</v>
      </c>
      <c r="C146" s="41">
        <f t="array" ref="C146">IF(IFERROR(INDEX(CATALOG_POINTS,MATCH(A146,CATALOG_TASK,0)),"")="",IF(MAX(IF(IFERROR(FIND(CATALOG_BASE,A146),0)=1,CATALOG_POINTS,0))=0,DAILY_POST_POINTS,MAX(IF(IFERROR(FIND(CATALOG_BASE,A146),0)=1,CATALOG_POINTS,0))),IFERROR(INDEX(CATALOG_POINTS,MATCH(A146,CATALOG_TASK,0)),""))</f>
        <v>1</v>
      </c>
      <c r="D146" s="10" t="s">
        <v>237</v>
      </c>
      <c r="E146" s="41" t="str">
        <f t="shared" si="1"/>
        <v>PROX3</v>
      </c>
    </row>
    <row r="147" ht="15.75" customHeight="1">
      <c r="A147" s="10" t="s">
        <v>37</v>
      </c>
      <c r="B147" s="10" t="s">
        <v>121</v>
      </c>
      <c r="C147" s="41">
        <f t="array" ref="C147">IF(IFERROR(INDEX(CATALOG_POINTS,MATCH(A147,CATALOG_TASK,0)),"")="",IF(MAX(IF(IFERROR(FIND(CATALOG_BASE,A147),0)=1,CATALOG_POINTS,0))=0,DAILY_POST_POINTS,MAX(IF(IFERROR(FIND(CATALOG_BASE,A147),0)=1,CATALOG_POINTS,0))),IFERROR(INDEX(CATALOG_POINTS,MATCH(A147,CATALOG_TASK,0)),""))</f>
        <v>2</v>
      </c>
      <c r="D147" s="10" t="s">
        <v>238</v>
      </c>
      <c r="E147" s="41" t="str">
        <f t="shared" si="1"/>
        <v>PROX3</v>
      </c>
    </row>
    <row r="148" ht="15.75" customHeight="1">
      <c r="A148" s="10" t="s">
        <v>238</v>
      </c>
      <c r="B148" s="10" t="s">
        <v>131</v>
      </c>
      <c r="C148" s="41">
        <f t="array" ref="C148">IF(IFERROR(INDEX(CATALOG_POINTS,MATCH(A148,CATALOG_TASK,0)),"")="",IF(MAX(IF(IFERROR(FIND(CATALOG_BASE,A148),0)=1,CATALOG_POINTS,0))=0,DAILY_POST_POINTS,MAX(IF(IFERROR(FIND(CATALOG_BASE,A148),0)=1,CATALOG_POINTS,0))),IFERROR(INDEX(CATALOG_POINTS,MATCH(A148,CATALOG_TASK,0)),""))</f>
        <v>1</v>
      </c>
      <c r="D148" s="10" t="s">
        <v>238</v>
      </c>
      <c r="E148" s="41" t="str">
        <f t="shared" si="1"/>
        <v>PROX3</v>
      </c>
    </row>
    <row r="149" ht="15.75" customHeight="1">
      <c r="A149" s="10" t="s">
        <v>239</v>
      </c>
      <c r="B149" s="10" t="s">
        <v>128</v>
      </c>
      <c r="C149" s="41">
        <f t="array" ref="C149">IF(IFERROR(INDEX(CATALOG_POINTS,MATCH(A149,CATALOG_TASK,0)),"")="",IF(MAX(IF(IFERROR(FIND(CATALOG_BASE,A149),0)=1,CATALOG_POINTS,0))=0,DAILY_POST_POINTS,MAX(IF(IFERROR(FIND(CATALOG_BASE,A149),0)=1,CATALOG_POINTS,0))),IFERROR(INDEX(CATALOG_POINTS,MATCH(A149,CATALOG_TASK,0)),""))</f>
        <v>1</v>
      </c>
      <c r="D149" s="10" t="s">
        <v>239</v>
      </c>
      <c r="E149" s="41" t="str">
        <f t="shared" si="1"/>
        <v>PROX3</v>
      </c>
    </row>
    <row r="150" ht="15.75" customHeight="1">
      <c r="A150" s="10" t="s">
        <v>240</v>
      </c>
      <c r="B150" s="10" t="s">
        <v>119</v>
      </c>
      <c r="C150" s="41">
        <f t="array" ref="C150">IF(IFERROR(INDEX(CATALOG_POINTS,MATCH(A150,CATALOG_TASK,0)),"")="",IF(MAX(IF(IFERROR(FIND(CATALOG_BASE,A150),0)=1,CATALOG_POINTS,0))=0,DAILY_POST_POINTS,MAX(IF(IFERROR(FIND(CATALOG_BASE,A150),0)=1,CATALOG_POINTS,0))),IFERROR(INDEX(CATALOG_POINTS,MATCH(A150,CATALOG_TASK,0)),""))</f>
        <v>1</v>
      </c>
      <c r="D150" s="10" t="s">
        <v>240</v>
      </c>
      <c r="E150" s="41" t="str">
        <f t="shared" si="1"/>
        <v>PROX3</v>
      </c>
    </row>
    <row r="151" ht="15.75" customHeight="1">
      <c r="A151" s="10" t="s">
        <v>241</v>
      </c>
      <c r="B151" s="10" t="s">
        <v>123</v>
      </c>
      <c r="C151" s="41">
        <f t="array" ref="C151">IF(IFERROR(INDEX(CATALOG_POINTS,MATCH(A151,CATALOG_TASK,0)),"")="",IF(MAX(IF(IFERROR(FIND(CATALOG_BASE,A151),0)=1,CATALOG_POINTS,0))=0,DAILY_POST_POINTS,MAX(IF(IFERROR(FIND(CATALOG_BASE,A151),0)=1,CATALOG_POINTS,0))),IFERROR(INDEX(CATALOG_POINTS,MATCH(A151,CATALOG_TASK,0)),""))</f>
        <v>1</v>
      </c>
      <c r="D151" s="10" t="s">
        <v>241</v>
      </c>
      <c r="E151" s="41" t="str">
        <f t="shared" si="1"/>
        <v>PROX3</v>
      </c>
    </row>
    <row r="152" ht="15.75" customHeight="1">
      <c r="A152" s="10" t="s">
        <v>242</v>
      </c>
      <c r="B152" s="10" t="s">
        <v>137</v>
      </c>
      <c r="C152" s="41">
        <f t="array" ref="C152">IF(IFERROR(INDEX(CATALOG_POINTS,MATCH(A152,CATALOG_TASK,0)),"")="",IF(MAX(IF(IFERROR(FIND(CATALOG_BASE,A152),0)=1,CATALOG_POINTS,0))=0,DAILY_POST_POINTS,MAX(IF(IFERROR(FIND(CATALOG_BASE,A152),0)=1,CATALOG_POINTS,0))),IFERROR(INDEX(CATALOG_POINTS,MATCH(A152,CATALOG_TASK,0)),""))</f>
        <v>1</v>
      </c>
      <c r="D152" s="10" t="s">
        <v>242</v>
      </c>
      <c r="E152" s="41" t="str">
        <f t="shared" si="1"/>
        <v/>
      </c>
    </row>
    <row r="153" ht="15.75" customHeight="1">
      <c r="A153" s="10" t="s">
        <v>243</v>
      </c>
      <c r="B153" s="10" t="s">
        <v>120</v>
      </c>
      <c r="C153" s="41">
        <f t="array" ref="C153">IF(IFERROR(INDEX(CATALOG_POINTS,MATCH(A153,CATALOG_TASK,0)),"")="",IF(MAX(IF(IFERROR(FIND(CATALOG_BASE,A153),0)=1,CATALOG_POINTS,0))=0,DAILY_POST_POINTS,MAX(IF(IFERROR(FIND(CATALOG_BASE,A153),0)=1,CATALOG_POINTS,0))),IFERROR(INDEX(CATALOG_POINTS,MATCH(A153,CATALOG_TASK,0)),""))</f>
        <v>1</v>
      </c>
      <c r="D153" s="10" t="s">
        <v>243</v>
      </c>
      <c r="E153" s="41" t="str">
        <f t="shared" si="1"/>
        <v>PROX3</v>
      </c>
    </row>
    <row r="154" ht="15.75" customHeight="1">
      <c r="A154" s="10" t="s">
        <v>34</v>
      </c>
      <c r="B154" s="10" t="s">
        <v>121</v>
      </c>
      <c r="C154" s="41">
        <f t="array" ref="C154">IF(IFERROR(INDEX(CATALOG_POINTS,MATCH(A154,CATALOG_TASK,0)),"")="",IF(MAX(IF(IFERROR(FIND(CATALOG_BASE,A154),0)=1,CATALOG_POINTS,0))=0,DAILY_POST_POINTS,MAX(IF(IFERROR(FIND(CATALOG_BASE,A154),0)=1,CATALOG_POINTS,0))),IFERROR(INDEX(CATALOG_POINTS,MATCH(A154,CATALOG_TASK,0)),""))</f>
        <v>2</v>
      </c>
      <c r="D154" s="10" t="s">
        <v>244</v>
      </c>
      <c r="E154" s="41" t="str">
        <f t="shared" si="1"/>
        <v/>
      </c>
    </row>
    <row r="155" ht="15.75" customHeight="1">
      <c r="A155" s="10" t="s">
        <v>245</v>
      </c>
      <c r="B155" s="10" t="s">
        <v>117</v>
      </c>
      <c r="C155" s="41">
        <f t="array" ref="C155">IF(IFERROR(INDEX(CATALOG_POINTS,MATCH(A155,CATALOG_TASK,0)),"")="",IF(MAX(IF(IFERROR(FIND(CATALOG_BASE,A155),0)=1,CATALOG_POINTS,0))=0,DAILY_POST_POINTS,MAX(IF(IFERROR(FIND(CATALOG_BASE,A155),0)=1,CATALOG_POINTS,0))),IFERROR(INDEX(CATALOG_POINTS,MATCH(A155,CATALOG_TASK,0)),""))</f>
        <v>1</v>
      </c>
      <c r="D155" s="10" t="s">
        <v>245</v>
      </c>
      <c r="E155" s="41" t="str">
        <f t="shared" si="1"/>
        <v>PROX3</v>
      </c>
    </row>
    <row r="156" ht="15.75" customHeight="1">
      <c r="A156" s="10" t="s">
        <v>246</v>
      </c>
      <c r="B156" s="10" t="s">
        <v>134</v>
      </c>
      <c r="C156" s="41">
        <f t="array" ref="C156">IF(IFERROR(INDEX(CATALOG_POINTS,MATCH(A156,CATALOG_TASK,0)),"")="",IF(MAX(IF(IFERROR(FIND(CATALOG_BASE,A156),0)=1,CATALOG_POINTS,0))=0,DAILY_POST_POINTS,MAX(IF(IFERROR(FIND(CATALOG_BASE,A156),0)=1,CATALOG_POINTS,0))),IFERROR(INDEX(CATALOG_POINTS,MATCH(A156,CATALOG_TASK,0)),""))</f>
        <v>1</v>
      </c>
      <c r="D156" s="10" t="s">
        <v>246</v>
      </c>
      <c r="E156" s="41" t="str">
        <f t="shared" si="1"/>
        <v>PROX4</v>
      </c>
    </row>
    <row r="157" ht="15.75" customHeight="1">
      <c r="A157" s="10" t="s">
        <v>247</v>
      </c>
      <c r="B157" s="10" t="s">
        <v>134</v>
      </c>
      <c r="C157" s="41">
        <f t="array" ref="C157">IF(IFERROR(INDEX(CATALOG_POINTS,MATCH(A157,CATALOG_TASK,0)),"")="",IF(MAX(IF(IFERROR(FIND(CATALOG_BASE,A157),0)=1,CATALOG_POINTS,0))=0,DAILY_POST_POINTS,MAX(IF(IFERROR(FIND(CATALOG_BASE,A157),0)=1,CATALOG_POINTS,0))),IFERROR(INDEX(CATALOG_POINTS,MATCH(A157,CATALOG_TASK,0)),""))</f>
        <v>1</v>
      </c>
      <c r="D157" s="10" t="s">
        <v>247</v>
      </c>
      <c r="E157" s="41" t="str">
        <f t="shared" si="1"/>
        <v>PROX3</v>
      </c>
    </row>
    <row r="158" ht="15.75" customHeight="1">
      <c r="A158" s="10" t="s">
        <v>37</v>
      </c>
      <c r="B158" s="10" t="s">
        <v>122</v>
      </c>
      <c r="C158" s="41">
        <f t="array" ref="C158">IF(IFERROR(INDEX(CATALOG_POINTS,MATCH(A158,CATALOG_TASK,0)),"")="",IF(MAX(IF(IFERROR(FIND(CATALOG_BASE,A158),0)=1,CATALOG_POINTS,0))=0,DAILY_POST_POINTS,MAX(IF(IFERROR(FIND(CATALOG_BASE,A158),0)=1,CATALOG_POINTS,0))),IFERROR(INDEX(CATALOG_POINTS,MATCH(A158,CATALOG_TASK,0)),""))</f>
        <v>2</v>
      </c>
      <c r="D158" s="10" t="s">
        <v>247</v>
      </c>
      <c r="E158" s="41" t="str">
        <f t="shared" si="1"/>
        <v>PROX3</v>
      </c>
    </row>
    <row r="159" ht="15.75" customHeight="1">
      <c r="A159" s="10" t="s">
        <v>248</v>
      </c>
      <c r="B159" s="10" t="s">
        <v>119</v>
      </c>
      <c r="C159" s="41">
        <f t="array" ref="C159">IF(IFERROR(INDEX(CATALOG_POINTS,MATCH(A159,CATALOG_TASK,0)),"")="",IF(MAX(IF(IFERROR(FIND(CATALOG_BASE,A159),0)=1,CATALOG_POINTS,0))=0,DAILY_POST_POINTS,MAX(IF(IFERROR(FIND(CATALOG_BASE,A159),0)=1,CATALOG_POINTS,0))),IFERROR(INDEX(CATALOG_POINTS,MATCH(A159,CATALOG_TASK,0)),""))</f>
        <v>1</v>
      </c>
      <c r="D159" s="10" t="s">
        <v>248</v>
      </c>
      <c r="E159" s="41" t="str">
        <f t="shared" si="1"/>
        <v>PROX4</v>
      </c>
    </row>
    <row r="160" ht="15.75" customHeight="1">
      <c r="A160" s="10" t="s">
        <v>249</v>
      </c>
      <c r="B160" s="10" t="s">
        <v>127</v>
      </c>
      <c r="C160" s="41">
        <f t="array" ref="C160">IF(IFERROR(INDEX(CATALOG_POINTS,MATCH(A160,CATALOG_TASK,0)),"")="",IF(MAX(IF(IFERROR(FIND(CATALOG_BASE,A160),0)=1,CATALOG_POINTS,0))=0,DAILY_POST_POINTS,MAX(IF(IFERROR(FIND(CATALOG_BASE,A160),0)=1,CATALOG_POINTS,0))),IFERROR(INDEX(CATALOG_POINTS,MATCH(A160,CATALOG_TASK,0)),""))</f>
        <v>1</v>
      </c>
      <c r="D160" s="10" t="s">
        <v>249</v>
      </c>
      <c r="E160" s="41" t="str">
        <f t="shared" si="1"/>
        <v>PROX3</v>
      </c>
    </row>
    <row r="161" ht="15.75" customHeight="1">
      <c r="A161" s="10" t="s">
        <v>37</v>
      </c>
      <c r="B161" s="10" t="s">
        <v>125</v>
      </c>
      <c r="C161" s="41">
        <f t="array" ref="C161">IF(IFERROR(INDEX(CATALOG_POINTS,MATCH(A161,CATALOG_TASK,0)),"")="",IF(MAX(IF(IFERROR(FIND(CATALOG_BASE,A161),0)=1,CATALOG_POINTS,0))=0,DAILY_POST_POINTS,MAX(IF(IFERROR(FIND(CATALOG_BASE,A161),0)=1,CATALOG_POINTS,0))),IFERROR(INDEX(CATALOG_POINTS,MATCH(A161,CATALOG_TASK,0)),""))</f>
        <v>2</v>
      </c>
      <c r="D161" s="10" t="s">
        <v>249</v>
      </c>
      <c r="E161" s="41" t="str">
        <f t="shared" si="1"/>
        <v>PROX3</v>
      </c>
    </row>
    <row r="162" ht="15.75" customHeight="1">
      <c r="A162" s="10" t="s">
        <v>250</v>
      </c>
      <c r="B162" s="10" t="s">
        <v>120</v>
      </c>
      <c r="C162" s="41">
        <f t="array" ref="C162">IF(IFERROR(INDEX(CATALOG_POINTS,MATCH(A162,CATALOG_TASK,0)),"")="",IF(MAX(IF(IFERROR(FIND(CATALOG_BASE,A162),0)=1,CATALOG_POINTS,0))=0,DAILY_POST_POINTS,MAX(IF(IFERROR(FIND(CATALOG_BASE,A162),0)=1,CATALOG_POINTS,0))),IFERROR(INDEX(CATALOG_POINTS,MATCH(A162,CATALOG_TASK,0)),""))</f>
        <v>1</v>
      </c>
      <c r="D162" s="10" t="s">
        <v>250</v>
      </c>
      <c r="E162" s="41" t="str">
        <f t="shared" si="1"/>
        <v>E0</v>
      </c>
    </row>
    <row r="163" ht="15.75" customHeight="1">
      <c r="A163" s="10" t="s">
        <v>251</v>
      </c>
      <c r="B163" s="10" t="s">
        <v>119</v>
      </c>
      <c r="C163" s="41">
        <f t="array" ref="C163">IF(IFERROR(INDEX(CATALOG_POINTS,MATCH(A163,CATALOG_TASK,0)),"")="",IF(MAX(IF(IFERROR(FIND(CATALOG_BASE,A163),0)=1,CATALOG_POINTS,0))=0,DAILY_POST_POINTS,MAX(IF(IFERROR(FIND(CATALOG_BASE,A163),0)=1,CATALOG_POINTS,0))),IFERROR(INDEX(CATALOG_POINTS,MATCH(A163,CATALOG_TASK,0)),""))</f>
        <v>1</v>
      </c>
      <c r="D163" s="10" t="s">
        <v>251</v>
      </c>
      <c r="E163" s="41" t="str">
        <f t="shared" si="1"/>
        <v>PROX4</v>
      </c>
    </row>
    <row r="164" ht="15.75" customHeight="1">
      <c r="A164" s="10" t="s">
        <v>252</v>
      </c>
      <c r="B164" s="10" t="s">
        <v>135</v>
      </c>
      <c r="C164" s="41">
        <f t="array" ref="C164">IF(IFERROR(INDEX(CATALOG_POINTS,MATCH(A164,CATALOG_TASK,0)),"")="",IF(MAX(IF(IFERROR(FIND(CATALOG_BASE,A164),0)=1,CATALOG_POINTS,0))=0,DAILY_POST_POINTS,MAX(IF(IFERROR(FIND(CATALOG_BASE,A164),0)=1,CATALOG_POINTS,0))),IFERROR(INDEX(CATALOG_POINTS,MATCH(A164,CATALOG_TASK,0)),""))</f>
        <v>1</v>
      </c>
      <c r="D164" s="10" t="s">
        <v>252</v>
      </c>
      <c r="E164" s="41" t="str">
        <f t="shared" si="1"/>
        <v>PROX3</v>
      </c>
    </row>
    <row r="165" ht="15.75" customHeight="1">
      <c r="A165" s="10" t="s">
        <v>178</v>
      </c>
      <c r="B165" s="10" t="s">
        <v>126</v>
      </c>
      <c r="C165" s="41">
        <f t="array" ref="C165">IF(IFERROR(INDEX(CATALOG_POINTS,MATCH(A165,CATALOG_TASK,0)),"")="",IF(MAX(IF(IFERROR(FIND(CATALOG_BASE,A165),0)=1,CATALOG_POINTS,0))=0,DAILY_POST_POINTS,MAX(IF(IFERROR(FIND(CATALOG_BASE,A165),0)=1,CATALOG_POINTS,0))),IFERROR(INDEX(CATALOG_POINTS,MATCH(A165,CATALOG_TASK,0)),""))</f>
        <v>1</v>
      </c>
      <c r="D165" s="10" t="s">
        <v>253</v>
      </c>
      <c r="E165" s="41" t="str">
        <f t="shared" si="1"/>
        <v>PROX3</v>
      </c>
    </row>
    <row r="166" ht="15.75" customHeight="1">
      <c r="A166" s="10" t="s">
        <v>24</v>
      </c>
      <c r="B166" s="10" t="s">
        <v>117</v>
      </c>
      <c r="C166" s="41">
        <f t="array" ref="C166">IF(IFERROR(INDEX(CATALOG_POINTS,MATCH(A166,CATALOG_TASK,0)),"")="",IF(MAX(IF(IFERROR(FIND(CATALOG_BASE,A166),0)=1,CATALOG_POINTS,0))=0,DAILY_POST_POINTS,MAX(IF(IFERROR(FIND(CATALOG_BASE,A166),0)=1,CATALOG_POINTS,0))),IFERROR(INDEX(CATALOG_POINTS,MATCH(A166,CATALOG_TASK,0)),""))</f>
        <v>2</v>
      </c>
      <c r="D166" s="10" t="s">
        <v>253</v>
      </c>
      <c r="E166" s="41" t="str">
        <f t="shared" si="1"/>
        <v>PROX3</v>
      </c>
    </row>
    <row r="167" ht="15.75" customHeight="1">
      <c r="A167" s="10" t="s">
        <v>174</v>
      </c>
      <c r="B167" s="10" t="s">
        <v>126</v>
      </c>
      <c r="C167" s="41">
        <f t="array" ref="C167">IF(IFERROR(INDEX(CATALOG_POINTS,MATCH(A167,CATALOG_TASK,0)),"")="",IF(MAX(IF(IFERROR(FIND(CATALOG_BASE,A167),0)=1,CATALOG_POINTS,0))=0,DAILY_POST_POINTS,MAX(IF(IFERROR(FIND(CATALOG_BASE,A167),0)=1,CATALOG_POINTS,0))),IFERROR(INDEX(CATALOG_POINTS,MATCH(A167,CATALOG_TASK,0)),""))</f>
        <v>1</v>
      </c>
      <c r="D167" s="10" t="s">
        <v>253</v>
      </c>
      <c r="E167" s="41" t="str">
        <f t="shared" si="1"/>
        <v>PROX3</v>
      </c>
    </row>
    <row r="168" ht="15.75" customHeight="1">
      <c r="A168" s="10" t="s">
        <v>24</v>
      </c>
      <c r="B168" s="10" t="s">
        <v>117</v>
      </c>
      <c r="C168" s="41">
        <f t="array" ref="C168">IF(IFERROR(INDEX(CATALOG_POINTS,MATCH(A168,CATALOG_TASK,0)),"")="",IF(MAX(IF(IFERROR(FIND(CATALOG_BASE,A168),0)=1,CATALOG_POINTS,0))=0,DAILY_POST_POINTS,MAX(IF(IFERROR(FIND(CATALOG_BASE,A168),0)=1,CATALOG_POINTS,0))),IFERROR(INDEX(CATALOG_POINTS,MATCH(A168,CATALOG_TASK,0)),""))</f>
        <v>2</v>
      </c>
      <c r="D168" s="10" t="s">
        <v>254</v>
      </c>
      <c r="E168" s="41" t="str">
        <f t="shared" si="1"/>
        <v>PROX4</v>
      </c>
    </row>
    <row r="169" ht="15.75" customHeight="1">
      <c r="A169" s="10" t="s">
        <v>174</v>
      </c>
      <c r="B169" s="10" t="s">
        <v>125</v>
      </c>
      <c r="C169" s="41">
        <f t="array" ref="C169">IF(IFERROR(INDEX(CATALOG_POINTS,MATCH(A169,CATALOG_TASK,0)),"")="",IF(MAX(IF(IFERROR(FIND(CATALOG_BASE,A169),0)=1,CATALOG_POINTS,0))=0,DAILY_POST_POINTS,MAX(IF(IFERROR(FIND(CATALOG_BASE,A169),0)=1,CATALOG_POINTS,0))),IFERROR(INDEX(CATALOG_POINTS,MATCH(A169,CATALOG_TASK,0)),""))</f>
        <v>1</v>
      </c>
      <c r="D169" s="10" t="s">
        <v>254</v>
      </c>
      <c r="E169" s="41" t="str">
        <f t="shared" si="1"/>
        <v>PROX4</v>
      </c>
    </row>
    <row r="170" ht="15.75" customHeight="1">
      <c r="A170" s="10" t="s">
        <v>255</v>
      </c>
      <c r="B170" s="10" t="s">
        <v>128</v>
      </c>
      <c r="C170" s="41">
        <f t="array" ref="C170">IF(IFERROR(INDEX(CATALOG_POINTS,MATCH(A170,CATALOG_TASK,0)),"")="",IF(MAX(IF(IFERROR(FIND(CATALOG_BASE,A170),0)=1,CATALOG_POINTS,0))=0,DAILY_POST_POINTS,MAX(IF(IFERROR(FIND(CATALOG_BASE,A170),0)=1,CATALOG_POINTS,0))),IFERROR(INDEX(CATALOG_POINTS,MATCH(A170,CATALOG_TASK,0)),""))</f>
        <v>1</v>
      </c>
      <c r="D170" s="10" t="s">
        <v>255</v>
      </c>
      <c r="E170" s="41" t="str">
        <f t="shared" si="1"/>
        <v>PROX3</v>
      </c>
    </row>
    <row r="171" ht="15.75" customHeight="1">
      <c r="A171" s="10" t="s">
        <v>170</v>
      </c>
      <c r="B171" s="10" t="s">
        <v>121</v>
      </c>
      <c r="C171" s="41">
        <f t="array" ref="C171">IF(IFERROR(INDEX(CATALOG_POINTS,MATCH(A171,CATALOG_TASK,0)),"")="",IF(MAX(IF(IFERROR(FIND(CATALOG_BASE,A171),0)=1,CATALOG_POINTS,0))=0,DAILY_POST_POINTS,MAX(IF(IFERROR(FIND(CATALOG_BASE,A171),0)=1,CATALOG_POINTS,0))),IFERROR(INDEX(CATALOG_POINTS,MATCH(A171,CATALOG_TASK,0)),""))</f>
        <v>1</v>
      </c>
      <c r="D171" s="10" t="s">
        <v>255</v>
      </c>
      <c r="E171" s="41" t="str">
        <f t="shared" si="1"/>
        <v>PROX3</v>
      </c>
    </row>
    <row r="172" ht="15.75" customHeight="1">
      <c r="A172" s="10" t="s">
        <v>170</v>
      </c>
      <c r="B172" s="10" t="s">
        <v>123</v>
      </c>
      <c r="C172" s="41">
        <f t="array" ref="C172">IF(IFERROR(INDEX(CATALOG_POINTS,MATCH(A172,CATALOG_TASK,0)),"")="",IF(MAX(IF(IFERROR(FIND(CATALOG_BASE,A172),0)=1,CATALOG_POINTS,0))=0,DAILY_POST_POINTS,MAX(IF(IFERROR(FIND(CATALOG_BASE,A172),0)=1,CATALOG_POINTS,0))),IFERROR(INDEX(CATALOG_POINTS,MATCH(A172,CATALOG_TASK,0)),""))</f>
        <v>1</v>
      </c>
      <c r="D172" s="10" t="s">
        <v>255</v>
      </c>
      <c r="E172" s="41" t="str">
        <f t="shared" si="1"/>
        <v>PROX3</v>
      </c>
    </row>
    <row r="173" ht="15.75" customHeight="1">
      <c r="A173" s="10" t="s">
        <v>256</v>
      </c>
      <c r="B173" s="10" t="s">
        <v>125</v>
      </c>
      <c r="C173" s="41">
        <f t="array" ref="C173">IF(IFERROR(INDEX(CATALOG_POINTS,MATCH(A173,CATALOG_TASK,0)),"")="",IF(MAX(IF(IFERROR(FIND(CATALOG_BASE,A173),0)=1,CATALOG_POINTS,0))=0,DAILY_POST_POINTS,MAX(IF(IFERROR(FIND(CATALOG_BASE,A173),0)=1,CATALOG_POINTS,0))),IFERROR(INDEX(CATALOG_POINTS,MATCH(A173,CATALOG_TASK,0)),""))</f>
        <v>1</v>
      </c>
      <c r="D173" s="10" t="s">
        <v>256</v>
      </c>
      <c r="E173" s="41" t="str">
        <f t="shared" si="1"/>
        <v>PROX4</v>
      </c>
    </row>
    <row r="174" ht="15.75" customHeight="1">
      <c r="A174" s="10" t="s">
        <v>37</v>
      </c>
      <c r="B174" s="10" t="s">
        <v>120</v>
      </c>
      <c r="C174" s="41">
        <f t="array" ref="C174">IF(IFERROR(INDEX(CATALOG_POINTS,MATCH(A174,CATALOG_TASK,0)),"")="",IF(MAX(IF(IFERROR(FIND(CATALOG_BASE,A174),0)=1,CATALOG_POINTS,0))=0,DAILY_POST_POINTS,MAX(IF(IFERROR(FIND(CATALOG_BASE,A174),0)=1,CATALOG_POINTS,0))),IFERROR(INDEX(CATALOG_POINTS,MATCH(A174,CATALOG_TASK,0)),""))</f>
        <v>2</v>
      </c>
      <c r="D174" s="10" t="s">
        <v>257</v>
      </c>
      <c r="E174" s="41" t="str">
        <f t="shared" si="1"/>
        <v>PROX3</v>
      </c>
    </row>
    <row r="175" ht="15.75" customHeight="1">
      <c r="A175" s="10" t="s">
        <v>258</v>
      </c>
      <c r="B175" s="10" t="s">
        <v>128</v>
      </c>
      <c r="C175" s="41">
        <f t="array" ref="C175">IF(IFERROR(INDEX(CATALOG_POINTS,MATCH(A175,CATALOG_TASK,0)),"")="",IF(MAX(IF(IFERROR(FIND(CATALOG_BASE,A175),0)=1,CATALOG_POINTS,0))=0,DAILY_POST_POINTS,MAX(IF(IFERROR(FIND(CATALOG_BASE,A175),0)=1,CATALOG_POINTS,0))),IFERROR(INDEX(CATALOG_POINTS,MATCH(A175,CATALOG_TASK,0)),""))</f>
        <v>1</v>
      </c>
      <c r="D175" s="10" t="s">
        <v>257</v>
      </c>
      <c r="E175" s="41" t="str">
        <f t="shared" si="1"/>
        <v>PROX3</v>
      </c>
    </row>
    <row r="176" ht="15.75" customHeight="1">
      <c r="A176" s="10" t="s">
        <v>257</v>
      </c>
      <c r="B176" s="10" t="s">
        <v>127</v>
      </c>
      <c r="C176" s="41">
        <f t="array" ref="C176">IF(IFERROR(INDEX(CATALOG_POINTS,MATCH(A176,CATALOG_TASK,0)),"")="",IF(MAX(IF(IFERROR(FIND(CATALOG_BASE,A176),0)=1,CATALOG_POINTS,0))=0,DAILY_POST_POINTS,MAX(IF(IFERROR(FIND(CATALOG_BASE,A176),0)=1,CATALOG_POINTS,0))),IFERROR(INDEX(CATALOG_POINTS,MATCH(A176,CATALOG_TASK,0)),""))</f>
        <v>1</v>
      </c>
      <c r="D176" s="10" t="s">
        <v>257</v>
      </c>
      <c r="E176" s="41" t="str">
        <f t="shared" si="1"/>
        <v>PROX3</v>
      </c>
    </row>
    <row r="177" ht="15.75" customHeight="1">
      <c r="A177" s="10" t="s">
        <v>259</v>
      </c>
      <c r="B177" s="10" t="s">
        <v>128</v>
      </c>
      <c r="C177" s="41">
        <f t="array" ref="C177">IF(IFERROR(INDEX(CATALOG_POINTS,MATCH(A177,CATALOG_TASK,0)),"")="",IF(MAX(IF(IFERROR(FIND(CATALOG_BASE,A177),0)=1,CATALOG_POINTS,0))=0,DAILY_POST_POINTS,MAX(IF(IFERROR(FIND(CATALOG_BASE,A177),0)=1,CATALOG_POINTS,0))),IFERROR(INDEX(CATALOG_POINTS,MATCH(A177,CATALOG_TASK,0)),""))</f>
        <v>1</v>
      </c>
      <c r="D177" s="10" t="s">
        <v>257</v>
      </c>
      <c r="E177" s="41" t="str">
        <f t="shared" si="1"/>
        <v>PROX3</v>
      </c>
    </row>
    <row r="178" ht="15.75" customHeight="1">
      <c r="A178" s="10" t="s">
        <v>168</v>
      </c>
      <c r="B178" s="10" t="s">
        <v>128</v>
      </c>
      <c r="C178" s="41">
        <f t="array" ref="C178">IF(IFERROR(INDEX(CATALOG_POINTS,MATCH(A178,CATALOG_TASK,0)),"")="",IF(MAX(IF(IFERROR(FIND(CATALOG_BASE,A178),0)=1,CATALOG_POINTS,0))=0,DAILY_POST_POINTS,MAX(IF(IFERROR(FIND(CATALOG_BASE,A178),0)=1,CATALOG_POINTS,0))),IFERROR(INDEX(CATALOG_POINTS,MATCH(A178,CATALOG_TASK,0)),""))</f>
        <v>1</v>
      </c>
      <c r="D178" s="10" t="s">
        <v>257</v>
      </c>
      <c r="E178" s="41" t="str">
        <f t="shared" si="1"/>
        <v>PROX3</v>
      </c>
    </row>
    <row r="179" ht="15.75" customHeight="1">
      <c r="A179" s="10" t="s">
        <v>37</v>
      </c>
      <c r="B179" s="10" t="s">
        <v>126</v>
      </c>
      <c r="C179" s="41">
        <f t="array" ref="C179">IF(IFERROR(INDEX(CATALOG_POINTS,MATCH(A179,CATALOG_TASK,0)),"")="",IF(MAX(IF(IFERROR(FIND(CATALOG_BASE,A179),0)=1,CATALOG_POINTS,0))=0,DAILY_POST_POINTS,MAX(IF(IFERROR(FIND(CATALOG_BASE,A179),0)=1,CATALOG_POINTS,0))),IFERROR(INDEX(CATALOG_POINTS,MATCH(A179,CATALOG_TASK,0)),""))</f>
        <v>2</v>
      </c>
      <c r="D179" s="10" t="s">
        <v>260</v>
      </c>
      <c r="E179" s="41" t="str">
        <f t="shared" si="1"/>
        <v>PROX3</v>
      </c>
    </row>
    <row r="180" ht="15.75" customHeight="1">
      <c r="A180" s="10" t="s">
        <v>260</v>
      </c>
      <c r="B180" s="10" t="s">
        <v>122</v>
      </c>
      <c r="C180" s="41">
        <f t="array" ref="C180">IF(IFERROR(INDEX(CATALOG_POINTS,MATCH(A180,CATALOG_TASK,0)),"")="",IF(MAX(IF(IFERROR(FIND(CATALOG_BASE,A180),0)=1,CATALOG_POINTS,0))=0,DAILY_POST_POINTS,MAX(IF(IFERROR(FIND(CATALOG_BASE,A180),0)=1,CATALOG_POINTS,0))),IFERROR(INDEX(CATALOG_POINTS,MATCH(A180,CATALOG_TASK,0)),""))</f>
        <v>1</v>
      </c>
      <c r="D180" s="10" t="s">
        <v>260</v>
      </c>
      <c r="E180" s="41" t="str">
        <f t="shared" si="1"/>
        <v>PROX3</v>
      </c>
    </row>
    <row r="181" ht="15.75" customHeight="1">
      <c r="A181" s="10" t="s">
        <v>37</v>
      </c>
      <c r="B181" s="10" t="s">
        <v>126</v>
      </c>
      <c r="C181" s="41">
        <f t="array" ref="C181">IF(IFERROR(INDEX(CATALOG_POINTS,MATCH(A181,CATALOG_TASK,0)),"")="",IF(MAX(IF(IFERROR(FIND(CATALOG_BASE,A181),0)=1,CATALOG_POINTS,0))=0,DAILY_POST_POINTS,MAX(IF(IFERROR(FIND(CATALOG_BASE,A181),0)=1,CATALOG_POINTS,0))),IFERROR(INDEX(CATALOG_POINTS,MATCH(A181,CATALOG_TASK,0)),""))</f>
        <v>2</v>
      </c>
      <c r="D181" s="10" t="s">
        <v>260</v>
      </c>
      <c r="E181" s="41" t="str">
        <f t="shared" si="1"/>
        <v>PROX3</v>
      </c>
    </row>
    <row r="182" ht="15.75" customHeight="1">
      <c r="A182" s="10" t="s">
        <v>37</v>
      </c>
      <c r="B182" s="10" t="s">
        <v>128</v>
      </c>
      <c r="C182" s="41">
        <f t="array" ref="C182">IF(IFERROR(INDEX(CATALOG_POINTS,MATCH(A182,CATALOG_TASK,0)),"")="",IF(MAX(IF(IFERROR(FIND(CATALOG_BASE,A182),0)=1,CATALOG_POINTS,0))=0,DAILY_POST_POINTS,MAX(IF(IFERROR(FIND(CATALOG_BASE,A182),0)=1,CATALOG_POINTS,0))),IFERROR(INDEX(CATALOG_POINTS,MATCH(A182,CATALOG_TASK,0)),""))</f>
        <v>2</v>
      </c>
      <c r="D182" s="10" t="s">
        <v>260</v>
      </c>
      <c r="E182" s="41" t="str">
        <f t="shared" si="1"/>
        <v>PROX3</v>
      </c>
    </row>
    <row r="183" ht="15.75" customHeight="1">
      <c r="A183" s="10" t="s">
        <v>37</v>
      </c>
      <c r="B183" s="10" t="s">
        <v>126</v>
      </c>
      <c r="C183" s="41">
        <f t="array" ref="C183">IF(IFERROR(INDEX(CATALOG_POINTS,MATCH(A183,CATALOG_TASK,0)),"")="",IF(MAX(IF(IFERROR(FIND(CATALOG_BASE,A183),0)=1,CATALOG_POINTS,0))=0,DAILY_POST_POINTS,MAX(IF(IFERROR(FIND(CATALOG_BASE,A183),0)=1,CATALOG_POINTS,0))),IFERROR(INDEX(CATALOG_POINTS,MATCH(A183,CATALOG_TASK,0)),""))</f>
        <v>2</v>
      </c>
      <c r="D183" s="10" t="s">
        <v>260</v>
      </c>
      <c r="E183" s="41" t="str">
        <f t="shared" si="1"/>
        <v>PROX3</v>
      </c>
    </row>
    <row r="184" ht="15.75" customHeight="1">
      <c r="A184" s="10" t="s">
        <v>37</v>
      </c>
      <c r="B184" s="10" t="s">
        <v>123</v>
      </c>
      <c r="C184" s="41">
        <f t="array" ref="C184">IF(IFERROR(INDEX(CATALOG_POINTS,MATCH(A184,CATALOG_TASK,0)),"")="",IF(MAX(IF(IFERROR(FIND(CATALOG_BASE,A184),0)=1,CATALOG_POINTS,0))=0,DAILY_POST_POINTS,MAX(IF(IFERROR(FIND(CATALOG_BASE,A184),0)=1,CATALOG_POINTS,0))),IFERROR(INDEX(CATALOG_POINTS,MATCH(A184,CATALOG_TASK,0)),""))</f>
        <v>2</v>
      </c>
      <c r="D184" s="10" t="s">
        <v>260</v>
      </c>
      <c r="E184" s="41" t="str">
        <f t="shared" si="1"/>
        <v>PROX3</v>
      </c>
    </row>
    <row r="185" ht="15.75" customHeight="1">
      <c r="A185" s="10" t="s">
        <v>37</v>
      </c>
      <c r="B185" s="10" t="s">
        <v>117</v>
      </c>
      <c r="C185" s="41">
        <f t="array" ref="C185">IF(IFERROR(INDEX(CATALOG_POINTS,MATCH(A185,CATALOG_TASK,0)),"")="",IF(MAX(IF(IFERROR(FIND(CATALOG_BASE,A185),0)=1,CATALOG_POINTS,0))=0,DAILY_POST_POINTS,MAX(IF(IFERROR(FIND(CATALOG_BASE,A185),0)=1,CATALOG_POINTS,0))),IFERROR(INDEX(CATALOG_POINTS,MATCH(A185,CATALOG_TASK,0)),""))</f>
        <v>2</v>
      </c>
      <c r="D185" s="10" t="s">
        <v>260</v>
      </c>
      <c r="E185" s="41" t="str">
        <f t="shared" si="1"/>
        <v>PROX3</v>
      </c>
    </row>
    <row r="186" ht="15.75" customHeight="1">
      <c r="A186" s="10" t="s">
        <v>261</v>
      </c>
      <c r="B186" s="10" t="s">
        <v>137</v>
      </c>
      <c r="C186" s="41">
        <f t="array" ref="C186">IF(IFERROR(INDEX(CATALOG_POINTS,MATCH(A186,CATALOG_TASK,0)),"")="",IF(MAX(IF(IFERROR(FIND(CATALOG_BASE,A186),0)=1,CATALOG_POINTS,0))=0,DAILY_POST_POINTS,MAX(IF(IFERROR(FIND(CATALOG_BASE,A186),0)=1,CATALOG_POINTS,0))),IFERROR(INDEX(CATALOG_POINTS,MATCH(A186,CATALOG_TASK,0)),""))</f>
        <v>1</v>
      </c>
      <c r="D186" s="10" t="s">
        <v>261</v>
      </c>
      <c r="E186" s="41" t="str">
        <f t="shared" si="1"/>
        <v>PROX3</v>
      </c>
    </row>
    <row r="187" ht="15.75" customHeight="1">
      <c r="A187" s="10" t="s">
        <v>37</v>
      </c>
      <c r="B187" s="10" t="s">
        <v>117</v>
      </c>
      <c r="C187" s="41">
        <f t="array" ref="C187">IF(IFERROR(INDEX(CATALOG_POINTS,MATCH(A187,CATALOG_TASK,0)),"")="",IF(MAX(IF(IFERROR(FIND(CATALOG_BASE,A187),0)=1,CATALOG_POINTS,0))=0,DAILY_POST_POINTS,MAX(IF(IFERROR(FIND(CATALOG_BASE,A187),0)=1,CATALOG_POINTS,0))),IFERROR(INDEX(CATALOG_POINTS,MATCH(A187,CATALOG_TASK,0)),""))</f>
        <v>2</v>
      </c>
      <c r="D187" s="10" t="s">
        <v>261</v>
      </c>
      <c r="E187" s="41" t="str">
        <f t="shared" si="1"/>
        <v>PROX3</v>
      </c>
    </row>
    <row r="188" ht="15.75" customHeight="1">
      <c r="A188" s="10" t="s">
        <v>262</v>
      </c>
      <c r="B188" s="10" t="s">
        <v>125</v>
      </c>
      <c r="C188" s="41">
        <f t="array" ref="C188">IF(IFERROR(INDEX(CATALOG_POINTS,MATCH(A188,CATALOG_TASK,0)),"")="",IF(MAX(IF(IFERROR(FIND(CATALOG_BASE,A188),0)=1,CATALOG_POINTS,0))=0,DAILY_POST_POINTS,MAX(IF(IFERROR(FIND(CATALOG_BASE,A188),0)=1,CATALOG_POINTS,0))),IFERROR(INDEX(CATALOG_POINTS,MATCH(A188,CATALOG_TASK,0)),""))</f>
        <v>1</v>
      </c>
      <c r="D188" s="10" t="s">
        <v>262</v>
      </c>
      <c r="E188" s="41" t="str">
        <f t="shared" si="1"/>
        <v>PROX3</v>
      </c>
    </row>
    <row r="189" ht="15.75" customHeight="1">
      <c r="A189" s="10" t="s">
        <v>263</v>
      </c>
      <c r="B189" s="10" t="s">
        <v>133</v>
      </c>
      <c r="C189" s="41">
        <f t="array" ref="C189">IF(IFERROR(INDEX(CATALOG_POINTS,MATCH(A189,CATALOG_TASK,0)),"")="",IF(MAX(IF(IFERROR(FIND(CATALOG_BASE,A189),0)=1,CATALOG_POINTS,0))=0,DAILY_POST_POINTS,MAX(IF(IFERROR(FIND(CATALOG_BASE,A189),0)=1,CATALOG_POINTS,0))),IFERROR(INDEX(CATALOG_POINTS,MATCH(A189,CATALOG_TASK,0)),""))</f>
        <v>1</v>
      </c>
      <c r="D189" s="10" t="s">
        <v>263</v>
      </c>
      <c r="E189" s="41" t="str">
        <f t="shared" si="1"/>
        <v/>
      </c>
    </row>
    <row r="190" ht="15.75" customHeight="1">
      <c r="A190" s="10" t="s">
        <v>264</v>
      </c>
      <c r="B190" s="10" t="s">
        <v>131</v>
      </c>
      <c r="C190" s="41">
        <f t="array" ref="C190">IF(IFERROR(INDEX(CATALOG_POINTS,MATCH(A190,CATALOG_TASK,0)),"")="",IF(MAX(IF(IFERROR(FIND(CATALOG_BASE,A190),0)=1,CATALOG_POINTS,0))=0,DAILY_POST_POINTS,MAX(IF(IFERROR(FIND(CATALOG_BASE,A190),0)=1,CATALOG_POINTS,0))),IFERROR(INDEX(CATALOG_POINTS,MATCH(A190,CATALOG_TASK,0)),""))</f>
        <v>1</v>
      </c>
      <c r="D190" s="10" t="s">
        <v>264</v>
      </c>
      <c r="E190" s="41" t="str">
        <f t="shared" si="1"/>
        <v>PROX3</v>
      </c>
    </row>
    <row r="191" ht="15.75" customHeight="1">
      <c r="A191" s="10" t="s">
        <v>265</v>
      </c>
      <c r="B191" s="10" t="s">
        <v>126</v>
      </c>
      <c r="C191" s="41">
        <f t="array" ref="C191">IF(IFERROR(INDEX(CATALOG_POINTS,MATCH(A191,CATALOG_TASK,0)),"")="",IF(MAX(IF(IFERROR(FIND(CATALOG_BASE,A191),0)=1,CATALOG_POINTS,0))=0,DAILY_POST_POINTS,MAX(IF(IFERROR(FIND(CATALOG_BASE,A191),0)=1,CATALOG_POINTS,0))),IFERROR(INDEX(CATALOG_POINTS,MATCH(A191,CATALOG_TASK,0)),""))</f>
        <v>1</v>
      </c>
      <c r="D191" s="10" t="s">
        <v>265</v>
      </c>
      <c r="E191" s="41" t="str">
        <f t="shared" si="1"/>
        <v>PROX3</v>
      </c>
    </row>
    <row r="192" ht="15.75" customHeight="1">
      <c r="A192" s="10" t="s">
        <v>55</v>
      </c>
      <c r="B192" s="10" t="s">
        <v>151</v>
      </c>
      <c r="C192" s="41">
        <f t="array" ref="C192">IF(IFERROR(INDEX(CATALOG_POINTS,MATCH(A192,CATALOG_TASK,0)),"")="",IF(MAX(IF(IFERROR(FIND(CATALOG_BASE,A192),0)=1,CATALOG_POINTS,0))=0,DAILY_POST_POINTS,MAX(IF(IFERROR(FIND(CATALOG_BASE,A192),0)=1,CATALOG_POINTS,0))),IFERROR(INDEX(CATALOG_POINTS,MATCH(A192,CATALOG_TASK,0)),""))</f>
        <v>8</v>
      </c>
      <c r="D192" s="10" t="s">
        <v>266</v>
      </c>
      <c r="E192" s="41" t="str">
        <f t="shared" si="1"/>
        <v/>
      </c>
    </row>
    <row r="193" ht="15.75" customHeight="1">
      <c r="A193" s="10" t="s">
        <v>266</v>
      </c>
      <c r="B193" s="10" t="s">
        <v>135</v>
      </c>
      <c r="C193" s="41">
        <f t="array" ref="C193">IF(IFERROR(INDEX(CATALOG_POINTS,MATCH(A193,CATALOG_TASK,0)),"")="",IF(MAX(IF(IFERROR(FIND(CATALOG_BASE,A193),0)=1,CATALOG_POINTS,0))=0,DAILY_POST_POINTS,MAX(IF(IFERROR(FIND(CATALOG_BASE,A193),0)=1,CATALOG_POINTS,0))),IFERROR(INDEX(CATALOG_POINTS,MATCH(A193,CATALOG_TASK,0)),""))</f>
        <v>1</v>
      </c>
      <c r="D193" s="10" t="s">
        <v>266</v>
      </c>
      <c r="E193" s="41" t="str">
        <f t="shared" si="1"/>
        <v/>
      </c>
    </row>
    <row r="194" ht="15.75" customHeight="1">
      <c r="A194" s="10" t="s">
        <v>267</v>
      </c>
      <c r="B194" s="10" t="s">
        <v>122</v>
      </c>
      <c r="C194" s="41">
        <f t="array" ref="C194">IF(IFERROR(INDEX(CATALOG_POINTS,MATCH(A194,CATALOG_TASK,0)),"")="",IF(MAX(IF(IFERROR(FIND(CATALOG_BASE,A194),0)=1,CATALOG_POINTS,0))=0,DAILY_POST_POINTS,MAX(IF(IFERROR(FIND(CATALOG_BASE,A194),0)=1,CATALOG_POINTS,0))),IFERROR(INDEX(CATALOG_POINTS,MATCH(A194,CATALOG_TASK,0)),""))</f>
        <v>1</v>
      </c>
      <c r="D194" s="10" t="s">
        <v>268</v>
      </c>
      <c r="E194" s="41" t="str">
        <f t="shared" si="1"/>
        <v/>
      </c>
    </row>
    <row r="195" ht="15.75" customHeight="1">
      <c r="A195" s="10" t="s">
        <v>269</v>
      </c>
      <c r="B195" s="10" t="s">
        <v>132</v>
      </c>
      <c r="C195" s="41">
        <f t="array" ref="C195">IF(IFERROR(INDEX(CATALOG_POINTS,MATCH(A195,CATALOG_TASK,0)),"")="",IF(MAX(IF(IFERROR(FIND(CATALOG_BASE,A195),0)=1,CATALOG_POINTS,0))=0,DAILY_POST_POINTS,MAX(IF(IFERROR(FIND(CATALOG_BASE,A195),0)=1,CATALOG_POINTS,0))),IFERROR(INDEX(CATALOG_POINTS,MATCH(A195,CATALOG_TASK,0)),""))</f>
        <v>1</v>
      </c>
      <c r="D195" s="10" t="s">
        <v>269</v>
      </c>
      <c r="E195" s="41" t="str">
        <f t="shared" si="1"/>
        <v>PROX3</v>
      </c>
    </row>
    <row r="196" ht="15.75" customHeight="1">
      <c r="A196" s="10" t="s">
        <v>37</v>
      </c>
      <c r="B196" s="10" t="s">
        <v>122</v>
      </c>
      <c r="C196" s="41">
        <f t="array" ref="C196">IF(IFERROR(INDEX(CATALOG_POINTS,MATCH(A196,CATALOG_TASK,0)),"")="",IF(MAX(IF(IFERROR(FIND(CATALOG_BASE,A196),0)=1,CATALOG_POINTS,0))=0,DAILY_POST_POINTS,MAX(IF(IFERROR(FIND(CATALOG_BASE,A196),0)=1,CATALOG_POINTS,0))),IFERROR(INDEX(CATALOG_POINTS,MATCH(A196,CATALOG_TASK,0)),""))</f>
        <v>2</v>
      </c>
      <c r="D196" s="10" t="s">
        <v>269</v>
      </c>
      <c r="E196" s="41" t="str">
        <f t="shared" si="1"/>
        <v>PROX3</v>
      </c>
    </row>
    <row r="197" ht="15.75" customHeight="1">
      <c r="A197" s="10" t="s">
        <v>270</v>
      </c>
      <c r="B197" s="10" t="s">
        <v>123</v>
      </c>
      <c r="C197" s="41">
        <f t="array" ref="C197">IF(IFERROR(INDEX(CATALOG_POINTS,MATCH(A197,CATALOG_TASK,0)),"")="",IF(MAX(IF(IFERROR(FIND(CATALOG_BASE,A197),0)=1,CATALOG_POINTS,0))=0,DAILY_POST_POINTS,MAX(IF(IFERROR(FIND(CATALOG_BASE,A197),0)=1,CATALOG_POINTS,0))),IFERROR(INDEX(CATALOG_POINTS,MATCH(A197,CATALOG_TASK,0)),""))</f>
        <v>1</v>
      </c>
      <c r="D197" s="10" t="s">
        <v>270</v>
      </c>
      <c r="E197" s="41" t="str">
        <f t="shared" si="1"/>
        <v>E0</v>
      </c>
    </row>
    <row r="198" ht="15.75" customHeight="1">
      <c r="A198" s="10" t="s">
        <v>271</v>
      </c>
      <c r="B198" s="10" t="s">
        <v>119</v>
      </c>
      <c r="C198" s="41">
        <f t="array" ref="C198">IF(IFERROR(INDEX(CATALOG_POINTS,MATCH(A198,CATALOG_TASK,0)),"")="",IF(MAX(IF(IFERROR(FIND(CATALOG_BASE,A198),0)=1,CATALOG_POINTS,0))=0,DAILY_POST_POINTS,MAX(IF(IFERROR(FIND(CATALOG_BASE,A198),0)=1,CATALOG_POINTS,0))),IFERROR(INDEX(CATALOG_POINTS,MATCH(A198,CATALOG_TASK,0)),""))</f>
        <v>1</v>
      </c>
      <c r="D198" s="10" t="s">
        <v>271</v>
      </c>
      <c r="E198" s="41" t="str">
        <f t="shared" si="1"/>
        <v>PROX3</v>
      </c>
    </row>
    <row r="199" ht="15.75" customHeight="1">
      <c r="A199" s="10" t="s">
        <v>272</v>
      </c>
      <c r="B199" s="10" t="s">
        <v>133</v>
      </c>
      <c r="C199" s="41">
        <f t="array" ref="C199">IF(IFERROR(INDEX(CATALOG_POINTS,MATCH(A199,CATALOG_TASK,0)),"")="",IF(MAX(IF(IFERROR(FIND(CATALOG_BASE,A199),0)=1,CATALOG_POINTS,0))=0,DAILY_POST_POINTS,MAX(IF(IFERROR(FIND(CATALOG_BASE,A199),0)=1,CATALOG_POINTS,0))),IFERROR(INDEX(CATALOG_POINTS,MATCH(A199,CATALOG_TASK,0)),""))</f>
        <v>1</v>
      </c>
      <c r="D199" s="10" t="s">
        <v>272</v>
      </c>
      <c r="E199" s="41" t="str">
        <f t="shared" si="1"/>
        <v/>
      </c>
    </row>
    <row r="200" ht="15.75" customHeight="1">
      <c r="A200" s="10" t="s">
        <v>37</v>
      </c>
      <c r="B200" s="10" t="s">
        <v>117</v>
      </c>
      <c r="C200" s="41">
        <f t="array" ref="C200">IF(IFERROR(INDEX(CATALOG_POINTS,MATCH(A200,CATALOG_TASK,0)),"")="",IF(MAX(IF(IFERROR(FIND(CATALOG_BASE,A200),0)=1,CATALOG_POINTS,0))=0,DAILY_POST_POINTS,MAX(IF(IFERROR(FIND(CATALOG_BASE,A200),0)=1,CATALOG_POINTS,0))),IFERROR(INDEX(CATALOG_POINTS,MATCH(A200,CATALOG_TASK,0)),""))</f>
        <v>2</v>
      </c>
      <c r="D200" s="10" t="s">
        <v>272</v>
      </c>
      <c r="E200" s="41" t="str">
        <f t="shared" si="1"/>
        <v/>
      </c>
    </row>
    <row r="201" ht="15.75" customHeight="1">
      <c r="A201" s="10" t="s">
        <v>174</v>
      </c>
      <c r="B201" s="10" t="s">
        <v>124</v>
      </c>
      <c r="C201" s="41">
        <f t="array" ref="C201">IF(IFERROR(INDEX(CATALOG_POINTS,MATCH(A201,CATALOG_TASK,0)),"")="",IF(MAX(IF(IFERROR(FIND(CATALOG_BASE,A201),0)=1,CATALOG_POINTS,0))=0,DAILY_POST_POINTS,MAX(IF(IFERROR(FIND(CATALOG_BASE,A201),0)=1,CATALOG_POINTS,0))),IFERROR(INDEX(CATALOG_POINTS,MATCH(A201,CATALOG_TASK,0)),""))</f>
        <v>1</v>
      </c>
      <c r="D201" s="10" t="s">
        <v>273</v>
      </c>
      <c r="E201" s="41" t="str">
        <f t="shared" si="1"/>
        <v>PROX3</v>
      </c>
    </row>
    <row r="202" ht="15.75" customHeight="1">
      <c r="A202" s="10" t="s">
        <v>168</v>
      </c>
      <c r="B202" s="10" t="s">
        <v>120</v>
      </c>
      <c r="C202" s="41">
        <f t="array" ref="C202">IF(IFERROR(INDEX(CATALOG_POINTS,MATCH(A202,CATALOG_TASK,0)),"")="",IF(MAX(IF(IFERROR(FIND(CATALOG_BASE,A202),0)=1,CATALOG_POINTS,0))=0,DAILY_POST_POINTS,MAX(IF(IFERROR(FIND(CATALOG_BASE,A202),0)=1,CATALOG_POINTS,0))),IFERROR(INDEX(CATALOG_POINTS,MATCH(A202,CATALOG_TASK,0)),""))</f>
        <v>1</v>
      </c>
      <c r="D202" s="10" t="s">
        <v>274</v>
      </c>
      <c r="E202" s="41" t="str">
        <f t="shared" si="1"/>
        <v/>
      </c>
    </row>
    <row r="203" ht="15.75" customHeight="1">
      <c r="A203" s="10" t="s">
        <v>274</v>
      </c>
      <c r="B203" s="10" t="s">
        <v>122</v>
      </c>
      <c r="C203" s="41">
        <f t="array" ref="C203">IF(IFERROR(INDEX(CATALOG_POINTS,MATCH(A203,CATALOG_TASK,0)),"")="",IF(MAX(IF(IFERROR(FIND(CATALOG_BASE,A203),0)=1,CATALOG_POINTS,0))=0,DAILY_POST_POINTS,MAX(IF(IFERROR(FIND(CATALOG_BASE,A203),0)=1,CATALOG_POINTS,0))),IFERROR(INDEX(CATALOG_POINTS,MATCH(A203,CATALOG_TASK,0)),""))</f>
        <v>1</v>
      </c>
      <c r="D203" s="10" t="s">
        <v>274</v>
      </c>
      <c r="E203" s="41" t="str">
        <f t="shared" si="1"/>
        <v/>
      </c>
    </row>
    <row r="204" ht="15.75" customHeight="1">
      <c r="A204" s="10" t="s">
        <v>37</v>
      </c>
      <c r="B204" s="10" t="s">
        <v>120</v>
      </c>
      <c r="C204" s="41">
        <f t="array" ref="C204">IF(IFERROR(INDEX(CATALOG_POINTS,MATCH(A204,CATALOG_TASK,0)),"")="",IF(MAX(IF(IFERROR(FIND(CATALOG_BASE,A204),0)=1,CATALOG_POINTS,0))=0,DAILY_POST_POINTS,MAX(IF(IFERROR(FIND(CATALOG_BASE,A204),0)=1,CATALOG_POINTS,0))),IFERROR(INDEX(CATALOG_POINTS,MATCH(A204,CATALOG_TASK,0)),""))</f>
        <v>2</v>
      </c>
      <c r="D204" s="10" t="s">
        <v>274</v>
      </c>
      <c r="E204" s="41" t="str">
        <f t="shared" si="1"/>
        <v/>
      </c>
    </row>
    <row r="205" ht="15.75" customHeight="1">
      <c r="A205" s="10" t="s">
        <v>37</v>
      </c>
      <c r="B205" s="10" t="s">
        <v>120</v>
      </c>
      <c r="C205" s="41">
        <f t="array" ref="C205">IF(IFERROR(INDEX(CATALOG_POINTS,MATCH(A205,CATALOG_TASK,0)),"")="",IF(MAX(IF(IFERROR(FIND(CATALOG_BASE,A205),0)=1,CATALOG_POINTS,0))=0,DAILY_POST_POINTS,MAX(IF(IFERROR(FIND(CATALOG_BASE,A205),0)=1,CATALOG_POINTS,0))),IFERROR(INDEX(CATALOG_POINTS,MATCH(A205,CATALOG_TASK,0)),""))</f>
        <v>2</v>
      </c>
      <c r="D205" s="10" t="s">
        <v>274</v>
      </c>
      <c r="E205" s="41" t="str">
        <f t="shared" si="1"/>
        <v/>
      </c>
    </row>
    <row r="206" ht="15.75" customHeight="1">
      <c r="A206" s="10" t="s">
        <v>37</v>
      </c>
      <c r="B206" s="10" t="s">
        <v>117</v>
      </c>
      <c r="C206" s="41">
        <f t="array" ref="C206">IF(IFERROR(INDEX(CATALOG_POINTS,MATCH(A206,CATALOG_TASK,0)),"")="",IF(MAX(IF(IFERROR(FIND(CATALOG_BASE,A206),0)=1,CATALOG_POINTS,0))=0,DAILY_POST_POINTS,MAX(IF(IFERROR(FIND(CATALOG_BASE,A206),0)=1,CATALOG_POINTS,0))),IFERROR(INDEX(CATALOG_POINTS,MATCH(A206,CATALOG_TASK,0)),""))</f>
        <v>2</v>
      </c>
      <c r="D206" s="10" t="s">
        <v>274</v>
      </c>
      <c r="E206" s="41" t="str">
        <f t="shared" si="1"/>
        <v/>
      </c>
    </row>
    <row r="207" ht="15.75" customHeight="1">
      <c r="A207" s="10" t="s">
        <v>37</v>
      </c>
      <c r="B207" s="10" t="s">
        <v>120</v>
      </c>
      <c r="C207" s="41">
        <f t="array" ref="C207">IF(IFERROR(INDEX(CATALOG_POINTS,MATCH(A207,CATALOG_TASK,0)),"")="",IF(MAX(IF(IFERROR(FIND(CATALOG_BASE,A207),0)=1,CATALOG_POINTS,0))=0,DAILY_POST_POINTS,MAX(IF(IFERROR(FIND(CATALOG_BASE,A207),0)=1,CATALOG_POINTS,0))),IFERROR(INDEX(CATALOG_POINTS,MATCH(A207,CATALOG_TASK,0)),""))</f>
        <v>2</v>
      </c>
      <c r="D207" s="10" t="s">
        <v>274</v>
      </c>
      <c r="E207" s="41" t="str">
        <f t="shared" si="1"/>
        <v/>
      </c>
    </row>
    <row r="208" ht="15.75" customHeight="1">
      <c r="A208" s="10" t="s">
        <v>168</v>
      </c>
      <c r="B208" s="10" t="s">
        <v>120</v>
      </c>
      <c r="C208" s="41">
        <f t="array" ref="C208">IF(IFERROR(INDEX(CATALOG_POINTS,MATCH(A208,CATALOG_TASK,0)),"")="",IF(MAX(IF(IFERROR(FIND(CATALOG_BASE,A208),0)=1,CATALOG_POINTS,0))=0,DAILY_POST_POINTS,MAX(IF(IFERROR(FIND(CATALOG_BASE,A208),0)=1,CATALOG_POINTS,0))),IFERROR(INDEX(CATALOG_POINTS,MATCH(A208,CATALOG_TASK,0)),""))</f>
        <v>1</v>
      </c>
      <c r="D208" s="10" t="s">
        <v>274</v>
      </c>
      <c r="E208" s="41" t="str">
        <f t="shared" si="1"/>
        <v/>
      </c>
    </row>
    <row r="209" ht="15.75" customHeight="1">
      <c r="A209" s="10" t="s">
        <v>34</v>
      </c>
      <c r="B209" s="10" t="s">
        <v>128</v>
      </c>
      <c r="C209" s="41">
        <f t="array" ref="C209">IF(IFERROR(INDEX(CATALOG_POINTS,MATCH(A209,CATALOG_TASK,0)),"")="",IF(MAX(IF(IFERROR(FIND(CATALOG_BASE,A209),0)=1,CATALOG_POINTS,0))=0,DAILY_POST_POINTS,MAX(IF(IFERROR(FIND(CATALOG_BASE,A209),0)=1,CATALOG_POINTS,0))),IFERROR(INDEX(CATALOG_POINTS,MATCH(A209,CATALOG_TASK,0)),""))</f>
        <v>2</v>
      </c>
      <c r="D209" s="10" t="s">
        <v>275</v>
      </c>
      <c r="E209" s="41" t="str">
        <f t="shared" si="1"/>
        <v>PROX3</v>
      </c>
    </row>
    <row r="210" ht="15.75" customHeight="1">
      <c r="A210" s="10" t="s">
        <v>275</v>
      </c>
      <c r="B210" s="10" t="s">
        <v>129</v>
      </c>
      <c r="C210" s="41">
        <f t="array" ref="C210">IF(IFERROR(INDEX(CATALOG_POINTS,MATCH(A210,CATALOG_TASK,0)),"")="",IF(MAX(IF(IFERROR(FIND(CATALOG_BASE,A210),0)=1,CATALOG_POINTS,0))=0,DAILY_POST_POINTS,MAX(IF(IFERROR(FIND(CATALOG_BASE,A210),0)=1,CATALOG_POINTS,0))),IFERROR(INDEX(CATALOG_POINTS,MATCH(A210,CATALOG_TASK,0)),""))</f>
        <v>1</v>
      </c>
      <c r="D210" s="10" t="s">
        <v>275</v>
      </c>
      <c r="E210" s="41" t="str">
        <f t="shared" si="1"/>
        <v>PROX3</v>
      </c>
    </row>
    <row r="211" ht="15.75" customHeight="1">
      <c r="A211" s="10" t="s">
        <v>276</v>
      </c>
      <c r="B211" s="10" t="s">
        <v>132</v>
      </c>
      <c r="C211" s="41">
        <f t="array" ref="C211">IF(IFERROR(INDEX(CATALOG_POINTS,MATCH(A211,CATALOG_TASK,0)),"")="",IF(MAX(IF(IFERROR(FIND(CATALOG_BASE,A211),0)=1,CATALOG_POINTS,0))=0,DAILY_POST_POINTS,MAX(IF(IFERROR(FIND(CATALOG_BASE,A211),0)=1,CATALOG_POINTS,0))),IFERROR(INDEX(CATALOG_POINTS,MATCH(A211,CATALOG_TASK,0)),""))</f>
        <v>1</v>
      </c>
      <c r="D211" s="10" t="s">
        <v>276</v>
      </c>
      <c r="E211" s="41" t="str">
        <f t="shared" si="1"/>
        <v>PROX3</v>
      </c>
    </row>
    <row r="212" ht="15.75" customHeight="1">
      <c r="A212" s="10" t="s">
        <v>174</v>
      </c>
      <c r="B212" s="10" t="s">
        <v>123</v>
      </c>
      <c r="C212" s="41">
        <f t="array" ref="C212">IF(IFERROR(INDEX(CATALOG_POINTS,MATCH(A212,CATALOG_TASK,0)),"")="",IF(MAX(IF(IFERROR(FIND(CATALOG_BASE,A212),0)=1,CATALOG_POINTS,0))=0,DAILY_POST_POINTS,MAX(IF(IFERROR(FIND(CATALOG_BASE,A212),0)=1,CATALOG_POINTS,0))),IFERROR(INDEX(CATALOG_POINTS,MATCH(A212,CATALOG_TASK,0)),""))</f>
        <v>1</v>
      </c>
      <c r="D212" s="10" t="s">
        <v>277</v>
      </c>
      <c r="E212" s="41" t="str">
        <f t="shared" si="1"/>
        <v>PROX3</v>
      </c>
    </row>
    <row r="213" ht="15.75" customHeight="1">
      <c r="A213" s="10" t="s">
        <v>24</v>
      </c>
      <c r="B213" s="10" t="s">
        <v>121</v>
      </c>
      <c r="C213" s="41">
        <f t="array" ref="C213">IF(IFERROR(INDEX(CATALOG_POINTS,MATCH(A213,CATALOG_TASK,0)),"")="",IF(MAX(IF(IFERROR(FIND(CATALOG_BASE,A213),0)=1,CATALOG_POINTS,0))=0,DAILY_POST_POINTS,MAX(IF(IFERROR(FIND(CATALOG_BASE,A213),0)=1,CATALOG_POINTS,0))),IFERROR(INDEX(CATALOG_POINTS,MATCH(A213,CATALOG_TASK,0)),""))</f>
        <v>2</v>
      </c>
      <c r="D213" s="10" t="s">
        <v>277</v>
      </c>
      <c r="E213" s="41" t="str">
        <f t="shared" si="1"/>
        <v>PROX3</v>
      </c>
    </row>
    <row r="214" ht="15.75" customHeight="1">
      <c r="A214" s="10" t="s">
        <v>278</v>
      </c>
      <c r="B214" s="10" t="s">
        <v>117</v>
      </c>
      <c r="C214" s="41">
        <f t="array" ref="C214">IF(IFERROR(INDEX(CATALOG_POINTS,MATCH(A214,CATALOG_TASK,0)),"")="",IF(MAX(IF(IFERROR(FIND(CATALOG_BASE,A214),0)=1,CATALOG_POINTS,0))=0,DAILY_POST_POINTS,MAX(IF(IFERROR(FIND(CATALOG_BASE,A214),0)=1,CATALOG_POINTS,0))),IFERROR(INDEX(CATALOG_POINTS,MATCH(A214,CATALOG_TASK,0)),""))</f>
        <v>1</v>
      </c>
      <c r="D214" s="10" t="s">
        <v>278</v>
      </c>
      <c r="E214" s="41" t="str">
        <f t="shared" si="1"/>
        <v>PROX4</v>
      </c>
    </row>
    <row r="215" ht="15.75" customHeight="1">
      <c r="A215" s="10" t="s">
        <v>279</v>
      </c>
      <c r="B215" s="10" t="s">
        <v>129</v>
      </c>
      <c r="C215" s="41">
        <f t="array" ref="C215">IF(IFERROR(INDEX(CATALOG_POINTS,MATCH(A215,CATALOG_TASK,0)),"")="",IF(MAX(IF(IFERROR(FIND(CATALOG_BASE,A215),0)=1,CATALOG_POINTS,0))=0,DAILY_POST_POINTS,MAX(IF(IFERROR(FIND(CATALOG_BASE,A215),0)=1,CATALOG_POINTS,0))),IFERROR(INDEX(CATALOG_POINTS,MATCH(A215,CATALOG_TASK,0)),""))</f>
        <v>1</v>
      </c>
      <c r="D215" s="10" t="s">
        <v>279</v>
      </c>
      <c r="E215" s="41" t="str">
        <f t="shared" si="1"/>
        <v>PROX4</v>
      </c>
    </row>
    <row r="216" ht="15.75" customHeight="1">
      <c r="A216" s="10" t="s">
        <v>37</v>
      </c>
      <c r="B216" s="10" t="s">
        <v>124</v>
      </c>
      <c r="C216" s="41">
        <f t="array" ref="C216">IF(IFERROR(INDEX(CATALOG_POINTS,MATCH(A216,CATALOG_TASK,0)),"")="",IF(MAX(IF(IFERROR(FIND(CATALOG_BASE,A216),0)=1,CATALOG_POINTS,0))=0,DAILY_POST_POINTS,MAX(IF(IFERROR(FIND(CATALOG_BASE,A216),0)=1,CATALOG_POINTS,0))),IFERROR(INDEX(CATALOG_POINTS,MATCH(A216,CATALOG_TASK,0)),""))</f>
        <v>2</v>
      </c>
      <c r="D216" s="10" t="s">
        <v>280</v>
      </c>
      <c r="E216" s="41" t="str">
        <f t="shared" si="1"/>
        <v>PROX4</v>
      </c>
    </row>
    <row r="217" ht="15.75" customHeight="1">
      <c r="A217" s="10" t="s">
        <v>37</v>
      </c>
      <c r="B217" s="10" t="s">
        <v>122</v>
      </c>
      <c r="C217" s="41">
        <f t="array" ref="C217">IF(IFERROR(INDEX(CATALOG_POINTS,MATCH(A217,CATALOG_TASK,0)),"")="",IF(MAX(IF(IFERROR(FIND(CATALOG_BASE,A217),0)=1,CATALOG_POINTS,0))=0,DAILY_POST_POINTS,MAX(IF(IFERROR(FIND(CATALOG_BASE,A217),0)=1,CATALOG_POINTS,0))),IFERROR(INDEX(CATALOG_POINTS,MATCH(A217,CATALOG_TASK,0)),""))</f>
        <v>2</v>
      </c>
      <c r="D217" s="10" t="s">
        <v>280</v>
      </c>
      <c r="E217" s="41" t="str">
        <f t="shared" si="1"/>
        <v>PROX4</v>
      </c>
    </row>
    <row r="218" ht="15.75" customHeight="1">
      <c r="A218" s="10" t="s">
        <v>280</v>
      </c>
      <c r="B218" s="10" t="s">
        <v>134</v>
      </c>
      <c r="C218" s="41">
        <f t="array" ref="C218">IF(IFERROR(INDEX(CATALOG_POINTS,MATCH(A218,CATALOG_TASK,0)),"")="",IF(MAX(IF(IFERROR(FIND(CATALOG_BASE,A218),0)=1,CATALOG_POINTS,0))=0,DAILY_POST_POINTS,MAX(IF(IFERROR(FIND(CATALOG_BASE,A218),0)=1,CATALOG_POINTS,0))),IFERROR(INDEX(CATALOG_POINTS,MATCH(A218,CATALOG_TASK,0)),""))</f>
        <v>1</v>
      </c>
      <c r="D218" s="10" t="s">
        <v>280</v>
      </c>
      <c r="E218" s="41" t="str">
        <f t="shared" si="1"/>
        <v>PROX4</v>
      </c>
    </row>
    <row r="219" ht="15.75" customHeight="1">
      <c r="A219" s="10" t="s">
        <v>37</v>
      </c>
      <c r="B219" s="10" t="s">
        <v>117</v>
      </c>
      <c r="C219" s="41">
        <f t="array" ref="C219">IF(IFERROR(INDEX(CATALOG_POINTS,MATCH(A219,CATALOG_TASK,0)),"")="",IF(MAX(IF(IFERROR(FIND(CATALOG_BASE,A219),0)=1,CATALOG_POINTS,0))=0,DAILY_POST_POINTS,MAX(IF(IFERROR(FIND(CATALOG_BASE,A219),0)=1,CATALOG_POINTS,0))),IFERROR(INDEX(CATALOG_POINTS,MATCH(A219,CATALOG_TASK,0)),""))</f>
        <v>2</v>
      </c>
      <c r="D219" s="10" t="s">
        <v>280</v>
      </c>
      <c r="E219" s="41" t="str">
        <f t="shared" si="1"/>
        <v>PROX4</v>
      </c>
    </row>
    <row r="220" ht="15.75" customHeight="1">
      <c r="A220" s="10" t="s">
        <v>37</v>
      </c>
      <c r="B220" s="10" t="s">
        <v>128</v>
      </c>
      <c r="C220" s="41">
        <f t="array" ref="C220">IF(IFERROR(INDEX(CATALOG_POINTS,MATCH(A220,CATALOG_TASK,0)),"")="",IF(MAX(IF(IFERROR(FIND(CATALOG_BASE,A220),0)=1,CATALOG_POINTS,0))=0,DAILY_POST_POINTS,MAX(IF(IFERROR(FIND(CATALOG_BASE,A220),0)=1,CATALOG_POINTS,0))),IFERROR(INDEX(CATALOG_POINTS,MATCH(A220,CATALOG_TASK,0)),""))</f>
        <v>2</v>
      </c>
      <c r="D220" s="10" t="s">
        <v>280</v>
      </c>
      <c r="E220" s="41" t="str">
        <f t="shared" si="1"/>
        <v>PROX4</v>
      </c>
    </row>
    <row r="221" ht="15.75" customHeight="1">
      <c r="A221" s="10" t="s">
        <v>281</v>
      </c>
      <c r="B221" s="10" t="s">
        <v>136</v>
      </c>
      <c r="C221" s="41">
        <f t="array" ref="C221">IF(IFERROR(INDEX(CATALOG_POINTS,MATCH(A221,CATALOG_TASK,0)),"")="",IF(MAX(IF(IFERROR(FIND(CATALOG_BASE,A221),0)=1,CATALOG_POINTS,0))=0,DAILY_POST_POINTS,MAX(IF(IFERROR(FIND(CATALOG_BASE,A221),0)=1,CATALOG_POINTS,0))),IFERROR(INDEX(CATALOG_POINTS,MATCH(A221,CATALOG_TASK,0)),""))</f>
        <v>1</v>
      </c>
      <c r="D221" s="10" t="s">
        <v>281</v>
      </c>
      <c r="E221" s="41" t="str">
        <f t="shared" si="1"/>
        <v>PROX4</v>
      </c>
    </row>
    <row r="222" ht="15.75" customHeight="1">
      <c r="A222" s="10" t="s">
        <v>282</v>
      </c>
      <c r="B222" s="10" t="s">
        <v>137</v>
      </c>
      <c r="C222" s="41">
        <f t="array" ref="C222">IF(IFERROR(INDEX(CATALOG_POINTS,MATCH(A222,CATALOG_TASK,0)),"")="",IF(MAX(IF(IFERROR(FIND(CATALOG_BASE,A222),0)=1,CATALOG_POINTS,0))=0,DAILY_POST_POINTS,MAX(IF(IFERROR(FIND(CATALOG_BASE,A222),0)=1,CATALOG_POINTS,0))),IFERROR(INDEX(CATALOG_POINTS,MATCH(A222,CATALOG_TASK,0)),""))</f>
        <v>1</v>
      </c>
      <c r="D222" s="10" t="s">
        <v>282</v>
      </c>
      <c r="E222" s="41" t="str">
        <f t="shared" si="1"/>
        <v>PROX3</v>
      </c>
    </row>
    <row r="223" ht="15.75" customHeight="1">
      <c r="A223" s="10" t="s">
        <v>283</v>
      </c>
      <c r="B223" s="10" t="s">
        <v>129</v>
      </c>
      <c r="C223" s="41">
        <f t="array" ref="C223">IF(IFERROR(INDEX(CATALOG_POINTS,MATCH(A223,CATALOG_TASK,0)),"")="",IF(MAX(IF(IFERROR(FIND(CATALOG_BASE,A223),0)=1,CATALOG_POINTS,0))=0,DAILY_POST_POINTS,MAX(IF(IFERROR(FIND(CATALOG_BASE,A223),0)=1,CATALOG_POINTS,0))),IFERROR(INDEX(CATALOG_POINTS,MATCH(A223,CATALOG_TASK,0)),""))</f>
        <v>1</v>
      </c>
      <c r="D223" s="10" t="s">
        <v>283</v>
      </c>
      <c r="E223" s="41" t="str">
        <f t="shared" si="1"/>
        <v/>
      </c>
    </row>
    <row r="224" ht="15.75" customHeight="1">
      <c r="A224" s="10" t="s">
        <v>284</v>
      </c>
      <c r="B224" s="10" t="s">
        <v>134</v>
      </c>
      <c r="C224" s="41">
        <f t="array" ref="C224">IF(IFERROR(INDEX(CATALOG_POINTS,MATCH(A224,CATALOG_TASK,0)),"")="",IF(MAX(IF(IFERROR(FIND(CATALOG_BASE,A224),0)=1,CATALOG_POINTS,0))=0,DAILY_POST_POINTS,MAX(IF(IFERROR(FIND(CATALOG_BASE,A224),0)=1,CATALOG_POINTS,0))),IFERROR(INDEX(CATALOG_POINTS,MATCH(A224,CATALOG_TASK,0)),""))</f>
        <v>1</v>
      </c>
      <c r="D224" s="10" t="s">
        <v>284</v>
      </c>
      <c r="E224" s="41" t="str">
        <f t="shared" si="1"/>
        <v>PROX3</v>
      </c>
    </row>
    <row r="225" ht="15.75" customHeight="1">
      <c r="A225" s="10" t="s">
        <v>285</v>
      </c>
      <c r="B225" s="10" t="s">
        <v>129</v>
      </c>
      <c r="C225" s="41">
        <f t="array" ref="C225">IF(IFERROR(INDEX(CATALOG_POINTS,MATCH(A225,CATALOG_TASK,0)),"")="",IF(MAX(IF(IFERROR(FIND(CATALOG_BASE,A225),0)=1,CATALOG_POINTS,0))=0,DAILY_POST_POINTS,MAX(IF(IFERROR(FIND(CATALOG_BASE,A225),0)=1,CATALOG_POINTS,0))),IFERROR(INDEX(CATALOG_POINTS,MATCH(A225,CATALOG_TASK,0)),""))</f>
        <v>1</v>
      </c>
      <c r="D225" s="10" t="s">
        <v>285</v>
      </c>
      <c r="E225" s="41" t="str">
        <f t="shared" si="1"/>
        <v>PROX3</v>
      </c>
    </row>
    <row r="226" ht="15.75" customHeight="1">
      <c r="A226" s="10" t="s">
        <v>37</v>
      </c>
      <c r="B226" s="10" t="s">
        <v>123</v>
      </c>
      <c r="C226" s="41">
        <f t="array" ref="C226">IF(IFERROR(INDEX(CATALOG_POINTS,MATCH(A226,CATALOG_TASK,0)),"")="",IF(MAX(IF(IFERROR(FIND(CATALOG_BASE,A226),0)=1,CATALOG_POINTS,0))=0,DAILY_POST_POINTS,MAX(IF(IFERROR(FIND(CATALOG_BASE,A226),0)=1,CATALOG_POINTS,0))),IFERROR(INDEX(CATALOG_POINTS,MATCH(A226,CATALOG_TASK,0)),""))</f>
        <v>2</v>
      </c>
      <c r="D226" s="10" t="s">
        <v>285</v>
      </c>
      <c r="E226" s="41" t="str">
        <f t="shared" si="1"/>
        <v>PROX3</v>
      </c>
    </row>
    <row r="227" ht="15.75" customHeight="1">
      <c r="A227" s="10" t="s">
        <v>286</v>
      </c>
      <c r="B227" s="10" t="s">
        <v>134</v>
      </c>
      <c r="C227" s="41">
        <f t="array" ref="C227">IF(IFERROR(INDEX(CATALOG_POINTS,MATCH(A227,CATALOG_TASK,0)),"")="",IF(MAX(IF(IFERROR(FIND(CATALOG_BASE,A227),0)=1,CATALOG_POINTS,0))=0,DAILY_POST_POINTS,MAX(IF(IFERROR(FIND(CATALOG_BASE,A227),0)=1,CATALOG_POINTS,0))),IFERROR(INDEX(CATALOG_POINTS,MATCH(A227,CATALOG_TASK,0)),""))</f>
        <v>1</v>
      </c>
      <c r="D227" s="10" t="s">
        <v>286</v>
      </c>
      <c r="E227" s="41" t="str">
        <f t="shared" si="1"/>
        <v/>
      </c>
    </row>
    <row r="228" ht="15.75" customHeight="1">
      <c r="A228" s="10" t="s">
        <v>287</v>
      </c>
      <c r="B228" s="10" t="s">
        <v>131</v>
      </c>
      <c r="C228" s="41">
        <f t="array" ref="C228">IF(IFERROR(INDEX(CATALOG_POINTS,MATCH(A228,CATALOG_TASK,0)),"")="",IF(MAX(IF(IFERROR(FIND(CATALOG_BASE,A228),0)=1,CATALOG_POINTS,0))=0,DAILY_POST_POINTS,MAX(IF(IFERROR(FIND(CATALOG_BASE,A228),0)=1,CATALOG_POINTS,0))),IFERROR(INDEX(CATALOG_POINTS,MATCH(A228,CATALOG_TASK,0)),""))</f>
        <v>1</v>
      </c>
      <c r="D228" s="10" t="s">
        <v>287</v>
      </c>
      <c r="E228" s="41" t="str">
        <f t="shared" si="1"/>
        <v>PROX3</v>
      </c>
    </row>
    <row r="229" ht="15.75" customHeight="1">
      <c r="A229" s="10" t="s">
        <v>288</v>
      </c>
      <c r="B229" s="10" t="s">
        <v>121</v>
      </c>
      <c r="C229" s="41">
        <f t="array" ref="C229">IF(IFERROR(INDEX(CATALOG_POINTS,MATCH(A229,CATALOG_TASK,0)),"")="",IF(MAX(IF(IFERROR(FIND(CATALOG_BASE,A229),0)=1,CATALOG_POINTS,0))=0,DAILY_POST_POINTS,MAX(IF(IFERROR(FIND(CATALOG_BASE,A229),0)=1,CATALOG_POINTS,0))),IFERROR(INDEX(CATALOG_POINTS,MATCH(A229,CATALOG_TASK,0)),""))</f>
        <v>1</v>
      </c>
      <c r="D229" s="10" t="s">
        <v>289</v>
      </c>
      <c r="E229" s="41" t="str">
        <f t="shared" si="1"/>
        <v/>
      </c>
    </row>
    <row r="230" ht="15.75" customHeight="1">
      <c r="A230" s="10" t="s">
        <v>290</v>
      </c>
      <c r="B230" s="10" t="s">
        <v>137</v>
      </c>
      <c r="C230" s="41">
        <f t="array" ref="C230">IF(IFERROR(INDEX(CATALOG_POINTS,MATCH(A230,CATALOG_TASK,0)),"")="",IF(MAX(IF(IFERROR(FIND(CATALOG_BASE,A230),0)=1,CATALOG_POINTS,0))=0,DAILY_POST_POINTS,MAX(IF(IFERROR(FIND(CATALOG_BASE,A230),0)=1,CATALOG_POINTS,0))),IFERROR(INDEX(CATALOG_POINTS,MATCH(A230,CATALOG_TASK,0)),""))</f>
        <v>1</v>
      </c>
      <c r="D230" s="10" t="s">
        <v>290</v>
      </c>
      <c r="E230" s="41" t="str">
        <f t="shared" si="1"/>
        <v>PROX3</v>
      </c>
    </row>
    <row r="231" ht="15.75" customHeight="1">
      <c r="A231" s="10" t="s">
        <v>37</v>
      </c>
      <c r="B231" s="10" t="s">
        <v>120</v>
      </c>
      <c r="C231" s="41">
        <f t="array" ref="C231">IF(IFERROR(INDEX(CATALOG_POINTS,MATCH(A231,CATALOG_TASK,0)),"")="",IF(MAX(IF(IFERROR(FIND(CATALOG_BASE,A231),0)=1,CATALOG_POINTS,0))=0,DAILY_POST_POINTS,MAX(IF(IFERROR(FIND(CATALOG_BASE,A231),0)=1,CATALOG_POINTS,0))),IFERROR(INDEX(CATALOG_POINTS,MATCH(A231,CATALOG_TASK,0)),""))</f>
        <v>2</v>
      </c>
      <c r="D231" s="10" t="s">
        <v>291</v>
      </c>
      <c r="E231" s="41" t="str">
        <f t="shared" si="1"/>
        <v>PROX4</v>
      </c>
    </row>
    <row r="232" ht="15.75" customHeight="1">
      <c r="A232" s="10" t="s">
        <v>291</v>
      </c>
      <c r="B232" s="10" t="s">
        <v>127</v>
      </c>
      <c r="C232" s="41">
        <f t="array" ref="C232">IF(IFERROR(INDEX(CATALOG_POINTS,MATCH(A232,CATALOG_TASK,0)),"")="",IF(MAX(IF(IFERROR(FIND(CATALOG_BASE,A232),0)=1,CATALOG_POINTS,0))=0,DAILY_POST_POINTS,MAX(IF(IFERROR(FIND(CATALOG_BASE,A232),0)=1,CATALOG_POINTS,0))),IFERROR(INDEX(CATALOG_POINTS,MATCH(A232,CATALOG_TASK,0)),""))</f>
        <v>1</v>
      </c>
      <c r="D232" s="10" t="s">
        <v>291</v>
      </c>
      <c r="E232" s="41" t="str">
        <f t="shared" si="1"/>
        <v>PROX4</v>
      </c>
    </row>
    <row r="233" ht="15.75" customHeight="1">
      <c r="A233" s="10" t="s">
        <v>292</v>
      </c>
      <c r="B233" s="10" t="s">
        <v>126</v>
      </c>
      <c r="C233" s="41">
        <f t="array" ref="C233">IF(IFERROR(INDEX(CATALOG_POINTS,MATCH(A233,CATALOG_TASK,0)),"")="",IF(MAX(IF(IFERROR(FIND(CATALOG_BASE,A233),0)=1,CATALOG_POINTS,0))=0,DAILY_POST_POINTS,MAX(IF(IFERROR(FIND(CATALOG_BASE,A233),0)=1,CATALOG_POINTS,0))),IFERROR(INDEX(CATALOG_POINTS,MATCH(A233,CATALOG_TASK,0)),""))</f>
        <v>1</v>
      </c>
      <c r="D233" s="10" t="s">
        <v>292</v>
      </c>
      <c r="E233" s="41" t="str">
        <f t="shared" si="1"/>
        <v>E0</v>
      </c>
    </row>
    <row r="234" ht="15.75" customHeight="1">
      <c r="A234" s="10" t="s">
        <v>293</v>
      </c>
      <c r="B234" s="10" t="s">
        <v>136</v>
      </c>
      <c r="C234" s="41">
        <f t="array" ref="C234">IF(IFERROR(INDEX(CATALOG_POINTS,MATCH(A234,CATALOG_TASK,0)),"")="",IF(MAX(IF(IFERROR(FIND(CATALOG_BASE,A234),0)=1,CATALOG_POINTS,0))=0,DAILY_POST_POINTS,MAX(IF(IFERROR(FIND(CATALOG_BASE,A234),0)=1,CATALOG_POINTS,0))),IFERROR(INDEX(CATALOG_POINTS,MATCH(A234,CATALOG_TASK,0)),""))</f>
        <v>1</v>
      </c>
      <c r="D234" s="10" t="s">
        <v>293</v>
      </c>
      <c r="E234" s="41" t="str">
        <f t="shared" si="1"/>
        <v>PROX3</v>
      </c>
    </row>
    <row r="235" ht="15.75" customHeight="1">
      <c r="A235" s="10" t="s">
        <v>37</v>
      </c>
      <c r="B235" s="10" t="s">
        <v>122</v>
      </c>
      <c r="C235" s="41">
        <f t="array" ref="C235">IF(IFERROR(INDEX(CATALOG_POINTS,MATCH(A235,CATALOG_TASK,0)),"")="",IF(MAX(IF(IFERROR(FIND(CATALOG_BASE,A235),0)=1,CATALOG_POINTS,0))=0,DAILY_POST_POINTS,MAX(IF(IFERROR(FIND(CATALOG_BASE,A235),0)=1,CATALOG_POINTS,0))),IFERROR(INDEX(CATALOG_POINTS,MATCH(A235,CATALOG_TASK,0)),""))</f>
        <v>2</v>
      </c>
      <c r="D235" s="10" t="s">
        <v>294</v>
      </c>
      <c r="E235" s="41" t="str">
        <f t="shared" si="1"/>
        <v>PROX4</v>
      </c>
    </row>
    <row r="236" ht="15.75" customHeight="1">
      <c r="A236" s="10" t="s">
        <v>174</v>
      </c>
      <c r="B236" s="10" t="s">
        <v>117</v>
      </c>
      <c r="C236" s="41">
        <f t="array" ref="C236">IF(IFERROR(INDEX(CATALOG_POINTS,MATCH(A236,CATALOG_TASK,0)),"")="",IF(MAX(IF(IFERROR(FIND(CATALOG_BASE,A236),0)=1,CATALOG_POINTS,0))=0,DAILY_POST_POINTS,MAX(IF(IFERROR(FIND(CATALOG_BASE,A236),0)=1,CATALOG_POINTS,0))),IFERROR(INDEX(CATALOG_POINTS,MATCH(A236,CATALOG_TASK,0)),""))</f>
        <v>1</v>
      </c>
      <c r="D236" s="10" t="s">
        <v>294</v>
      </c>
      <c r="E236" s="41" t="str">
        <f t="shared" si="1"/>
        <v>PROX4</v>
      </c>
    </row>
    <row r="237" ht="15.75" customHeight="1">
      <c r="A237" s="10" t="s">
        <v>34</v>
      </c>
      <c r="B237" s="10" t="s">
        <v>121</v>
      </c>
      <c r="C237" s="41">
        <f t="array" ref="C237">IF(IFERROR(INDEX(CATALOG_POINTS,MATCH(A237,CATALOG_TASK,0)),"")="",IF(MAX(IF(IFERROR(FIND(CATALOG_BASE,A237),0)=1,CATALOG_POINTS,0))=0,DAILY_POST_POINTS,MAX(IF(IFERROR(FIND(CATALOG_BASE,A237),0)=1,CATALOG_POINTS,0))),IFERROR(INDEX(CATALOG_POINTS,MATCH(A237,CATALOG_TASK,0)),""))</f>
        <v>2</v>
      </c>
      <c r="D237" s="10" t="s">
        <v>294</v>
      </c>
      <c r="E237" s="41" t="str">
        <f t="shared" si="1"/>
        <v>PROX4</v>
      </c>
    </row>
    <row r="238" ht="15.75" customHeight="1">
      <c r="A238" s="10" t="s">
        <v>178</v>
      </c>
      <c r="B238" s="10" t="s">
        <v>121</v>
      </c>
      <c r="C238" s="41">
        <f t="array" ref="C238">IF(IFERROR(INDEX(CATALOG_POINTS,MATCH(A238,CATALOG_TASK,0)),"")="",IF(MAX(IF(IFERROR(FIND(CATALOG_BASE,A238),0)=1,CATALOG_POINTS,0))=0,DAILY_POST_POINTS,MAX(IF(IFERROR(FIND(CATALOG_BASE,A238),0)=1,CATALOG_POINTS,0))),IFERROR(INDEX(CATALOG_POINTS,MATCH(A238,CATALOG_TASK,0)),""))</f>
        <v>1</v>
      </c>
      <c r="D238" s="10" t="s">
        <v>294</v>
      </c>
      <c r="E238" s="41" t="str">
        <f t="shared" si="1"/>
        <v>PROX4</v>
      </c>
    </row>
    <row r="239" ht="15.75" customHeight="1">
      <c r="A239" s="10" t="s">
        <v>294</v>
      </c>
      <c r="B239" s="10" t="s">
        <v>124</v>
      </c>
      <c r="C239" s="41">
        <f t="array" ref="C239">IF(IFERROR(INDEX(CATALOG_POINTS,MATCH(A239,CATALOG_TASK,0)),"")="",IF(MAX(IF(IFERROR(FIND(CATALOG_BASE,A239),0)=1,CATALOG_POINTS,0))=0,DAILY_POST_POINTS,MAX(IF(IFERROR(FIND(CATALOG_BASE,A239),0)=1,CATALOG_POINTS,0))),IFERROR(INDEX(CATALOG_POINTS,MATCH(A239,CATALOG_TASK,0)),""))</f>
        <v>1</v>
      </c>
      <c r="D239" s="10" t="s">
        <v>294</v>
      </c>
      <c r="E239" s="41" t="str">
        <f t="shared" si="1"/>
        <v>PROX4</v>
      </c>
    </row>
    <row r="240" ht="15.75" customHeight="1">
      <c r="A240" s="10" t="s">
        <v>37</v>
      </c>
      <c r="B240" s="10" t="s">
        <v>120</v>
      </c>
      <c r="C240" s="41">
        <f t="array" ref="C240">IF(IFERROR(INDEX(CATALOG_POINTS,MATCH(A240,CATALOG_TASK,0)),"")="",IF(MAX(IF(IFERROR(FIND(CATALOG_BASE,A240),0)=1,CATALOG_POINTS,0))=0,DAILY_POST_POINTS,MAX(IF(IFERROR(FIND(CATALOG_BASE,A240),0)=1,CATALOG_POINTS,0))),IFERROR(INDEX(CATALOG_POINTS,MATCH(A240,CATALOG_TASK,0)),""))</f>
        <v>2</v>
      </c>
      <c r="D240" s="10" t="s">
        <v>295</v>
      </c>
      <c r="E240" s="41" t="str">
        <f t="shared" si="1"/>
        <v/>
      </c>
    </row>
    <row r="241" ht="15.75" customHeight="1">
      <c r="A241" s="10" t="s">
        <v>295</v>
      </c>
      <c r="B241" s="10" t="s">
        <v>135</v>
      </c>
      <c r="C241" s="41">
        <f t="array" ref="C241">IF(IFERROR(INDEX(CATALOG_POINTS,MATCH(A241,CATALOG_TASK,0)),"")="",IF(MAX(IF(IFERROR(FIND(CATALOG_BASE,A241),0)=1,CATALOG_POINTS,0))=0,DAILY_POST_POINTS,MAX(IF(IFERROR(FIND(CATALOG_BASE,A241),0)=1,CATALOG_POINTS,0))),IFERROR(INDEX(CATALOG_POINTS,MATCH(A241,CATALOG_TASK,0)),""))</f>
        <v>1</v>
      </c>
      <c r="D241" s="10" t="s">
        <v>295</v>
      </c>
      <c r="E241" s="41" t="str">
        <f t="shared" si="1"/>
        <v/>
      </c>
    </row>
    <row r="242" ht="15.75" customHeight="1">
      <c r="A242" s="10" t="s">
        <v>37</v>
      </c>
      <c r="B242" s="10" t="s">
        <v>120</v>
      </c>
      <c r="C242" s="41">
        <f t="array" ref="C242">IF(IFERROR(INDEX(CATALOG_POINTS,MATCH(A242,CATALOG_TASK,0)),"")="",IF(MAX(IF(IFERROR(FIND(CATALOG_BASE,A242),0)=1,CATALOG_POINTS,0))=0,DAILY_POST_POINTS,MAX(IF(IFERROR(FIND(CATALOG_BASE,A242),0)=1,CATALOG_POINTS,0))),IFERROR(INDEX(CATALOG_POINTS,MATCH(A242,CATALOG_TASK,0)),""))</f>
        <v>2</v>
      </c>
      <c r="D242" s="10" t="s">
        <v>295</v>
      </c>
      <c r="E242" s="41" t="str">
        <f t="shared" si="1"/>
        <v/>
      </c>
    </row>
    <row r="243" ht="15.75" customHeight="1">
      <c r="A243" s="10" t="s">
        <v>296</v>
      </c>
      <c r="B243" s="10" t="s">
        <v>119</v>
      </c>
      <c r="C243" s="41">
        <f t="array" ref="C243">IF(IFERROR(INDEX(CATALOG_POINTS,MATCH(A243,CATALOG_TASK,0)),"")="",IF(MAX(IF(IFERROR(FIND(CATALOG_BASE,A243),0)=1,CATALOG_POINTS,0))=0,DAILY_POST_POINTS,MAX(IF(IFERROR(FIND(CATALOG_BASE,A243),0)=1,CATALOG_POINTS,0))),IFERROR(INDEX(CATALOG_POINTS,MATCH(A243,CATALOG_TASK,0)),""))</f>
        <v>1</v>
      </c>
      <c r="D243" s="10" t="s">
        <v>296</v>
      </c>
      <c r="E243" s="41" t="str">
        <f t="shared" si="1"/>
        <v>PROX3</v>
      </c>
    </row>
    <row r="244" ht="15.75" customHeight="1">
      <c r="A244" s="10" t="s">
        <v>297</v>
      </c>
      <c r="B244" s="10" t="s">
        <v>134</v>
      </c>
      <c r="C244" s="41">
        <f t="array" ref="C244">IF(IFERROR(INDEX(CATALOG_POINTS,MATCH(A244,CATALOG_TASK,0)),"")="",IF(MAX(IF(IFERROR(FIND(CATALOG_BASE,A244),0)=1,CATALOG_POINTS,0))=0,DAILY_POST_POINTS,MAX(IF(IFERROR(FIND(CATALOG_BASE,A244),0)=1,CATALOG_POINTS,0))),IFERROR(INDEX(CATALOG_POINTS,MATCH(A244,CATALOG_TASK,0)),""))</f>
        <v>1</v>
      </c>
      <c r="D244" s="10" t="s">
        <v>297</v>
      </c>
      <c r="E244" s="41" t="str">
        <f t="shared" si="1"/>
        <v>PROX4</v>
      </c>
    </row>
    <row r="245" ht="15.75" customHeight="1">
      <c r="A245" s="10" t="s">
        <v>298</v>
      </c>
      <c r="B245" s="10" t="s">
        <v>136</v>
      </c>
      <c r="C245" s="41">
        <f t="array" ref="C245">IF(IFERROR(INDEX(CATALOG_POINTS,MATCH(A245,CATALOG_TASK,0)),"")="",IF(MAX(IF(IFERROR(FIND(CATALOG_BASE,A245),0)=1,CATALOG_POINTS,0))=0,DAILY_POST_POINTS,MAX(IF(IFERROR(FIND(CATALOG_BASE,A245),0)=1,CATALOG_POINTS,0))),IFERROR(INDEX(CATALOG_POINTS,MATCH(A245,CATALOG_TASK,0)),""))</f>
        <v>1</v>
      </c>
      <c r="D245" s="10" t="s">
        <v>298</v>
      </c>
      <c r="E245" s="41" t="str">
        <f t="shared" si="1"/>
        <v>PROX3</v>
      </c>
    </row>
    <row r="246" ht="15.75" customHeight="1">
      <c r="A246" s="10" t="s">
        <v>299</v>
      </c>
      <c r="B246" s="10" t="s">
        <v>127</v>
      </c>
      <c r="C246" s="41">
        <f t="array" ref="C246">IF(IFERROR(INDEX(CATALOG_POINTS,MATCH(A246,CATALOG_TASK,0)),"")="",IF(MAX(IF(IFERROR(FIND(CATALOG_BASE,A246),0)=1,CATALOG_POINTS,0))=0,DAILY_POST_POINTS,MAX(IF(IFERROR(FIND(CATALOG_BASE,A246),0)=1,CATALOG_POINTS,0))),IFERROR(INDEX(CATALOG_POINTS,MATCH(A246,CATALOG_TASK,0)),""))</f>
        <v>1</v>
      </c>
      <c r="D246" s="10" t="s">
        <v>299</v>
      </c>
      <c r="E246" s="41" t="str">
        <f t="shared" si="1"/>
        <v>PROX3</v>
      </c>
    </row>
    <row r="247" ht="15.75" customHeight="1">
      <c r="A247" s="10" t="s">
        <v>178</v>
      </c>
      <c r="B247" s="10" t="s">
        <v>121</v>
      </c>
      <c r="C247" s="41">
        <f t="array" ref="C247">IF(IFERROR(INDEX(CATALOG_POINTS,MATCH(A247,CATALOG_TASK,0)),"")="",IF(MAX(IF(IFERROR(FIND(CATALOG_BASE,A247),0)=1,CATALOG_POINTS,0))=0,DAILY_POST_POINTS,MAX(IF(IFERROR(FIND(CATALOG_BASE,A247),0)=1,CATALOG_POINTS,0))),IFERROR(INDEX(CATALOG_POINTS,MATCH(A247,CATALOG_TASK,0)),""))</f>
        <v>1</v>
      </c>
      <c r="D247" s="10" t="s">
        <v>300</v>
      </c>
      <c r="E247" s="41" t="str">
        <f t="shared" si="1"/>
        <v>E0</v>
      </c>
    </row>
    <row r="248" ht="15.75" customHeight="1">
      <c r="A248" s="10" t="s">
        <v>300</v>
      </c>
      <c r="B248" s="10" t="s">
        <v>127</v>
      </c>
      <c r="C248" s="41">
        <f t="array" ref="C248">IF(IFERROR(INDEX(CATALOG_POINTS,MATCH(A248,CATALOG_TASK,0)),"")="",IF(MAX(IF(IFERROR(FIND(CATALOG_BASE,A248),0)=1,CATALOG_POINTS,0))=0,DAILY_POST_POINTS,MAX(IF(IFERROR(FIND(CATALOG_BASE,A248),0)=1,CATALOG_POINTS,0))),IFERROR(INDEX(CATALOG_POINTS,MATCH(A248,CATALOG_TASK,0)),""))</f>
        <v>1</v>
      </c>
      <c r="D248" s="10" t="s">
        <v>300</v>
      </c>
      <c r="E248" s="41" t="str">
        <f t="shared" si="1"/>
        <v>E0</v>
      </c>
    </row>
    <row r="249" ht="15.75" customHeight="1">
      <c r="A249" s="10" t="s">
        <v>301</v>
      </c>
      <c r="B249" s="10" t="s">
        <v>117</v>
      </c>
      <c r="C249" s="41">
        <f t="array" ref="C249">IF(IFERROR(INDEX(CATALOG_POINTS,MATCH(A249,CATALOG_TASK,0)),"")="",IF(MAX(IF(IFERROR(FIND(CATALOG_BASE,A249),0)=1,CATALOG_POINTS,0))=0,DAILY_POST_POINTS,MAX(IF(IFERROR(FIND(CATALOG_BASE,A249),0)=1,CATALOG_POINTS,0))),IFERROR(INDEX(CATALOG_POINTS,MATCH(A249,CATALOG_TASK,0)),""))</f>
        <v>1</v>
      </c>
      <c r="D249" s="10" t="s">
        <v>301</v>
      </c>
      <c r="E249" s="41" t="str">
        <f t="shared" si="1"/>
        <v>PROX3</v>
      </c>
    </row>
    <row r="250" ht="15.75" customHeight="1">
      <c r="A250" s="10" t="s">
        <v>37</v>
      </c>
      <c r="B250" s="10" t="s">
        <v>117</v>
      </c>
      <c r="C250" s="41">
        <f t="array" ref="C250">IF(IFERROR(INDEX(CATALOG_POINTS,MATCH(A250,CATALOG_TASK,0)),"")="",IF(MAX(IF(IFERROR(FIND(CATALOG_BASE,A250),0)=1,CATALOG_POINTS,0))=0,DAILY_POST_POINTS,MAX(IF(IFERROR(FIND(CATALOG_BASE,A250),0)=1,CATALOG_POINTS,0))),IFERROR(INDEX(CATALOG_POINTS,MATCH(A250,CATALOG_TASK,0)),""))</f>
        <v>2</v>
      </c>
      <c r="D250" s="10" t="s">
        <v>302</v>
      </c>
      <c r="E250" s="41" t="str">
        <f t="shared" si="1"/>
        <v>PROX3</v>
      </c>
    </row>
    <row r="251" ht="15.75" customHeight="1">
      <c r="A251" s="10" t="s">
        <v>302</v>
      </c>
      <c r="B251" s="10" t="s">
        <v>135</v>
      </c>
      <c r="C251" s="41">
        <f t="array" ref="C251">IF(IFERROR(INDEX(CATALOG_POINTS,MATCH(A251,CATALOG_TASK,0)),"")="",IF(MAX(IF(IFERROR(FIND(CATALOG_BASE,A251),0)=1,CATALOG_POINTS,0))=0,DAILY_POST_POINTS,MAX(IF(IFERROR(FIND(CATALOG_BASE,A251),0)=1,CATALOG_POINTS,0))),IFERROR(INDEX(CATALOG_POINTS,MATCH(A251,CATALOG_TASK,0)),""))</f>
        <v>1</v>
      </c>
      <c r="D251" s="10" t="s">
        <v>302</v>
      </c>
      <c r="E251" s="41" t="str">
        <f t="shared" si="1"/>
        <v>PROX3</v>
      </c>
    </row>
    <row r="252" ht="15.75" customHeight="1">
      <c r="A252" s="10" t="s">
        <v>303</v>
      </c>
      <c r="B252" s="10" t="s">
        <v>124</v>
      </c>
      <c r="C252" s="41">
        <f t="array" ref="C252">IF(IFERROR(INDEX(CATALOG_POINTS,MATCH(A252,CATALOG_TASK,0)),"")="",IF(MAX(IF(IFERROR(FIND(CATALOG_BASE,A252),0)=1,CATALOG_POINTS,0))=0,DAILY_POST_POINTS,MAX(IF(IFERROR(FIND(CATALOG_BASE,A252),0)=1,CATALOG_POINTS,0))),IFERROR(INDEX(CATALOG_POINTS,MATCH(A252,CATALOG_TASK,0)),""))</f>
        <v>1</v>
      </c>
      <c r="D252" s="10" t="s">
        <v>303</v>
      </c>
      <c r="E252" s="41" t="str">
        <f t="shared" si="1"/>
        <v>PROX4</v>
      </c>
    </row>
    <row r="253" ht="15.75" customHeight="1">
      <c r="A253" s="10" t="s">
        <v>37</v>
      </c>
      <c r="B253" s="10" t="s">
        <v>125</v>
      </c>
      <c r="C253" s="41">
        <f t="array" ref="C253">IF(IFERROR(INDEX(CATALOG_POINTS,MATCH(A253,CATALOG_TASK,0)),"")="",IF(MAX(IF(IFERROR(FIND(CATALOG_BASE,A253),0)=1,CATALOG_POINTS,0))=0,DAILY_POST_POINTS,MAX(IF(IFERROR(FIND(CATALOG_BASE,A253),0)=1,CATALOG_POINTS,0))),IFERROR(INDEX(CATALOG_POINTS,MATCH(A253,CATALOG_TASK,0)),""))</f>
        <v>2</v>
      </c>
      <c r="D253" s="10" t="s">
        <v>304</v>
      </c>
      <c r="E253" s="41" t="str">
        <f t="shared" si="1"/>
        <v>PROX4</v>
      </c>
    </row>
    <row r="254" ht="15.75" customHeight="1">
      <c r="A254" s="10" t="s">
        <v>304</v>
      </c>
      <c r="B254" s="10" t="s">
        <v>124</v>
      </c>
      <c r="C254" s="41">
        <f t="array" ref="C254">IF(IFERROR(INDEX(CATALOG_POINTS,MATCH(A254,CATALOG_TASK,0)),"")="",IF(MAX(IF(IFERROR(FIND(CATALOG_BASE,A254),0)=1,CATALOG_POINTS,0))=0,DAILY_POST_POINTS,MAX(IF(IFERROR(FIND(CATALOG_BASE,A254),0)=1,CATALOG_POINTS,0))),IFERROR(INDEX(CATALOG_POINTS,MATCH(A254,CATALOG_TASK,0)),""))</f>
        <v>1</v>
      </c>
      <c r="D254" s="10" t="s">
        <v>304</v>
      </c>
      <c r="E254" s="41" t="str">
        <f t="shared" si="1"/>
        <v>PROX4</v>
      </c>
    </row>
    <row r="255" ht="15.75" customHeight="1">
      <c r="A255" s="10" t="s">
        <v>37</v>
      </c>
      <c r="B255" s="10" t="s">
        <v>127</v>
      </c>
      <c r="C255" s="41">
        <f t="array" ref="C255">IF(IFERROR(INDEX(CATALOG_POINTS,MATCH(A255,CATALOG_TASK,0)),"")="",IF(MAX(IF(IFERROR(FIND(CATALOG_BASE,A255),0)=1,CATALOG_POINTS,0))=0,DAILY_POST_POINTS,MAX(IF(IFERROR(FIND(CATALOG_BASE,A255),0)=1,CATALOG_POINTS,0))),IFERROR(INDEX(CATALOG_POINTS,MATCH(A255,CATALOG_TASK,0)),""))</f>
        <v>2</v>
      </c>
      <c r="D255" s="10" t="s">
        <v>304</v>
      </c>
      <c r="E255" s="41" t="str">
        <f t="shared" si="1"/>
        <v>PROX4</v>
      </c>
    </row>
    <row r="256" ht="15.75" customHeight="1">
      <c r="A256" s="10" t="s">
        <v>178</v>
      </c>
      <c r="B256" s="10" t="s">
        <v>124</v>
      </c>
      <c r="C256" s="41">
        <f t="array" ref="C256">IF(IFERROR(INDEX(CATALOG_POINTS,MATCH(A256,CATALOG_TASK,0)),"")="",IF(MAX(IF(IFERROR(FIND(CATALOG_BASE,A256),0)=1,CATALOG_POINTS,0))=0,DAILY_POST_POINTS,MAX(IF(IFERROR(FIND(CATALOG_BASE,A256),0)=1,CATALOG_POINTS,0))),IFERROR(INDEX(CATALOG_POINTS,MATCH(A256,CATALOG_TASK,0)),""))</f>
        <v>1</v>
      </c>
      <c r="D256" s="10" t="s">
        <v>304</v>
      </c>
      <c r="E256" s="41" t="str">
        <f t="shared" si="1"/>
        <v>PROX4</v>
      </c>
    </row>
    <row r="257" ht="15.75" customHeight="1">
      <c r="A257" s="10" t="s">
        <v>305</v>
      </c>
      <c r="B257" s="10" t="s">
        <v>124</v>
      </c>
      <c r="C257" s="41">
        <f t="array" ref="C257">IF(IFERROR(INDEX(CATALOG_POINTS,MATCH(A257,CATALOG_TASK,0)),"")="",IF(MAX(IF(IFERROR(FIND(CATALOG_BASE,A257),0)=1,CATALOG_POINTS,0))=0,DAILY_POST_POINTS,MAX(IF(IFERROR(FIND(CATALOG_BASE,A257),0)=1,CATALOG_POINTS,0))),IFERROR(INDEX(CATALOG_POINTS,MATCH(A257,CATALOG_TASK,0)),""))</f>
        <v>1</v>
      </c>
      <c r="D257" s="10" t="s">
        <v>305</v>
      </c>
      <c r="E257" s="41" t="str">
        <f t="shared" si="1"/>
        <v>E0</v>
      </c>
    </row>
    <row r="258" ht="15.75" customHeight="1">
      <c r="A258" s="10" t="s">
        <v>306</v>
      </c>
      <c r="B258" s="10" t="s">
        <v>121</v>
      </c>
      <c r="C258" s="41">
        <f t="array" ref="C258">IF(IFERROR(INDEX(CATALOG_POINTS,MATCH(A258,CATALOG_TASK,0)),"")="",IF(MAX(IF(IFERROR(FIND(CATALOG_BASE,A258),0)=1,CATALOG_POINTS,0))=0,DAILY_POST_POINTS,MAX(IF(IFERROR(FIND(CATALOG_BASE,A258),0)=1,CATALOG_POINTS,0))),IFERROR(INDEX(CATALOG_POINTS,MATCH(A258,CATALOG_TASK,0)),""))</f>
        <v>1</v>
      </c>
      <c r="D258" s="10" t="s">
        <v>306</v>
      </c>
      <c r="E258" s="41" t="str">
        <f t="shared" si="1"/>
        <v>PROX3</v>
      </c>
    </row>
    <row r="259" ht="15.75" customHeight="1">
      <c r="A259" s="10" t="s">
        <v>37</v>
      </c>
      <c r="B259" s="10" t="s">
        <v>121</v>
      </c>
      <c r="C259" s="41">
        <f t="array" ref="C259">IF(IFERROR(INDEX(CATALOG_POINTS,MATCH(A259,CATALOG_TASK,0)),"")="",IF(MAX(IF(IFERROR(FIND(CATALOG_BASE,A259),0)=1,CATALOG_POINTS,0))=0,DAILY_POST_POINTS,MAX(IF(IFERROR(FIND(CATALOG_BASE,A259),0)=1,CATALOG_POINTS,0))),IFERROR(INDEX(CATALOG_POINTS,MATCH(A259,CATALOG_TASK,0)),""))</f>
        <v>2</v>
      </c>
      <c r="D259" s="10" t="s">
        <v>306</v>
      </c>
      <c r="E259" s="41" t="str">
        <f t="shared" si="1"/>
        <v>PROX3</v>
      </c>
    </row>
    <row r="260" ht="15.75" customHeight="1">
      <c r="A260" s="10" t="s">
        <v>37</v>
      </c>
      <c r="B260" s="10" t="s">
        <v>121</v>
      </c>
      <c r="C260" s="41">
        <f t="array" ref="C260">IF(IFERROR(INDEX(CATALOG_POINTS,MATCH(A260,CATALOG_TASK,0)),"")="",IF(MAX(IF(IFERROR(FIND(CATALOG_BASE,A260),0)=1,CATALOG_POINTS,0))=0,DAILY_POST_POINTS,MAX(IF(IFERROR(FIND(CATALOG_BASE,A260),0)=1,CATALOG_POINTS,0))),IFERROR(INDEX(CATALOG_POINTS,MATCH(A260,CATALOG_TASK,0)),""))</f>
        <v>2</v>
      </c>
      <c r="D260" s="10" t="s">
        <v>306</v>
      </c>
      <c r="E260" s="41" t="str">
        <f t="shared" si="1"/>
        <v>PROX3</v>
      </c>
    </row>
    <row r="261" ht="15.75" customHeight="1">
      <c r="A261" s="10" t="s">
        <v>37</v>
      </c>
      <c r="B261" s="10" t="s">
        <v>121</v>
      </c>
      <c r="C261" s="41">
        <f t="array" ref="C261">IF(IFERROR(INDEX(CATALOG_POINTS,MATCH(A261,CATALOG_TASK,0)),"")="",IF(MAX(IF(IFERROR(FIND(CATALOG_BASE,A261),0)=1,CATALOG_POINTS,0))=0,DAILY_POST_POINTS,MAX(IF(IFERROR(FIND(CATALOG_BASE,A261),0)=1,CATALOG_POINTS,0))),IFERROR(INDEX(CATALOG_POINTS,MATCH(A261,CATALOG_TASK,0)),""))</f>
        <v>2</v>
      </c>
      <c r="D261" s="10" t="s">
        <v>307</v>
      </c>
      <c r="E261" s="41" t="str">
        <f t="shared" si="1"/>
        <v>PROX3</v>
      </c>
    </row>
    <row r="262" ht="15.75" customHeight="1">
      <c r="A262" s="10" t="s">
        <v>307</v>
      </c>
      <c r="B262" s="10" t="s">
        <v>121</v>
      </c>
      <c r="C262" s="41">
        <f t="array" ref="C262">IF(IFERROR(INDEX(CATALOG_POINTS,MATCH(A262,CATALOG_TASK,0)),"")="",IF(MAX(IF(IFERROR(FIND(CATALOG_BASE,A262),0)=1,CATALOG_POINTS,0))=0,DAILY_POST_POINTS,MAX(IF(IFERROR(FIND(CATALOG_BASE,A262),0)=1,CATALOG_POINTS,0))),IFERROR(INDEX(CATALOG_POINTS,MATCH(A262,CATALOG_TASK,0)),""))</f>
        <v>1</v>
      </c>
      <c r="D262" s="10" t="s">
        <v>307</v>
      </c>
      <c r="E262" s="41" t="str">
        <f t="shared" si="1"/>
        <v>PROX3</v>
      </c>
    </row>
    <row r="263" ht="15.75" customHeight="1">
      <c r="A263" s="10" t="s">
        <v>308</v>
      </c>
      <c r="B263" s="10" t="s">
        <v>120</v>
      </c>
      <c r="C263" s="41">
        <f t="array" ref="C263">IF(IFERROR(INDEX(CATALOG_POINTS,MATCH(A263,CATALOG_TASK,0)),"")="",IF(MAX(IF(IFERROR(FIND(CATALOG_BASE,A263),0)=1,CATALOG_POINTS,0))=0,DAILY_POST_POINTS,MAX(IF(IFERROR(FIND(CATALOG_BASE,A263),0)=1,CATALOG_POINTS,0))),IFERROR(INDEX(CATALOG_POINTS,MATCH(A263,CATALOG_TASK,0)),""))</f>
        <v>1</v>
      </c>
      <c r="D263" s="10" t="s">
        <v>308</v>
      </c>
      <c r="E263" s="41" t="str">
        <f t="shared" si="1"/>
        <v>PROX3</v>
      </c>
    </row>
    <row r="264" ht="15.75" customHeight="1">
      <c r="A264" s="10" t="s">
        <v>37</v>
      </c>
      <c r="B264" s="10" t="s">
        <v>117</v>
      </c>
      <c r="C264" s="41">
        <f t="array" ref="C264">IF(IFERROR(INDEX(CATALOG_POINTS,MATCH(A264,CATALOG_TASK,0)),"")="",IF(MAX(IF(IFERROR(FIND(CATALOG_BASE,A264),0)=1,CATALOG_POINTS,0))=0,DAILY_POST_POINTS,MAX(IF(IFERROR(FIND(CATALOG_BASE,A264),0)=1,CATALOG_POINTS,0))),IFERROR(INDEX(CATALOG_POINTS,MATCH(A264,CATALOG_TASK,0)),""))</f>
        <v>2</v>
      </c>
      <c r="D264" s="10" t="s">
        <v>308</v>
      </c>
      <c r="E264" s="41" t="str">
        <f t="shared" si="1"/>
        <v>PROX3</v>
      </c>
    </row>
    <row r="265" ht="15.75" customHeight="1">
      <c r="A265" s="10" t="s">
        <v>309</v>
      </c>
      <c r="B265" s="10" t="s">
        <v>119</v>
      </c>
      <c r="C265" s="41">
        <f t="array" ref="C265">IF(IFERROR(INDEX(CATALOG_POINTS,MATCH(A265,CATALOG_TASK,0)),"")="",IF(MAX(IF(IFERROR(FIND(CATALOG_BASE,A265),0)=1,CATALOG_POINTS,0))=0,DAILY_POST_POINTS,MAX(IF(IFERROR(FIND(CATALOG_BASE,A265),0)=1,CATALOG_POINTS,0))),IFERROR(INDEX(CATALOG_POINTS,MATCH(A265,CATALOG_TASK,0)),""))</f>
        <v>1</v>
      </c>
      <c r="D265" s="10" t="s">
        <v>309</v>
      </c>
      <c r="E265" s="41" t="str">
        <f t="shared" si="1"/>
        <v>PROX3</v>
      </c>
    </row>
    <row r="266" ht="15.75" customHeight="1">
      <c r="A266" s="10" t="s">
        <v>310</v>
      </c>
      <c r="B266" s="10" t="s">
        <v>117</v>
      </c>
      <c r="C266" s="41">
        <f t="array" ref="C266">IF(IFERROR(INDEX(CATALOG_POINTS,MATCH(A266,CATALOG_TASK,0)),"")="",IF(MAX(IF(IFERROR(FIND(CATALOG_BASE,A266),0)=1,CATALOG_POINTS,0))=0,DAILY_POST_POINTS,MAX(IF(IFERROR(FIND(CATALOG_BASE,A266),0)=1,CATALOG_POINTS,0))),IFERROR(INDEX(CATALOG_POINTS,MATCH(A266,CATALOG_TASK,0)),""))</f>
        <v>1</v>
      </c>
      <c r="D266" s="10" t="s">
        <v>311</v>
      </c>
      <c r="E266" s="41" t="str">
        <f t="shared" si="1"/>
        <v>PROX3</v>
      </c>
    </row>
    <row r="267" ht="15.75" customHeight="1">
      <c r="A267" s="10" t="s">
        <v>311</v>
      </c>
      <c r="B267" s="10" t="s">
        <v>119</v>
      </c>
      <c r="C267" s="41">
        <f t="array" ref="C267">IF(IFERROR(INDEX(CATALOG_POINTS,MATCH(A267,CATALOG_TASK,0)),"")="",IF(MAX(IF(IFERROR(FIND(CATALOG_BASE,A267),0)=1,CATALOG_POINTS,0))=0,DAILY_POST_POINTS,MAX(IF(IFERROR(FIND(CATALOG_BASE,A267),0)=1,CATALOG_POINTS,0))),IFERROR(INDEX(CATALOG_POINTS,MATCH(A267,CATALOG_TASK,0)),""))</f>
        <v>1</v>
      </c>
      <c r="D267" s="10" t="s">
        <v>311</v>
      </c>
      <c r="E267" s="41" t="str">
        <f t="shared" si="1"/>
        <v>PROX3</v>
      </c>
    </row>
    <row r="268" ht="15.75" customHeight="1">
      <c r="A268" s="10" t="s">
        <v>312</v>
      </c>
      <c r="B268" s="10" t="s">
        <v>127</v>
      </c>
      <c r="C268" s="41">
        <f t="array" ref="C268">IF(IFERROR(INDEX(CATALOG_POINTS,MATCH(A268,CATALOG_TASK,0)),"")="",IF(MAX(IF(IFERROR(FIND(CATALOG_BASE,A268),0)=1,CATALOG_POINTS,0))=0,DAILY_POST_POINTS,MAX(IF(IFERROR(FIND(CATALOG_BASE,A268),0)=1,CATALOG_POINTS,0))),IFERROR(INDEX(CATALOG_POINTS,MATCH(A268,CATALOG_TASK,0)),""))</f>
        <v>1</v>
      </c>
      <c r="D268" s="10" t="s">
        <v>311</v>
      </c>
      <c r="E268" s="41" t="str">
        <f t="shared" si="1"/>
        <v>PROX3</v>
      </c>
    </row>
    <row r="269" ht="15.75" customHeight="1">
      <c r="A269" s="10" t="s">
        <v>313</v>
      </c>
      <c r="B269" s="10" t="s">
        <v>129</v>
      </c>
      <c r="C269" s="41">
        <f t="array" ref="C269">IF(IFERROR(INDEX(CATALOG_POINTS,MATCH(A269,CATALOG_TASK,0)),"")="",IF(MAX(IF(IFERROR(FIND(CATALOG_BASE,A269),0)=1,CATALOG_POINTS,0))=0,DAILY_POST_POINTS,MAX(IF(IFERROR(FIND(CATALOG_BASE,A269),0)=1,CATALOG_POINTS,0))),IFERROR(INDEX(CATALOG_POINTS,MATCH(A269,CATALOG_TASK,0)),""))</f>
        <v>1</v>
      </c>
      <c r="D269" s="10" t="s">
        <v>313</v>
      </c>
      <c r="E269" s="41" t="str">
        <f t="shared" si="1"/>
        <v>PROX3</v>
      </c>
    </row>
    <row r="270" ht="15.75" customHeight="1">
      <c r="A270" s="10" t="s">
        <v>314</v>
      </c>
      <c r="B270" s="10" t="s">
        <v>137</v>
      </c>
      <c r="C270" s="41">
        <f t="array" ref="C270">IF(IFERROR(INDEX(CATALOG_POINTS,MATCH(A270,CATALOG_TASK,0)),"")="",IF(MAX(IF(IFERROR(FIND(CATALOG_BASE,A270),0)=1,CATALOG_POINTS,0))=0,DAILY_POST_POINTS,MAX(IF(IFERROR(FIND(CATALOG_BASE,A270),0)=1,CATALOG_POINTS,0))),IFERROR(INDEX(CATALOG_POINTS,MATCH(A270,CATALOG_TASK,0)),""))</f>
        <v>1</v>
      </c>
      <c r="D270" s="10" t="s">
        <v>315</v>
      </c>
      <c r="E270" s="41" t="str">
        <f t="shared" si="1"/>
        <v/>
      </c>
    </row>
    <row r="271" ht="15.75" customHeight="1">
      <c r="A271" s="10" t="s">
        <v>316</v>
      </c>
      <c r="B271" s="10" t="s">
        <v>129</v>
      </c>
      <c r="C271" s="41">
        <f t="array" ref="C271">IF(IFERROR(INDEX(CATALOG_POINTS,MATCH(A271,CATALOG_TASK,0)),"")="",IF(MAX(IF(IFERROR(FIND(CATALOG_BASE,A271),0)=1,CATALOG_POINTS,0))=0,DAILY_POST_POINTS,MAX(IF(IFERROR(FIND(CATALOG_BASE,A271),0)=1,CATALOG_POINTS,0))),IFERROR(INDEX(CATALOG_POINTS,MATCH(A271,CATALOG_TASK,0)),""))</f>
        <v>1</v>
      </c>
      <c r="D271" s="10" t="s">
        <v>316</v>
      </c>
      <c r="E271" s="41" t="str">
        <f t="shared" si="1"/>
        <v>PROX3</v>
      </c>
    </row>
    <row r="272" ht="15.75" customHeight="1">
      <c r="A272" s="10" t="s">
        <v>168</v>
      </c>
      <c r="B272" s="10" t="s">
        <v>126</v>
      </c>
      <c r="C272" s="41">
        <f t="array" ref="C272">IF(IFERROR(INDEX(CATALOG_POINTS,MATCH(A272,CATALOG_TASK,0)),"")="",IF(MAX(IF(IFERROR(FIND(CATALOG_BASE,A272),0)=1,CATALOG_POINTS,0))=0,DAILY_POST_POINTS,MAX(IF(IFERROR(FIND(CATALOG_BASE,A272),0)=1,CATALOG_POINTS,0))),IFERROR(INDEX(CATALOG_POINTS,MATCH(A272,CATALOG_TASK,0)),""))</f>
        <v>1</v>
      </c>
      <c r="D272" s="10" t="s">
        <v>317</v>
      </c>
      <c r="E272" s="41" t="str">
        <f t="shared" si="1"/>
        <v>PROX3</v>
      </c>
    </row>
    <row r="273" ht="15.75" customHeight="1">
      <c r="A273" s="10" t="s">
        <v>317</v>
      </c>
      <c r="B273" s="10" t="s">
        <v>122</v>
      </c>
      <c r="C273" s="41">
        <f t="array" ref="C273">IF(IFERROR(INDEX(CATALOG_POINTS,MATCH(A273,CATALOG_TASK,0)),"")="",IF(MAX(IF(IFERROR(FIND(CATALOG_BASE,A273),0)=1,CATALOG_POINTS,0))=0,DAILY_POST_POINTS,MAX(IF(IFERROR(FIND(CATALOG_BASE,A273),0)=1,CATALOG_POINTS,0))),IFERROR(INDEX(CATALOG_POINTS,MATCH(A273,CATALOG_TASK,0)),""))</f>
        <v>1</v>
      </c>
      <c r="D273" s="10" t="s">
        <v>317</v>
      </c>
      <c r="E273" s="41" t="str">
        <f t="shared" si="1"/>
        <v>PROX3</v>
      </c>
    </row>
    <row r="274" ht="15.75" customHeight="1">
      <c r="A274" s="10" t="s">
        <v>37</v>
      </c>
      <c r="B274" s="10" t="s">
        <v>121</v>
      </c>
      <c r="C274" s="41">
        <f t="array" ref="C274">IF(IFERROR(INDEX(CATALOG_POINTS,MATCH(A274,CATALOG_TASK,0)),"")="",IF(MAX(IF(IFERROR(FIND(CATALOG_BASE,A274),0)=1,CATALOG_POINTS,0))=0,DAILY_POST_POINTS,MAX(IF(IFERROR(FIND(CATALOG_BASE,A274),0)=1,CATALOG_POINTS,0))),IFERROR(INDEX(CATALOG_POINTS,MATCH(A274,CATALOG_TASK,0)),""))</f>
        <v>2</v>
      </c>
      <c r="D274" s="10" t="s">
        <v>317</v>
      </c>
      <c r="E274" s="41" t="str">
        <f t="shared" si="1"/>
        <v>PROX3</v>
      </c>
    </row>
    <row r="275" ht="15.75" customHeight="1">
      <c r="A275" s="10" t="s">
        <v>37</v>
      </c>
      <c r="B275" s="10" t="s">
        <v>126</v>
      </c>
      <c r="C275" s="41">
        <f t="array" ref="C275">IF(IFERROR(INDEX(CATALOG_POINTS,MATCH(A275,CATALOG_TASK,0)),"")="",IF(MAX(IF(IFERROR(FIND(CATALOG_BASE,A275),0)=1,CATALOG_POINTS,0))=0,DAILY_POST_POINTS,MAX(IF(IFERROR(FIND(CATALOG_BASE,A275),0)=1,CATALOG_POINTS,0))),IFERROR(INDEX(CATALOG_POINTS,MATCH(A275,CATALOG_TASK,0)),""))</f>
        <v>2</v>
      </c>
      <c r="D275" s="10" t="s">
        <v>317</v>
      </c>
      <c r="E275" s="41" t="str">
        <f t="shared" si="1"/>
        <v>PROX3</v>
      </c>
    </row>
    <row r="276" ht="15.75" customHeight="1">
      <c r="A276" s="10" t="s">
        <v>318</v>
      </c>
      <c r="B276" s="10" t="s">
        <v>117</v>
      </c>
      <c r="C276" s="41">
        <f t="array" ref="C276">IF(IFERROR(INDEX(CATALOG_POINTS,MATCH(A276,CATALOG_TASK,0)),"")="",IF(MAX(IF(IFERROR(FIND(CATALOG_BASE,A276),0)=1,CATALOG_POINTS,0))=0,DAILY_POST_POINTS,MAX(IF(IFERROR(FIND(CATALOG_BASE,A276),0)=1,CATALOG_POINTS,0))),IFERROR(INDEX(CATALOG_POINTS,MATCH(A276,CATALOG_TASK,0)),""))</f>
        <v>1</v>
      </c>
      <c r="D276" s="10" t="s">
        <v>318</v>
      </c>
      <c r="E276" s="41" t="str">
        <f t="shared" si="1"/>
        <v>PROX3</v>
      </c>
    </row>
    <row r="277" ht="15.75" customHeight="1">
      <c r="A277" s="10" t="s">
        <v>168</v>
      </c>
      <c r="B277" s="10" t="s">
        <v>126</v>
      </c>
      <c r="C277" s="41">
        <f t="array" ref="C277">IF(IFERROR(INDEX(CATALOG_POINTS,MATCH(A277,CATALOG_TASK,0)),"")="",IF(MAX(IF(IFERROR(FIND(CATALOG_BASE,A277),0)=1,CATALOG_POINTS,0))=0,DAILY_POST_POINTS,MAX(IF(IFERROR(FIND(CATALOG_BASE,A277),0)=1,CATALOG_POINTS,0))),IFERROR(INDEX(CATALOG_POINTS,MATCH(A277,CATALOG_TASK,0)),""))</f>
        <v>1</v>
      </c>
      <c r="D277" s="10" t="s">
        <v>319</v>
      </c>
      <c r="E277" s="41" t="str">
        <f t="shared" si="1"/>
        <v>PROX3</v>
      </c>
    </row>
    <row r="278" ht="15.75" customHeight="1">
      <c r="A278" s="10" t="s">
        <v>170</v>
      </c>
      <c r="B278" s="10" t="s">
        <v>121</v>
      </c>
      <c r="C278" s="41">
        <f t="array" ref="C278">IF(IFERROR(INDEX(CATALOG_POINTS,MATCH(A278,CATALOG_TASK,0)),"")="",IF(MAX(IF(IFERROR(FIND(CATALOG_BASE,A278),0)=1,CATALOG_POINTS,0))=0,DAILY_POST_POINTS,MAX(IF(IFERROR(FIND(CATALOG_BASE,A278),0)=1,CATALOG_POINTS,0))),IFERROR(INDEX(CATALOG_POINTS,MATCH(A278,CATALOG_TASK,0)),""))</f>
        <v>1</v>
      </c>
      <c r="D278" s="10" t="s">
        <v>319</v>
      </c>
      <c r="E278" s="41" t="str">
        <f t="shared" si="1"/>
        <v>PROX3</v>
      </c>
    </row>
    <row r="279" ht="15.75" customHeight="1">
      <c r="A279" s="10" t="s">
        <v>170</v>
      </c>
      <c r="B279" s="10" t="s">
        <v>120</v>
      </c>
      <c r="C279" s="41">
        <f t="array" ref="C279">IF(IFERROR(INDEX(CATALOG_POINTS,MATCH(A279,CATALOG_TASK,0)),"")="",IF(MAX(IF(IFERROR(FIND(CATALOG_BASE,A279),0)=1,CATALOG_POINTS,0))=0,DAILY_POST_POINTS,MAX(IF(IFERROR(FIND(CATALOG_BASE,A279),0)=1,CATALOG_POINTS,0))),IFERROR(INDEX(CATALOG_POINTS,MATCH(A279,CATALOG_TASK,0)),""))</f>
        <v>1</v>
      </c>
      <c r="D279" s="10" t="s">
        <v>319</v>
      </c>
      <c r="E279" s="41" t="str">
        <f t="shared" si="1"/>
        <v>PROX3</v>
      </c>
    </row>
    <row r="280" ht="15.75" customHeight="1">
      <c r="A280" s="10" t="s">
        <v>170</v>
      </c>
      <c r="B280" s="10" t="s">
        <v>126</v>
      </c>
      <c r="C280" s="41">
        <f t="array" ref="C280">IF(IFERROR(INDEX(CATALOG_POINTS,MATCH(A280,CATALOG_TASK,0)),"")="",IF(MAX(IF(IFERROR(FIND(CATALOG_BASE,A280),0)=1,CATALOG_POINTS,0))=0,DAILY_POST_POINTS,MAX(IF(IFERROR(FIND(CATALOG_BASE,A280),0)=1,CATALOG_POINTS,0))),IFERROR(INDEX(CATALOG_POINTS,MATCH(A280,CATALOG_TASK,0)),""))</f>
        <v>1</v>
      </c>
      <c r="D280" s="10" t="s">
        <v>319</v>
      </c>
      <c r="E280" s="41" t="str">
        <f t="shared" si="1"/>
        <v>PROX3</v>
      </c>
    </row>
    <row r="281" ht="15.75" customHeight="1">
      <c r="A281" s="10" t="s">
        <v>319</v>
      </c>
      <c r="B281" s="10" t="s">
        <v>117</v>
      </c>
      <c r="C281" s="41">
        <f t="array" ref="C281">IF(IFERROR(INDEX(CATALOG_POINTS,MATCH(A281,CATALOG_TASK,0)),"")="",IF(MAX(IF(IFERROR(FIND(CATALOG_BASE,A281),0)=1,CATALOG_POINTS,0))=0,DAILY_POST_POINTS,MAX(IF(IFERROR(FIND(CATALOG_BASE,A281),0)=1,CATALOG_POINTS,0))),IFERROR(INDEX(CATALOG_POINTS,MATCH(A281,CATALOG_TASK,0)),""))</f>
        <v>1</v>
      </c>
      <c r="D281" s="10" t="s">
        <v>319</v>
      </c>
      <c r="E281" s="41" t="str">
        <f t="shared" si="1"/>
        <v>PROX3</v>
      </c>
    </row>
    <row r="282" ht="15.75" customHeight="1">
      <c r="A282" s="10" t="s">
        <v>320</v>
      </c>
      <c r="B282" s="10" t="s">
        <v>121</v>
      </c>
      <c r="C282" s="41">
        <f t="array" ref="C282">IF(IFERROR(INDEX(CATALOG_POINTS,MATCH(A282,CATALOG_TASK,0)),"")="",IF(MAX(IF(IFERROR(FIND(CATALOG_BASE,A282),0)=1,CATALOG_POINTS,0))=0,DAILY_POST_POINTS,MAX(IF(IFERROR(FIND(CATALOG_BASE,A282),0)=1,CATALOG_POINTS,0))),IFERROR(INDEX(CATALOG_POINTS,MATCH(A282,CATALOG_TASK,0)),""))</f>
        <v>1</v>
      </c>
      <c r="D282" s="10" t="s">
        <v>320</v>
      </c>
      <c r="E282" s="41" t="str">
        <f t="shared" si="1"/>
        <v>PROX3</v>
      </c>
    </row>
    <row r="283" ht="15.75" customHeight="1">
      <c r="A283" s="10" t="s">
        <v>168</v>
      </c>
      <c r="B283" s="10" t="s">
        <v>122</v>
      </c>
      <c r="C283" s="41">
        <f t="array" ref="C283">IF(IFERROR(INDEX(CATALOG_POINTS,MATCH(A283,CATALOG_TASK,0)),"")="",IF(MAX(IF(IFERROR(FIND(CATALOG_BASE,A283),0)=1,CATALOG_POINTS,0))=0,DAILY_POST_POINTS,MAX(IF(IFERROR(FIND(CATALOG_BASE,A283),0)=1,CATALOG_POINTS,0))),IFERROR(INDEX(CATALOG_POINTS,MATCH(A283,CATALOG_TASK,0)),""))</f>
        <v>1</v>
      </c>
      <c r="D283" s="10" t="s">
        <v>321</v>
      </c>
      <c r="E283" s="41" t="str">
        <f t="shared" si="1"/>
        <v>PROX3</v>
      </c>
    </row>
    <row r="284" ht="15.75" customHeight="1">
      <c r="A284" s="10" t="s">
        <v>37</v>
      </c>
      <c r="B284" s="10" t="s">
        <v>119</v>
      </c>
      <c r="C284" s="41">
        <f t="array" ref="C284">IF(IFERROR(INDEX(CATALOG_POINTS,MATCH(A284,CATALOG_TASK,0)),"")="",IF(MAX(IF(IFERROR(FIND(CATALOG_BASE,A284),0)=1,CATALOG_POINTS,0))=0,DAILY_POST_POINTS,MAX(IF(IFERROR(FIND(CATALOG_BASE,A284),0)=1,CATALOG_POINTS,0))),IFERROR(INDEX(CATALOG_POINTS,MATCH(A284,CATALOG_TASK,0)),""))</f>
        <v>2</v>
      </c>
      <c r="D284" s="10" t="s">
        <v>321</v>
      </c>
      <c r="E284" s="41" t="str">
        <f t="shared" si="1"/>
        <v>PROX3</v>
      </c>
    </row>
    <row r="285" ht="15.75" customHeight="1">
      <c r="A285" s="10" t="s">
        <v>321</v>
      </c>
      <c r="B285" s="10" t="s">
        <v>125</v>
      </c>
      <c r="C285" s="41">
        <f t="array" ref="C285">IF(IFERROR(INDEX(CATALOG_POINTS,MATCH(A285,CATALOG_TASK,0)),"")="",IF(MAX(IF(IFERROR(FIND(CATALOG_BASE,A285),0)=1,CATALOG_POINTS,0))=0,DAILY_POST_POINTS,MAX(IF(IFERROR(FIND(CATALOG_BASE,A285),0)=1,CATALOG_POINTS,0))),IFERROR(INDEX(CATALOG_POINTS,MATCH(A285,CATALOG_TASK,0)),""))</f>
        <v>1</v>
      </c>
      <c r="D285" s="10" t="s">
        <v>321</v>
      </c>
      <c r="E285" s="41" t="str">
        <f t="shared" si="1"/>
        <v>PROX3</v>
      </c>
    </row>
    <row r="286" ht="15.75" customHeight="1">
      <c r="A286" s="10" t="s">
        <v>37</v>
      </c>
      <c r="B286" s="10" t="s">
        <v>122</v>
      </c>
      <c r="C286" s="41">
        <f t="array" ref="C286">IF(IFERROR(INDEX(CATALOG_POINTS,MATCH(A286,CATALOG_TASK,0)),"")="",IF(MAX(IF(IFERROR(FIND(CATALOG_BASE,A286),0)=1,CATALOG_POINTS,0))=0,DAILY_POST_POINTS,MAX(IF(IFERROR(FIND(CATALOG_BASE,A286),0)=1,CATALOG_POINTS,0))),IFERROR(INDEX(CATALOG_POINTS,MATCH(A286,CATALOG_TASK,0)),""))</f>
        <v>2</v>
      </c>
      <c r="D286" s="10" t="s">
        <v>321</v>
      </c>
      <c r="E286" s="41" t="str">
        <f t="shared" si="1"/>
        <v>PROX3</v>
      </c>
    </row>
    <row r="287" ht="15.75" customHeight="1">
      <c r="A287" s="10" t="s">
        <v>322</v>
      </c>
      <c r="B287" s="10" t="s">
        <v>132</v>
      </c>
      <c r="C287" s="41">
        <f t="array" ref="C287">IF(IFERROR(INDEX(CATALOG_POINTS,MATCH(A287,CATALOG_TASK,0)),"")="",IF(MAX(IF(IFERROR(FIND(CATALOG_BASE,A287),0)=1,CATALOG_POINTS,0))=0,DAILY_POST_POINTS,MAX(IF(IFERROR(FIND(CATALOG_BASE,A287),0)=1,CATALOG_POINTS,0))),IFERROR(INDEX(CATALOG_POINTS,MATCH(A287,CATALOG_TASK,0)),""))</f>
        <v>1</v>
      </c>
      <c r="D287" s="10" t="s">
        <v>322</v>
      </c>
      <c r="E287" s="41" t="str">
        <f t="shared" si="1"/>
        <v/>
      </c>
    </row>
    <row r="288" ht="15.75" customHeight="1">
      <c r="A288" s="10" t="s">
        <v>37</v>
      </c>
      <c r="B288" s="10" t="s">
        <v>117</v>
      </c>
      <c r="C288" s="41">
        <f t="array" ref="C288">IF(IFERROR(INDEX(CATALOG_POINTS,MATCH(A288,CATALOG_TASK,0)),"")="",IF(MAX(IF(IFERROR(FIND(CATALOG_BASE,A288),0)=1,CATALOG_POINTS,0))=0,DAILY_POST_POINTS,MAX(IF(IFERROR(FIND(CATALOG_BASE,A288),0)=1,CATALOG_POINTS,0))),IFERROR(INDEX(CATALOG_POINTS,MATCH(A288,CATALOG_TASK,0)),""))</f>
        <v>2</v>
      </c>
      <c r="D288" s="10" t="s">
        <v>322</v>
      </c>
      <c r="E288" s="41" t="str">
        <f t="shared" si="1"/>
        <v/>
      </c>
    </row>
    <row r="289" ht="15.75" customHeight="1">
      <c r="A289" s="10" t="s">
        <v>323</v>
      </c>
      <c r="B289" s="10" t="s">
        <v>117</v>
      </c>
      <c r="C289" s="41">
        <f t="array" ref="C289">IF(IFERROR(INDEX(CATALOG_POINTS,MATCH(A289,CATALOG_TASK,0)),"")="",IF(MAX(IF(IFERROR(FIND(CATALOG_BASE,A289),0)=1,CATALOG_POINTS,0))=0,DAILY_POST_POINTS,MAX(IF(IFERROR(FIND(CATALOG_BASE,A289),0)=1,CATALOG_POINTS,0))),IFERROR(INDEX(CATALOG_POINTS,MATCH(A289,CATALOG_TASK,0)),""))</f>
        <v>1</v>
      </c>
      <c r="D289" s="10" t="s">
        <v>323</v>
      </c>
      <c r="E289" s="41" t="str">
        <f t="shared" si="1"/>
        <v>PROX3</v>
      </c>
    </row>
    <row r="290" ht="15.75" customHeight="1">
      <c r="A290" s="10" t="s">
        <v>324</v>
      </c>
      <c r="B290" s="10" t="s">
        <v>128</v>
      </c>
      <c r="C290" s="41">
        <f t="array" ref="C290">IF(IFERROR(INDEX(CATALOG_POINTS,MATCH(A290,CATALOG_TASK,0)),"")="",IF(MAX(IF(IFERROR(FIND(CATALOG_BASE,A290),0)=1,CATALOG_POINTS,0))=0,DAILY_POST_POINTS,MAX(IF(IFERROR(FIND(CATALOG_BASE,A290),0)=1,CATALOG_POINTS,0))),IFERROR(INDEX(CATALOG_POINTS,MATCH(A290,CATALOG_TASK,0)),""))</f>
        <v>1</v>
      </c>
      <c r="D290" s="10" t="s">
        <v>324</v>
      </c>
      <c r="E290" s="41" t="str">
        <f t="shared" si="1"/>
        <v>PROX3</v>
      </c>
    </row>
    <row r="291" ht="15.75" customHeight="1">
      <c r="A291" s="10" t="s">
        <v>37</v>
      </c>
      <c r="B291" s="10" t="s">
        <v>126</v>
      </c>
      <c r="C291" s="41">
        <f t="array" ref="C291">IF(IFERROR(INDEX(CATALOG_POINTS,MATCH(A291,CATALOG_TASK,0)),"")="",IF(MAX(IF(IFERROR(FIND(CATALOG_BASE,A291),0)=1,CATALOG_POINTS,0))=0,DAILY_POST_POINTS,MAX(IF(IFERROR(FIND(CATALOG_BASE,A291),0)=1,CATALOG_POINTS,0))),IFERROR(INDEX(CATALOG_POINTS,MATCH(A291,CATALOG_TASK,0)),""))</f>
        <v>2</v>
      </c>
      <c r="D291" s="10" t="s">
        <v>324</v>
      </c>
      <c r="E291" s="41" t="str">
        <f t="shared" si="1"/>
        <v>PROX3</v>
      </c>
    </row>
    <row r="292" ht="15.75" customHeight="1">
      <c r="A292" s="10" t="s">
        <v>325</v>
      </c>
      <c r="B292" s="10" t="s">
        <v>117</v>
      </c>
      <c r="C292" s="41">
        <f t="array" ref="C292">IF(IFERROR(INDEX(CATALOG_POINTS,MATCH(A292,CATALOG_TASK,0)),"")="",IF(MAX(IF(IFERROR(FIND(CATALOG_BASE,A292),0)=1,CATALOG_POINTS,0))=0,DAILY_POST_POINTS,MAX(IF(IFERROR(FIND(CATALOG_BASE,A292),0)=1,CATALOG_POINTS,0))),IFERROR(INDEX(CATALOG_POINTS,MATCH(A292,CATALOG_TASK,0)),""))</f>
        <v>1</v>
      </c>
      <c r="D292" s="10" t="s">
        <v>325</v>
      </c>
      <c r="E292" s="41" t="str">
        <f t="shared" si="1"/>
        <v>PROX3</v>
      </c>
    </row>
    <row r="293" ht="15.75" customHeight="1">
      <c r="A293" s="10" t="s">
        <v>326</v>
      </c>
      <c r="B293" s="10" t="s">
        <v>133</v>
      </c>
      <c r="C293" s="41">
        <f t="array" ref="C293">IF(IFERROR(INDEX(CATALOG_POINTS,MATCH(A293,CATALOG_TASK,0)),"")="",IF(MAX(IF(IFERROR(FIND(CATALOG_BASE,A293),0)=1,CATALOG_POINTS,0))=0,DAILY_POST_POINTS,MAX(IF(IFERROR(FIND(CATALOG_BASE,A293),0)=1,CATALOG_POINTS,0))),IFERROR(INDEX(CATALOG_POINTS,MATCH(A293,CATALOG_TASK,0)),""))</f>
        <v>1</v>
      </c>
      <c r="D293" s="10" t="s">
        <v>326</v>
      </c>
      <c r="E293" s="41" t="str">
        <f t="shared" si="1"/>
        <v>PROX3</v>
      </c>
    </row>
    <row r="294" ht="15.75" customHeight="1">
      <c r="A294" s="10" t="s">
        <v>24</v>
      </c>
      <c r="B294" s="10" t="s">
        <v>117</v>
      </c>
      <c r="C294" s="41">
        <f t="array" ref="C294">IF(IFERROR(INDEX(CATALOG_POINTS,MATCH(A294,CATALOG_TASK,0)),"")="",IF(MAX(IF(IFERROR(FIND(CATALOG_BASE,A294),0)=1,CATALOG_POINTS,0))=0,DAILY_POST_POINTS,MAX(IF(IFERROR(FIND(CATALOG_BASE,A294),0)=1,CATALOG_POINTS,0))),IFERROR(INDEX(CATALOG_POINTS,MATCH(A294,CATALOG_TASK,0)),""))</f>
        <v>2</v>
      </c>
      <c r="D294" s="10" t="s">
        <v>327</v>
      </c>
      <c r="E294" s="41" t="str">
        <f t="shared" si="1"/>
        <v>PROX3</v>
      </c>
    </row>
    <row r="295" ht="15.75" customHeight="1">
      <c r="A295" s="10" t="s">
        <v>328</v>
      </c>
      <c r="B295" s="10" t="s">
        <v>131</v>
      </c>
      <c r="C295" s="41">
        <f t="array" ref="C295">IF(IFERROR(INDEX(CATALOG_POINTS,MATCH(A295,CATALOG_TASK,0)),"")="",IF(MAX(IF(IFERROR(FIND(CATALOG_BASE,A295),0)=1,CATALOG_POINTS,0))=0,DAILY_POST_POINTS,MAX(IF(IFERROR(FIND(CATALOG_BASE,A295),0)=1,CATALOG_POINTS,0))),IFERROR(INDEX(CATALOG_POINTS,MATCH(A295,CATALOG_TASK,0)),""))</f>
        <v>1</v>
      </c>
      <c r="D295" s="10" t="s">
        <v>328</v>
      </c>
      <c r="E295" s="41" t="str">
        <f t="shared" si="1"/>
        <v>PROX3</v>
      </c>
    </row>
    <row r="296" ht="15.75" customHeight="1">
      <c r="A296" s="10" t="s">
        <v>329</v>
      </c>
      <c r="B296" s="10" t="s">
        <v>126</v>
      </c>
      <c r="C296" s="41">
        <f t="array" ref="C296">IF(IFERROR(INDEX(CATALOG_POINTS,MATCH(A296,CATALOG_TASK,0)),"")="",IF(MAX(IF(IFERROR(FIND(CATALOG_BASE,A296),0)=1,CATALOG_POINTS,0))=0,DAILY_POST_POINTS,MAX(IF(IFERROR(FIND(CATALOG_BASE,A296),0)=1,CATALOG_POINTS,0))),IFERROR(INDEX(CATALOG_POINTS,MATCH(A296,CATALOG_TASK,0)),""))</f>
        <v>1</v>
      </c>
      <c r="D296" s="10" t="s">
        <v>330</v>
      </c>
      <c r="E296" s="41" t="str">
        <f t="shared" si="1"/>
        <v>PROX3</v>
      </c>
    </row>
    <row r="297" ht="15.75" customHeight="1">
      <c r="A297" s="10" t="s">
        <v>168</v>
      </c>
      <c r="B297" s="10" t="s">
        <v>125</v>
      </c>
      <c r="C297" s="41">
        <f t="array" ref="C297">IF(IFERROR(INDEX(CATALOG_POINTS,MATCH(A297,CATALOG_TASK,0)),"")="",IF(MAX(IF(IFERROR(FIND(CATALOG_BASE,A297),0)=1,CATALOG_POINTS,0))=0,DAILY_POST_POINTS,MAX(IF(IFERROR(FIND(CATALOG_BASE,A297),0)=1,CATALOG_POINTS,0))),IFERROR(INDEX(CATALOG_POINTS,MATCH(A297,CATALOG_TASK,0)),""))</f>
        <v>1</v>
      </c>
      <c r="D297" s="10" t="s">
        <v>330</v>
      </c>
      <c r="E297" s="41" t="str">
        <f t="shared" si="1"/>
        <v>PROX3</v>
      </c>
    </row>
    <row r="298" ht="15.75" customHeight="1">
      <c r="A298" s="10" t="s">
        <v>174</v>
      </c>
      <c r="B298" s="10" t="s">
        <v>126</v>
      </c>
      <c r="C298" s="41">
        <f t="array" ref="C298">IF(IFERROR(INDEX(CATALOG_POINTS,MATCH(A298,CATALOG_TASK,0)),"")="",IF(MAX(IF(IFERROR(FIND(CATALOG_BASE,A298),0)=1,CATALOG_POINTS,0))=0,DAILY_POST_POINTS,MAX(IF(IFERROR(FIND(CATALOG_BASE,A298),0)=1,CATALOG_POINTS,0))),IFERROR(INDEX(CATALOG_POINTS,MATCH(A298,CATALOG_TASK,0)),""))</f>
        <v>1</v>
      </c>
      <c r="D298" s="10" t="s">
        <v>330</v>
      </c>
      <c r="E298" s="41" t="str">
        <f t="shared" si="1"/>
        <v>PROX3</v>
      </c>
    </row>
    <row r="299" ht="15.75" customHeight="1">
      <c r="A299" s="10" t="s">
        <v>178</v>
      </c>
      <c r="B299" s="10" t="s">
        <v>124</v>
      </c>
      <c r="C299" s="41">
        <f t="array" ref="C299">IF(IFERROR(INDEX(CATALOG_POINTS,MATCH(A299,CATALOG_TASK,0)),"")="",IF(MAX(IF(IFERROR(FIND(CATALOG_BASE,A299),0)=1,CATALOG_POINTS,0))=0,DAILY_POST_POINTS,MAX(IF(IFERROR(FIND(CATALOG_BASE,A299),0)=1,CATALOG_POINTS,0))),IFERROR(INDEX(CATALOG_POINTS,MATCH(A299,CATALOG_TASK,0)),""))</f>
        <v>1</v>
      </c>
      <c r="D299" s="10" t="s">
        <v>330</v>
      </c>
      <c r="E299" s="41" t="str">
        <f t="shared" si="1"/>
        <v>PROX3</v>
      </c>
    </row>
    <row r="300" ht="15.75" customHeight="1">
      <c r="A300" s="10" t="s">
        <v>34</v>
      </c>
      <c r="B300" s="10" t="s">
        <v>119</v>
      </c>
      <c r="C300" s="41">
        <f t="array" ref="C300">IF(IFERROR(INDEX(CATALOG_POINTS,MATCH(A300,CATALOG_TASK,0)),"")="",IF(MAX(IF(IFERROR(FIND(CATALOG_BASE,A300),0)=1,CATALOG_POINTS,0))=0,DAILY_POST_POINTS,MAX(IF(IFERROR(FIND(CATALOG_BASE,A300),0)=1,CATALOG_POINTS,0))),IFERROR(INDEX(CATALOG_POINTS,MATCH(A300,CATALOG_TASK,0)),""))</f>
        <v>2</v>
      </c>
      <c r="D300" s="10" t="s">
        <v>330</v>
      </c>
      <c r="E300" s="41" t="str">
        <f t="shared" si="1"/>
        <v>PROX3</v>
      </c>
    </row>
    <row r="301" ht="15.75" customHeight="1">
      <c r="A301" s="10" t="s">
        <v>168</v>
      </c>
      <c r="B301" s="10" t="s">
        <v>124</v>
      </c>
      <c r="C301" s="41">
        <f t="array" ref="C301">IF(IFERROR(INDEX(CATALOG_POINTS,MATCH(A301,CATALOG_TASK,0)),"")="",IF(MAX(IF(IFERROR(FIND(CATALOG_BASE,A301),0)=1,CATALOG_POINTS,0))=0,DAILY_POST_POINTS,MAX(IF(IFERROR(FIND(CATALOG_BASE,A301),0)=1,CATALOG_POINTS,0))),IFERROR(INDEX(CATALOG_POINTS,MATCH(A301,CATALOG_TASK,0)),""))</f>
        <v>1</v>
      </c>
      <c r="D301" s="10" t="s">
        <v>330</v>
      </c>
      <c r="E301" s="41" t="str">
        <f t="shared" si="1"/>
        <v>PROX3</v>
      </c>
    </row>
    <row r="302" ht="15.75" customHeight="1">
      <c r="A302" s="10" t="s">
        <v>331</v>
      </c>
      <c r="B302" s="10" t="s">
        <v>125</v>
      </c>
      <c r="C302" s="41">
        <f t="array" ref="C302">IF(IFERROR(INDEX(CATALOG_POINTS,MATCH(A302,CATALOG_TASK,0)),"")="",IF(MAX(IF(IFERROR(FIND(CATALOG_BASE,A302),0)=1,CATALOG_POINTS,0))=0,DAILY_POST_POINTS,MAX(IF(IFERROR(FIND(CATALOG_BASE,A302),0)=1,CATALOG_POINTS,0))),IFERROR(INDEX(CATALOG_POINTS,MATCH(A302,CATALOG_TASK,0)),""))</f>
        <v>1</v>
      </c>
      <c r="D302" s="10" t="s">
        <v>330</v>
      </c>
      <c r="E302" s="41" t="str">
        <f t="shared" si="1"/>
        <v>PROX3</v>
      </c>
    </row>
    <row r="303" ht="15.75" customHeight="1">
      <c r="A303" s="10" t="s">
        <v>330</v>
      </c>
      <c r="B303" s="10" t="s">
        <v>123</v>
      </c>
      <c r="C303" s="41">
        <f t="array" ref="C303">IF(IFERROR(INDEX(CATALOG_POINTS,MATCH(A303,CATALOG_TASK,0)),"")="",IF(MAX(IF(IFERROR(FIND(CATALOG_BASE,A303),0)=1,CATALOG_POINTS,0))=0,DAILY_POST_POINTS,MAX(IF(IFERROR(FIND(CATALOG_BASE,A303),0)=1,CATALOG_POINTS,0))),IFERROR(INDEX(CATALOG_POINTS,MATCH(A303,CATALOG_TASK,0)),""))</f>
        <v>1</v>
      </c>
      <c r="D303" s="10" t="s">
        <v>330</v>
      </c>
      <c r="E303" s="41" t="str">
        <f t="shared" si="1"/>
        <v>PROX3</v>
      </c>
    </row>
    <row r="304" ht="15.75" customHeight="1">
      <c r="A304" s="10" t="s">
        <v>170</v>
      </c>
      <c r="B304" s="10" t="s">
        <v>120</v>
      </c>
      <c r="C304" s="41">
        <f t="array" ref="C304">IF(IFERROR(INDEX(CATALOG_POINTS,MATCH(A304,CATALOG_TASK,0)),"")="",IF(MAX(IF(IFERROR(FIND(CATALOG_BASE,A304),0)=1,CATALOG_POINTS,0))=0,DAILY_POST_POINTS,MAX(IF(IFERROR(FIND(CATALOG_BASE,A304),0)=1,CATALOG_POINTS,0))),IFERROR(INDEX(CATALOG_POINTS,MATCH(A304,CATALOG_TASK,0)),""))</f>
        <v>1</v>
      </c>
      <c r="D304" s="10" t="s">
        <v>330</v>
      </c>
      <c r="E304" s="41" t="str">
        <f t="shared" si="1"/>
        <v>PROX3</v>
      </c>
    </row>
    <row r="305" ht="15.75" customHeight="1">
      <c r="A305" s="10" t="s">
        <v>170</v>
      </c>
      <c r="B305" s="10" t="s">
        <v>120</v>
      </c>
      <c r="C305" s="41">
        <f t="array" ref="C305">IF(IFERROR(INDEX(CATALOG_POINTS,MATCH(A305,CATALOG_TASK,0)),"")="",IF(MAX(IF(IFERROR(FIND(CATALOG_BASE,A305),0)=1,CATALOG_POINTS,0))=0,DAILY_POST_POINTS,MAX(IF(IFERROR(FIND(CATALOG_BASE,A305),0)=1,CATALOG_POINTS,0))),IFERROR(INDEX(CATALOG_POINTS,MATCH(A305,CATALOG_TASK,0)),""))</f>
        <v>1</v>
      </c>
      <c r="D305" s="10" t="s">
        <v>330</v>
      </c>
      <c r="E305" s="41" t="str">
        <f t="shared" si="1"/>
        <v>PROX3</v>
      </c>
    </row>
    <row r="306" ht="15.75" customHeight="1">
      <c r="A306" s="10" t="s">
        <v>24</v>
      </c>
      <c r="B306" s="10" t="s">
        <v>123</v>
      </c>
      <c r="C306" s="41">
        <f t="array" ref="C306">IF(IFERROR(INDEX(CATALOG_POINTS,MATCH(A306,CATALOG_TASK,0)),"")="",IF(MAX(IF(IFERROR(FIND(CATALOG_BASE,A306),0)=1,CATALOG_POINTS,0))=0,DAILY_POST_POINTS,MAX(IF(IFERROR(FIND(CATALOG_BASE,A306),0)=1,CATALOG_POINTS,0))),IFERROR(INDEX(CATALOG_POINTS,MATCH(A306,CATALOG_TASK,0)),""))</f>
        <v>2</v>
      </c>
      <c r="D306" s="10" t="s">
        <v>332</v>
      </c>
      <c r="E306" s="41" t="str">
        <f t="shared" si="1"/>
        <v/>
      </c>
    </row>
    <row r="307" ht="15.75" customHeight="1">
      <c r="A307" s="10" t="s">
        <v>168</v>
      </c>
      <c r="B307" s="10" t="s">
        <v>121</v>
      </c>
      <c r="C307" s="41">
        <f t="array" ref="C307">IF(IFERROR(INDEX(CATALOG_POINTS,MATCH(A307,CATALOG_TASK,0)),"")="",IF(MAX(IF(IFERROR(FIND(CATALOG_BASE,A307),0)=1,CATALOG_POINTS,0))=0,DAILY_POST_POINTS,MAX(IF(IFERROR(FIND(CATALOG_BASE,A307),0)=1,CATALOG_POINTS,0))),IFERROR(INDEX(CATALOG_POINTS,MATCH(A307,CATALOG_TASK,0)),""))</f>
        <v>1</v>
      </c>
      <c r="D307" s="10" t="s">
        <v>332</v>
      </c>
      <c r="E307" s="41" t="str">
        <f t="shared" si="1"/>
        <v/>
      </c>
    </row>
    <row r="308" ht="15.75" customHeight="1">
      <c r="A308" s="10" t="s">
        <v>34</v>
      </c>
      <c r="B308" s="10" t="s">
        <v>121</v>
      </c>
      <c r="C308" s="41">
        <f t="array" ref="C308">IF(IFERROR(INDEX(CATALOG_POINTS,MATCH(A308,CATALOG_TASK,0)),"")="",IF(MAX(IF(IFERROR(FIND(CATALOG_BASE,A308),0)=1,CATALOG_POINTS,0))=0,DAILY_POST_POINTS,MAX(IF(IFERROR(FIND(CATALOG_BASE,A308),0)=1,CATALOG_POINTS,0))),IFERROR(INDEX(CATALOG_POINTS,MATCH(A308,CATALOG_TASK,0)),""))</f>
        <v>2</v>
      </c>
      <c r="D308" s="10" t="s">
        <v>332</v>
      </c>
      <c r="E308" s="41" t="str">
        <f t="shared" si="1"/>
        <v/>
      </c>
    </row>
    <row r="309" ht="15.75" customHeight="1">
      <c r="A309" s="10" t="s">
        <v>37</v>
      </c>
      <c r="B309" s="10" t="s">
        <v>119</v>
      </c>
      <c r="C309" s="41">
        <f t="array" ref="C309">IF(IFERROR(INDEX(CATALOG_POINTS,MATCH(A309,CATALOG_TASK,0)),"")="",IF(MAX(IF(IFERROR(FIND(CATALOG_BASE,A309),0)=1,CATALOG_POINTS,0))=0,DAILY_POST_POINTS,MAX(IF(IFERROR(FIND(CATALOG_BASE,A309),0)=1,CATALOG_POINTS,0))),IFERROR(INDEX(CATALOG_POINTS,MATCH(A309,CATALOG_TASK,0)),""))</f>
        <v>2</v>
      </c>
      <c r="D309" s="10" t="s">
        <v>333</v>
      </c>
      <c r="E309" s="41" t="str">
        <f t="shared" si="1"/>
        <v>E0</v>
      </c>
    </row>
    <row r="310" ht="15.75" customHeight="1">
      <c r="A310" s="10" t="s">
        <v>180</v>
      </c>
      <c r="B310" s="10" t="s">
        <v>138</v>
      </c>
      <c r="C310" s="41">
        <f t="array" ref="C310">IF(IFERROR(INDEX(CATALOG_POINTS,MATCH(A310,CATALOG_TASK,0)),"")="",IF(MAX(IF(IFERROR(FIND(CATALOG_BASE,A310),0)=1,CATALOG_POINTS,0))=0,DAILY_POST_POINTS,MAX(IF(IFERROR(FIND(CATALOG_BASE,A310),0)=1,CATALOG_POINTS,0))),IFERROR(INDEX(CATALOG_POINTS,MATCH(A310,CATALOG_TASK,0)),""))</f>
        <v>1</v>
      </c>
      <c r="D310" s="10" t="s">
        <v>333</v>
      </c>
      <c r="E310" s="41" t="str">
        <f t="shared" si="1"/>
        <v>E0</v>
      </c>
    </row>
    <row r="311" ht="15.75" customHeight="1">
      <c r="A311" s="10" t="s">
        <v>333</v>
      </c>
      <c r="B311" s="10" t="s">
        <v>129</v>
      </c>
      <c r="C311" s="41">
        <f t="array" ref="C311">IF(IFERROR(INDEX(CATALOG_POINTS,MATCH(A311,CATALOG_TASK,0)),"")="",IF(MAX(IF(IFERROR(FIND(CATALOG_BASE,A311),0)=1,CATALOG_POINTS,0))=0,DAILY_POST_POINTS,MAX(IF(IFERROR(FIND(CATALOG_BASE,A311),0)=1,CATALOG_POINTS,0))),IFERROR(INDEX(CATALOG_POINTS,MATCH(A311,CATALOG_TASK,0)),""))</f>
        <v>1</v>
      </c>
      <c r="D311" s="10" t="s">
        <v>333</v>
      </c>
      <c r="E311" s="41" t="str">
        <f t="shared" si="1"/>
        <v>E0</v>
      </c>
    </row>
    <row r="312" ht="15.75" customHeight="1">
      <c r="A312" s="10" t="s">
        <v>37</v>
      </c>
      <c r="B312" s="10" t="s">
        <v>128</v>
      </c>
      <c r="C312" s="41">
        <f t="array" ref="C312">IF(IFERROR(INDEX(CATALOG_POINTS,MATCH(A312,CATALOG_TASK,0)),"")="",IF(MAX(IF(IFERROR(FIND(CATALOG_BASE,A312),0)=1,CATALOG_POINTS,0))=0,DAILY_POST_POINTS,MAX(IF(IFERROR(FIND(CATALOG_BASE,A312),0)=1,CATALOG_POINTS,0))),IFERROR(INDEX(CATALOG_POINTS,MATCH(A312,CATALOG_TASK,0)),""))</f>
        <v>2</v>
      </c>
      <c r="D312" s="10" t="s">
        <v>333</v>
      </c>
      <c r="E312" s="41" t="str">
        <f t="shared" si="1"/>
        <v>E0</v>
      </c>
    </row>
    <row r="313" ht="15.75" customHeight="1">
      <c r="A313" s="10" t="s">
        <v>37</v>
      </c>
      <c r="B313" s="10" t="s">
        <v>119</v>
      </c>
      <c r="C313" s="41">
        <f t="array" ref="C313">IF(IFERROR(INDEX(CATALOG_POINTS,MATCH(A313,CATALOG_TASK,0)),"")="",IF(MAX(IF(IFERROR(FIND(CATALOG_BASE,A313),0)=1,CATALOG_POINTS,0))=0,DAILY_POST_POINTS,MAX(IF(IFERROR(FIND(CATALOG_BASE,A313),0)=1,CATALOG_POINTS,0))),IFERROR(INDEX(CATALOG_POINTS,MATCH(A313,CATALOG_TASK,0)),""))</f>
        <v>2</v>
      </c>
      <c r="D313" s="10" t="s">
        <v>334</v>
      </c>
      <c r="E313" s="41" t="str">
        <f t="shared" si="1"/>
        <v>PROX4</v>
      </c>
    </row>
    <row r="314" ht="15.75" customHeight="1">
      <c r="A314" s="10" t="s">
        <v>334</v>
      </c>
      <c r="B314" s="10" t="s">
        <v>127</v>
      </c>
      <c r="C314" s="41">
        <f t="array" ref="C314">IF(IFERROR(INDEX(CATALOG_POINTS,MATCH(A314,CATALOG_TASK,0)),"")="",IF(MAX(IF(IFERROR(FIND(CATALOG_BASE,A314),0)=1,CATALOG_POINTS,0))=0,DAILY_POST_POINTS,MAX(IF(IFERROR(FIND(CATALOG_BASE,A314),0)=1,CATALOG_POINTS,0))),IFERROR(INDEX(CATALOG_POINTS,MATCH(A314,CATALOG_TASK,0)),""))</f>
        <v>1</v>
      </c>
      <c r="D314" s="10" t="s">
        <v>334</v>
      </c>
      <c r="E314" s="41" t="str">
        <f t="shared" si="1"/>
        <v>PROX4</v>
      </c>
    </row>
    <row r="315" ht="15.75" customHeight="1">
      <c r="A315" s="10" t="s">
        <v>37</v>
      </c>
      <c r="B315" s="10" t="s">
        <v>124</v>
      </c>
      <c r="C315" s="41">
        <f t="array" ref="C315">IF(IFERROR(INDEX(CATALOG_POINTS,MATCH(A315,CATALOG_TASK,0)),"")="",IF(MAX(IF(IFERROR(FIND(CATALOG_BASE,A315),0)=1,CATALOG_POINTS,0))=0,DAILY_POST_POINTS,MAX(IF(IFERROR(FIND(CATALOG_BASE,A315),0)=1,CATALOG_POINTS,0))),IFERROR(INDEX(CATALOG_POINTS,MATCH(A315,CATALOG_TASK,0)),""))</f>
        <v>2</v>
      </c>
      <c r="D315" s="10" t="s">
        <v>334</v>
      </c>
      <c r="E315" s="41" t="str">
        <f t="shared" si="1"/>
        <v>PROX4</v>
      </c>
    </row>
    <row r="316" ht="15.75" customHeight="1">
      <c r="A316" s="10" t="s">
        <v>178</v>
      </c>
      <c r="B316" s="10" t="s">
        <v>117</v>
      </c>
      <c r="C316" s="41">
        <f t="array" ref="C316">IF(IFERROR(INDEX(CATALOG_POINTS,MATCH(A316,CATALOG_TASK,0)),"")="",IF(MAX(IF(IFERROR(FIND(CATALOG_BASE,A316),0)=1,CATALOG_POINTS,0))=0,DAILY_POST_POINTS,MAX(IF(IFERROR(FIND(CATALOG_BASE,A316),0)=1,CATALOG_POINTS,0))),IFERROR(INDEX(CATALOG_POINTS,MATCH(A316,CATALOG_TASK,0)),""))</f>
        <v>1</v>
      </c>
      <c r="D316" s="10" t="s">
        <v>334</v>
      </c>
      <c r="E316" s="41" t="str">
        <f t="shared" si="1"/>
        <v>PROX4</v>
      </c>
    </row>
    <row r="317" ht="15.75" customHeight="1">
      <c r="A317" s="10" t="s">
        <v>168</v>
      </c>
      <c r="B317" s="10" t="s">
        <v>119</v>
      </c>
      <c r="C317" s="41">
        <f t="array" ref="C317">IF(IFERROR(INDEX(CATALOG_POINTS,MATCH(A317,CATALOG_TASK,0)),"")="",IF(MAX(IF(IFERROR(FIND(CATALOG_BASE,A317),0)=1,CATALOG_POINTS,0))=0,DAILY_POST_POINTS,MAX(IF(IFERROR(FIND(CATALOG_BASE,A317),0)=1,CATALOG_POINTS,0))),IFERROR(INDEX(CATALOG_POINTS,MATCH(A317,CATALOG_TASK,0)),""))</f>
        <v>1</v>
      </c>
      <c r="D317" s="10" t="s">
        <v>334</v>
      </c>
      <c r="E317" s="41" t="str">
        <f t="shared" si="1"/>
        <v>PROX4</v>
      </c>
    </row>
    <row r="318" ht="15.75" customHeight="1">
      <c r="A318" s="10" t="s">
        <v>37</v>
      </c>
      <c r="B318" s="10" t="s">
        <v>122</v>
      </c>
      <c r="C318" s="41">
        <f t="array" ref="C318">IF(IFERROR(INDEX(CATALOG_POINTS,MATCH(A318,CATALOG_TASK,0)),"")="",IF(MAX(IF(IFERROR(FIND(CATALOG_BASE,A318),0)=1,CATALOG_POINTS,0))=0,DAILY_POST_POINTS,MAX(IF(IFERROR(FIND(CATALOG_BASE,A318),0)=1,CATALOG_POINTS,0))),IFERROR(INDEX(CATALOG_POINTS,MATCH(A318,CATALOG_TASK,0)),""))</f>
        <v>2</v>
      </c>
      <c r="D318" s="10" t="s">
        <v>334</v>
      </c>
      <c r="E318" s="41" t="str">
        <f t="shared" si="1"/>
        <v>PROX4</v>
      </c>
    </row>
    <row r="319" ht="15.75" customHeight="1">
      <c r="A319" s="10" t="s">
        <v>335</v>
      </c>
      <c r="B319" s="10" t="s">
        <v>134</v>
      </c>
      <c r="C319" s="41">
        <f t="array" ref="C319">IF(IFERROR(INDEX(CATALOG_POINTS,MATCH(A319,CATALOG_TASK,0)),"")="",IF(MAX(IF(IFERROR(FIND(CATALOG_BASE,A319),0)=1,CATALOG_POINTS,0))=0,DAILY_POST_POINTS,MAX(IF(IFERROR(FIND(CATALOG_BASE,A319),0)=1,CATALOG_POINTS,0))),IFERROR(INDEX(CATALOG_POINTS,MATCH(A319,CATALOG_TASK,0)),""))</f>
        <v>1</v>
      </c>
      <c r="D319" s="10" t="s">
        <v>335</v>
      </c>
      <c r="E319" s="41" t="str">
        <f t="shared" si="1"/>
        <v>PROX4</v>
      </c>
    </row>
    <row r="320" ht="15.75" customHeight="1">
      <c r="A320" s="10" t="s">
        <v>336</v>
      </c>
      <c r="B320" s="10" t="s">
        <v>126</v>
      </c>
      <c r="C320" s="41">
        <f t="array" ref="C320">IF(IFERROR(INDEX(CATALOG_POINTS,MATCH(A320,CATALOG_TASK,0)),"")="",IF(MAX(IF(IFERROR(FIND(CATALOG_BASE,A320),0)=1,CATALOG_POINTS,0))=0,DAILY_POST_POINTS,MAX(IF(IFERROR(FIND(CATALOG_BASE,A320),0)=1,CATALOG_POINTS,0))),IFERROR(INDEX(CATALOG_POINTS,MATCH(A320,CATALOG_TASK,0)),""))</f>
        <v>1</v>
      </c>
      <c r="D320" s="10" t="s">
        <v>336</v>
      </c>
      <c r="E320" s="41" t="str">
        <f t="shared" si="1"/>
        <v>PROX4</v>
      </c>
    </row>
    <row r="321" ht="15.75" customHeight="1">
      <c r="A321" s="10" t="s">
        <v>337</v>
      </c>
      <c r="B321" s="10" t="s">
        <v>132</v>
      </c>
      <c r="C321" s="41">
        <f t="array" ref="C321">IF(IFERROR(INDEX(CATALOG_POINTS,MATCH(A321,CATALOG_TASK,0)),"")="",IF(MAX(IF(IFERROR(FIND(CATALOG_BASE,A321),0)=1,CATALOG_POINTS,0))=0,DAILY_POST_POINTS,MAX(IF(IFERROR(FIND(CATALOG_BASE,A321),0)=1,CATALOG_POINTS,0))),IFERROR(INDEX(CATALOG_POINTS,MATCH(A321,CATALOG_TASK,0)),""))</f>
        <v>1</v>
      </c>
      <c r="D321" s="10" t="s">
        <v>337</v>
      </c>
      <c r="E321" s="41" t="str">
        <f t="shared" si="1"/>
        <v>PROX3</v>
      </c>
    </row>
    <row r="322" ht="15.75" customHeight="1">
      <c r="A322" s="10" t="s">
        <v>338</v>
      </c>
      <c r="B322" s="10" t="s">
        <v>128</v>
      </c>
      <c r="C322" s="41">
        <f t="array" ref="C322">IF(IFERROR(INDEX(CATALOG_POINTS,MATCH(A322,CATALOG_TASK,0)),"")="",IF(MAX(IF(IFERROR(FIND(CATALOG_BASE,A322),0)=1,CATALOG_POINTS,0))=0,DAILY_POST_POINTS,MAX(IF(IFERROR(FIND(CATALOG_BASE,A322),0)=1,CATALOG_POINTS,0))),IFERROR(INDEX(CATALOG_POINTS,MATCH(A322,CATALOG_TASK,0)),""))</f>
        <v>1</v>
      </c>
      <c r="D322" s="10" t="s">
        <v>338</v>
      </c>
      <c r="E322" s="41" t="str">
        <f t="shared" si="1"/>
        <v>PROX3</v>
      </c>
    </row>
    <row r="323" ht="15.75" customHeight="1">
      <c r="A323" s="10" t="s">
        <v>339</v>
      </c>
      <c r="B323" s="10" t="s">
        <v>121</v>
      </c>
      <c r="C323" s="41">
        <f t="array" ref="C323">IF(IFERROR(INDEX(CATALOG_POINTS,MATCH(A323,CATALOG_TASK,0)),"")="",IF(MAX(IF(IFERROR(FIND(CATALOG_BASE,A323),0)=1,CATALOG_POINTS,0))=0,DAILY_POST_POINTS,MAX(IF(IFERROR(FIND(CATALOG_BASE,A323),0)=1,CATALOG_POINTS,0))),IFERROR(INDEX(CATALOG_POINTS,MATCH(A323,CATALOG_TASK,0)),""))</f>
        <v>1</v>
      </c>
      <c r="D323" s="10" t="s">
        <v>339</v>
      </c>
      <c r="E323" s="41" t="str">
        <f t="shared" si="1"/>
        <v>PROX3</v>
      </c>
    </row>
    <row r="324" ht="15.75" customHeight="1">
      <c r="A324" s="10" t="s">
        <v>37</v>
      </c>
      <c r="B324" s="10" t="s">
        <v>119</v>
      </c>
      <c r="C324" s="41">
        <f t="array" ref="C324">IF(IFERROR(INDEX(CATALOG_POINTS,MATCH(A324,CATALOG_TASK,0)),"")="",IF(MAX(IF(IFERROR(FIND(CATALOG_BASE,A324),0)=1,CATALOG_POINTS,0))=0,DAILY_POST_POINTS,MAX(IF(IFERROR(FIND(CATALOG_BASE,A324),0)=1,CATALOG_POINTS,0))),IFERROR(INDEX(CATALOG_POINTS,MATCH(A324,CATALOG_TASK,0)),""))</f>
        <v>2</v>
      </c>
      <c r="D324" s="10" t="s">
        <v>339</v>
      </c>
      <c r="E324" s="41" t="str">
        <f t="shared" si="1"/>
        <v>PROX3</v>
      </c>
    </row>
    <row r="325" ht="15.75" customHeight="1">
      <c r="A325" s="10" t="s">
        <v>340</v>
      </c>
      <c r="B325" s="10" t="s">
        <v>133</v>
      </c>
      <c r="C325" s="41">
        <f t="array" ref="C325">IF(IFERROR(INDEX(CATALOG_POINTS,MATCH(A325,CATALOG_TASK,0)),"")="",IF(MAX(IF(IFERROR(FIND(CATALOG_BASE,A325),0)=1,CATALOG_POINTS,0))=0,DAILY_POST_POINTS,MAX(IF(IFERROR(FIND(CATALOG_BASE,A325),0)=1,CATALOG_POINTS,0))),IFERROR(INDEX(CATALOG_POINTS,MATCH(A325,CATALOG_TASK,0)),""))</f>
        <v>1</v>
      </c>
      <c r="D325" s="10" t="s">
        <v>340</v>
      </c>
      <c r="E325" s="41" t="str">
        <f t="shared" si="1"/>
        <v>PROX3</v>
      </c>
    </row>
    <row r="326" ht="15.75" customHeight="1">
      <c r="A326" s="10" t="s">
        <v>24</v>
      </c>
      <c r="B326" s="10" t="s">
        <v>117</v>
      </c>
      <c r="C326" s="41">
        <f t="array" ref="C326">IF(IFERROR(INDEX(CATALOG_POINTS,MATCH(A326,CATALOG_TASK,0)),"")="",IF(MAX(IF(IFERROR(FIND(CATALOG_BASE,A326),0)=1,CATALOG_POINTS,0))=0,DAILY_POST_POINTS,MAX(IF(IFERROR(FIND(CATALOG_BASE,A326),0)=1,CATALOG_POINTS,0))),IFERROR(INDEX(CATALOG_POINTS,MATCH(A326,CATALOG_TASK,0)),""))</f>
        <v>2</v>
      </c>
      <c r="D326" s="10" t="s">
        <v>341</v>
      </c>
      <c r="E326" s="41" t="str">
        <f t="shared" si="1"/>
        <v>PROX3</v>
      </c>
    </row>
    <row r="327" ht="15.75" customHeight="1">
      <c r="A327" s="10" t="s">
        <v>174</v>
      </c>
      <c r="B327" s="10" t="s">
        <v>128</v>
      </c>
      <c r="C327" s="41">
        <f t="array" ref="C327">IF(IFERROR(INDEX(CATALOG_POINTS,MATCH(A327,CATALOG_TASK,0)),"")="",IF(MAX(IF(IFERROR(FIND(CATALOG_BASE,A327),0)=1,CATALOG_POINTS,0))=0,DAILY_POST_POINTS,MAX(IF(IFERROR(FIND(CATALOG_BASE,A327),0)=1,CATALOG_POINTS,0))),IFERROR(INDEX(CATALOG_POINTS,MATCH(A327,CATALOG_TASK,0)),""))</f>
        <v>1</v>
      </c>
      <c r="D327" s="10" t="s">
        <v>341</v>
      </c>
      <c r="E327" s="41" t="str">
        <f t="shared" si="1"/>
        <v>PROX3</v>
      </c>
    </row>
    <row r="328" ht="15.75" customHeight="1">
      <c r="A328" s="10" t="s">
        <v>342</v>
      </c>
      <c r="B328" s="10" t="s">
        <v>135</v>
      </c>
      <c r="C328" s="41">
        <f t="array" ref="C328">IF(IFERROR(INDEX(CATALOG_POINTS,MATCH(A328,CATALOG_TASK,0)),"")="",IF(MAX(IF(IFERROR(FIND(CATALOG_BASE,A328),0)=1,CATALOG_POINTS,0))=0,DAILY_POST_POINTS,MAX(IF(IFERROR(FIND(CATALOG_BASE,A328),0)=1,CATALOG_POINTS,0))),IFERROR(INDEX(CATALOG_POINTS,MATCH(A328,CATALOG_TASK,0)),""))</f>
        <v>1</v>
      </c>
      <c r="D328" s="10" t="s">
        <v>342</v>
      </c>
      <c r="E328" s="41" t="str">
        <f t="shared" si="1"/>
        <v>PROX3</v>
      </c>
    </row>
    <row r="329" ht="15.75" customHeight="1">
      <c r="A329" s="10" t="s">
        <v>343</v>
      </c>
      <c r="B329" s="10" t="s">
        <v>134</v>
      </c>
      <c r="C329" s="41">
        <f t="array" ref="C329">IF(IFERROR(INDEX(CATALOG_POINTS,MATCH(A329,CATALOG_TASK,0)),"")="",IF(MAX(IF(IFERROR(FIND(CATALOG_BASE,A329),0)=1,CATALOG_POINTS,0))=0,DAILY_POST_POINTS,MAX(IF(IFERROR(FIND(CATALOG_BASE,A329),0)=1,CATALOG_POINTS,0))),IFERROR(INDEX(CATALOG_POINTS,MATCH(A329,CATALOG_TASK,0)),""))</f>
        <v>1</v>
      </c>
      <c r="D329" s="10" t="s">
        <v>343</v>
      </c>
      <c r="E329" s="41" t="str">
        <f t="shared" si="1"/>
        <v>PROX3</v>
      </c>
    </row>
    <row r="330" ht="15.75" customHeight="1">
      <c r="A330" s="10" t="s">
        <v>344</v>
      </c>
      <c r="B330" s="10" t="s">
        <v>134</v>
      </c>
      <c r="C330" s="41">
        <f t="array" ref="C330">IF(IFERROR(INDEX(CATALOG_POINTS,MATCH(A330,CATALOG_TASK,0)),"")="",IF(MAX(IF(IFERROR(FIND(CATALOG_BASE,A330),0)=1,CATALOG_POINTS,0))=0,DAILY_POST_POINTS,MAX(IF(IFERROR(FIND(CATALOG_BASE,A330),0)=1,CATALOG_POINTS,0))),IFERROR(INDEX(CATALOG_POINTS,MATCH(A330,CATALOG_TASK,0)),""))</f>
        <v>1</v>
      </c>
      <c r="D330" s="10" t="s">
        <v>344</v>
      </c>
      <c r="E330" s="41" t="str">
        <f t="shared" si="1"/>
        <v>PROX3</v>
      </c>
    </row>
    <row r="331" ht="15.75" customHeight="1">
      <c r="A331" s="10" t="s">
        <v>345</v>
      </c>
      <c r="B331" s="10" t="s">
        <v>135</v>
      </c>
      <c r="C331" s="41">
        <f t="array" ref="C331">IF(IFERROR(INDEX(CATALOG_POINTS,MATCH(A331,CATALOG_TASK,0)),"")="",IF(MAX(IF(IFERROR(FIND(CATALOG_BASE,A331),0)=1,CATALOG_POINTS,0))=0,DAILY_POST_POINTS,MAX(IF(IFERROR(FIND(CATALOG_BASE,A331),0)=1,CATALOG_POINTS,0))),IFERROR(INDEX(CATALOG_POINTS,MATCH(A331,CATALOG_TASK,0)),""))</f>
        <v>1</v>
      </c>
      <c r="D331" s="10" t="s">
        <v>345</v>
      </c>
      <c r="E331" s="41" t="str">
        <f t="shared" si="1"/>
        <v>E0</v>
      </c>
    </row>
    <row r="332" ht="15.75" customHeight="1">
      <c r="A332" s="10" t="s">
        <v>37</v>
      </c>
      <c r="B332" s="10" t="s">
        <v>122</v>
      </c>
      <c r="C332" s="41">
        <f t="array" ref="C332">IF(IFERROR(INDEX(CATALOG_POINTS,MATCH(A332,CATALOG_TASK,0)),"")="",IF(MAX(IF(IFERROR(FIND(CATALOG_BASE,A332),0)=1,CATALOG_POINTS,0))=0,DAILY_POST_POINTS,MAX(IF(IFERROR(FIND(CATALOG_BASE,A332),0)=1,CATALOG_POINTS,0))),IFERROR(INDEX(CATALOG_POINTS,MATCH(A332,CATALOG_TASK,0)),""))</f>
        <v>2</v>
      </c>
      <c r="D332" s="10" t="s">
        <v>346</v>
      </c>
      <c r="E332" s="41" t="str">
        <f t="shared" si="1"/>
        <v>PROX3</v>
      </c>
    </row>
    <row r="333" ht="15.75" customHeight="1">
      <c r="A333" s="10" t="s">
        <v>168</v>
      </c>
      <c r="B333" s="10" t="s">
        <v>122</v>
      </c>
      <c r="C333" s="41">
        <f t="array" ref="C333">IF(IFERROR(INDEX(CATALOG_POINTS,MATCH(A333,CATALOG_TASK,0)),"")="",IF(MAX(IF(IFERROR(FIND(CATALOG_BASE,A333),0)=1,CATALOG_POINTS,0))=0,DAILY_POST_POINTS,MAX(IF(IFERROR(FIND(CATALOG_BASE,A333),0)=1,CATALOG_POINTS,0))),IFERROR(INDEX(CATALOG_POINTS,MATCH(A333,CATALOG_TASK,0)),""))</f>
        <v>1</v>
      </c>
      <c r="D333" s="10" t="s">
        <v>346</v>
      </c>
      <c r="E333" s="41" t="str">
        <f t="shared" si="1"/>
        <v>PROX3</v>
      </c>
    </row>
    <row r="334" ht="15.75" customHeight="1">
      <c r="A334" s="10" t="s">
        <v>37</v>
      </c>
      <c r="B334" s="10" t="s">
        <v>123</v>
      </c>
      <c r="C334" s="41">
        <f t="array" ref="C334">IF(IFERROR(INDEX(CATALOG_POINTS,MATCH(A334,CATALOG_TASK,0)),"")="",IF(MAX(IF(IFERROR(FIND(CATALOG_BASE,A334),0)=1,CATALOG_POINTS,0))=0,DAILY_POST_POINTS,MAX(IF(IFERROR(FIND(CATALOG_BASE,A334),0)=1,CATALOG_POINTS,0))),IFERROR(INDEX(CATALOG_POINTS,MATCH(A334,CATALOG_TASK,0)),""))</f>
        <v>2</v>
      </c>
      <c r="D334" s="10" t="s">
        <v>346</v>
      </c>
      <c r="E334" s="41" t="str">
        <f t="shared" si="1"/>
        <v>PROX3</v>
      </c>
    </row>
    <row r="335" ht="15.75" customHeight="1">
      <c r="A335" s="10" t="s">
        <v>174</v>
      </c>
      <c r="B335" s="10" t="s">
        <v>126</v>
      </c>
      <c r="C335" s="41">
        <f t="array" ref="C335">IF(IFERROR(INDEX(CATALOG_POINTS,MATCH(A335,CATALOG_TASK,0)),"")="",IF(MAX(IF(IFERROR(FIND(CATALOG_BASE,A335),0)=1,CATALOG_POINTS,0))=0,DAILY_POST_POINTS,MAX(IF(IFERROR(FIND(CATALOG_BASE,A335),0)=1,CATALOG_POINTS,0))),IFERROR(INDEX(CATALOG_POINTS,MATCH(A335,CATALOG_TASK,0)),""))</f>
        <v>1</v>
      </c>
      <c r="D335" s="10" t="s">
        <v>346</v>
      </c>
      <c r="E335" s="41" t="str">
        <f t="shared" si="1"/>
        <v>PROX3</v>
      </c>
    </row>
    <row r="336" ht="15.75" customHeight="1">
      <c r="A336" s="10" t="s">
        <v>347</v>
      </c>
      <c r="B336" s="10" t="s">
        <v>121</v>
      </c>
      <c r="C336" s="41">
        <f t="array" ref="C336">IF(IFERROR(INDEX(CATALOG_POINTS,MATCH(A336,CATALOG_TASK,0)),"")="",IF(MAX(IF(IFERROR(FIND(CATALOG_BASE,A336),0)=1,CATALOG_POINTS,0))=0,DAILY_POST_POINTS,MAX(IF(IFERROR(FIND(CATALOG_BASE,A336),0)=1,CATALOG_POINTS,0))),IFERROR(INDEX(CATALOG_POINTS,MATCH(A336,CATALOG_TASK,0)),""))</f>
        <v>1</v>
      </c>
      <c r="D336" s="10" t="s">
        <v>347</v>
      </c>
      <c r="E336" s="41" t="str">
        <f t="shared" si="1"/>
        <v>PROX3</v>
      </c>
    </row>
    <row r="337" ht="15.75" customHeight="1">
      <c r="A337" s="10" t="s">
        <v>348</v>
      </c>
      <c r="B337" s="10" t="s">
        <v>122</v>
      </c>
      <c r="C337" s="41">
        <f t="array" ref="C337">IF(IFERROR(INDEX(CATALOG_POINTS,MATCH(A337,CATALOG_TASK,0)),"")="",IF(MAX(IF(IFERROR(FIND(CATALOG_BASE,A337),0)=1,CATALOG_POINTS,0))=0,DAILY_POST_POINTS,MAX(IF(IFERROR(FIND(CATALOG_BASE,A337),0)=1,CATALOG_POINTS,0))),IFERROR(INDEX(CATALOG_POINTS,MATCH(A337,CATALOG_TASK,0)),""))</f>
        <v>1</v>
      </c>
      <c r="D337" s="10" t="s">
        <v>348</v>
      </c>
      <c r="E337" s="41" t="str">
        <f t="shared" si="1"/>
        <v>E0</v>
      </c>
    </row>
    <row r="338" ht="15.75" customHeight="1">
      <c r="A338" s="10" t="s">
        <v>349</v>
      </c>
      <c r="B338" s="10" t="s">
        <v>135</v>
      </c>
      <c r="C338" s="41">
        <f t="array" ref="C338">IF(IFERROR(INDEX(CATALOG_POINTS,MATCH(A338,CATALOG_TASK,0)),"")="",IF(MAX(IF(IFERROR(FIND(CATALOG_BASE,A338),0)=1,CATALOG_POINTS,0))=0,DAILY_POST_POINTS,MAX(IF(IFERROR(FIND(CATALOG_BASE,A338),0)=1,CATALOG_POINTS,0))),IFERROR(INDEX(CATALOG_POINTS,MATCH(A338,CATALOG_TASK,0)),""))</f>
        <v>1</v>
      </c>
      <c r="D338" s="10" t="s">
        <v>349</v>
      </c>
      <c r="E338" s="41" t="str">
        <f t="shared" si="1"/>
        <v>PROX3</v>
      </c>
    </row>
    <row r="339" ht="15.75" customHeight="1">
      <c r="A339" s="10" t="s">
        <v>350</v>
      </c>
      <c r="B339" s="10" t="s">
        <v>131</v>
      </c>
      <c r="C339" s="41">
        <f t="array" ref="C339">IF(IFERROR(INDEX(CATALOG_POINTS,MATCH(A339,CATALOG_TASK,0)),"")="",IF(MAX(IF(IFERROR(FIND(CATALOG_BASE,A339),0)=1,CATALOG_POINTS,0))=0,DAILY_POST_POINTS,MAX(IF(IFERROR(FIND(CATALOG_BASE,A339),0)=1,CATALOG_POINTS,0))),IFERROR(INDEX(CATALOG_POINTS,MATCH(A339,CATALOG_TASK,0)),""))</f>
        <v>1</v>
      </c>
      <c r="D339" s="10" t="s">
        <v>350</v>
      </c>
      <c r="E339" s="41" t="str">
        <f t="shared" si="1"/>
        <v>PROX3</v>
      </c>
    </row>
    <row r="340" ht="15.75" customHeight="1">
      <c r="A340" s="10" t="s">
        <v>351</v>
      </c>
      <c r="B340" s="10" t="s">
        <v>124</v>
      </c>
      <c r="C340" s="41">
        <f t="array" ref="C340">IF(IFERROR(INDEX(CATALOG_POINTS,MATCH(A340,CATALOG_TASK,0)),"")="",IF(MAX(IF(IFERROR(FIND(CATALOG_BASE,A340),0)=1,CATALOG_POINTS,0))=0,DAILY_POST_POINTS,MAX(IF(IFERROR(FIND(CATALOG_BASE,A340),0)=1,CATALOG_POINTS,0))),IFERROR(INDEX(CATALOG_POINTS,MATCH(A340,CATALOG_TASK,0)),""))</f>
        <v>1</v>
      </c>
      <c r="D340" s="10" t="s">
        <v>351</v>
      </c>
      <c r="E340" s="41" t="str">
        <f t="shared" si="1"/>
        <v>E0</v>
      </c>
    </row>
    <row r="341" ht="15.75" customHeight="1">
      <c r="A341" s="10" t="s">
        <v>37</v>
      </c>
      <c r="B341" s="10" t="s">
        <v>124</v>
      </c>
      <c r="C341" s="41">
        <f t="array" ref="C341">IF(IFERROR(INDEX(CATALOG_POINTS,MATCH(A341,CATALOG_TASK,0)),"")="",IF(MAX(IF(IFERROR(FIND(CATALOG_BASE,A341),0)=1,CATALOG_POINTS,0))=0,DAILY_POST_POINTS,MAX(IF(IFERROR(FIND(CATALOG_BASE,A341),0)=1,CATALOG_POINTS,0))),IFERROR(INDEX(CATALOG_POINTS,MATCH(A341,CATALOG_TASK,0)),""))</f>
        <v>2</v>
      </c>
      <c r="D341" s="10" t="s">
        <v>352</v>
      </c>
      <c r="E341" s="41" t="str">
        <f t="shared" si="1"/>
        <v>PROX3</v>
      </c>
    </row>
    <row r="342" ht="15.75" customHeight="1">
      <c r="A342" s="10" t="s">
        <v>174</v>
      </c>
      <c r="B342" s="10" t="s">
        <v>121</v>
      </c>
      <c r="C342" s="41">
        <f t="array" ref="C342">IF(IFERROR(INDEX(CATALOG_POINTS,MATCH(A342,CATALOG_TASK,0)),"")="",IF(MAX(IF(IFERROR(FIND(CATALOG_BASE,A342),0)=1,CATALOG_POINTS,0))=0,DAILY_POST_POINTS,MAX(IF(IFERROR(FIND(CATALOG_BASE,A342),0)=1,CATALOG_POINTS,0))),IFERROR(INDEX(CATALOG_POINTS,MATCH(A342,CATALOG_TASK,0)),""))</f>
        <v>1</v>
      </c>
      <c r="D342" s="10" t="s">
        <v>352</v>
      </c>
      <c r="E342" s="41" t="str">
        <f t="shared" si="1"/>
        <v>PROX3</v>
      </c>
    </row>
    <row r="343" ht="15.75" customHeight="1">
      <c r="A343" s="10" t="s">
        <v>37</v>
      </c>
      <c r="B343" s="10" t="s">
        <v>123</v>
      </c>
      <c r="C343" s="41">
        <f t="array" ref="C343">IF(IFERROR(INDEX(CATALOG_POINTS,MATCH(A343,CATALOG_TASK,0)),"")="",IF(MAX(IF(IFERROR(FIND(CATALOG_BASE,A343),0)=1,CATALOG_POINTS,0))=0,DAILY_POST_POINTS,MAX(IF(IFERROR(FIND(CATALOG_BASE,A343),0)=1,CATALOG_POINTS,0))),IFERROR(INDEX(CATALOG_POINTS,MATCH(A343,CATALOG_TASK,0)),""))</f>
        <v>2</v>
      </c>
      <c r="D343" s="10" t="s">
        <v>352</v>
      </c>
      <c r="E343" s="41" t="str">
        <f t="shared" si="1"/>
        <v>PROX3</v>
      </c>
    </row>
    <row r="344" ht="15.75" customHeight="1">
      <c r="A344" s="10" t="s">
        <v>352</v>
      </c>
      <c r="B344" s="10" t="s">
        <v>120</v>
      </c>
      <c r="C344" s="41">
        <f t="array" ref="C344">IF(IFERROR(INDEX(CATALOG_POINTS,MATCH(A344,CATALOG_TASK,0)),"")="",IF(MAX(IF(IFERROR(FIND(CATALOG_BASE,A344),0)=1,CATALOG_POINTS,0))=0,DAILY_POST_POINTS,MAX(IF(IFERROR(FIND(CATALOG_BASE,A344),0)=1,CATALOG_POINTS,0))),IFERROR(INDEX(CATALOG_POINTS,MATCH(A344,CATALOG_TASK,0)),""))</f>
        <v>1</v>
      </c>
      <c r="D344" s="10" t="s">
        <v>352</v>
      </c>
      <c r="E344" s="41" t="str">
        <f t="shared" si="1"/>
        <v>PROX3</v>
      </c>
    </row>
    <row r="345" ht="15.75" customHeight="1">
      <c r="A345" s="10" t="s">
        <v>353</v>
      </c>
      <c r="B345" s="10" t="s">
        <v>127</v>
      </c>
      <c r="C345" s="41">
        <f t="array" ref="C345">IF(IFERROR(INDEX(CATALOG_POINTS,MATCH(A345,CATALOG_TASK,0)),"")="",IF(MAX(IF(IFERROR(FIND(CATALOG_BASE,A345),0)=1,CATALOG_POINTS,0))=0,DAILY_POST_POINTS,MAX(IF(IFERROR(FIND(CATALOG_BASE,A345),0)=1,CATALOG_POINTS,0))),IFERROR(INDEX(CATALOG_POINTS,MATCH(A345,CATALOG_TASK,0)),""))</f>
        <v>1</v>
      </c>
      <c r="D345" s="10" t="s">
        <v>353</v>
      </c>
      <c r="E345" s="41" t="str">
        <f t="shared" si="1"/>
        <v>PROX3</v>
      </c>
    </row>
    <row r="346" ht="15.75" customHeight="1">
      <c r="A346" s="10" t="s">
        <v>37</v>
      </c>
      <c r="B346" s="10" t="s">
        <v>117</v>
      </c>
      <c r="C346" s="41">
        <f t="array" ref="C346">IF(IFERROR(INDEX(CATALOG_POINTS,MATCH(A346,CATALOG_TASK,0)),"")="",IF(MAX(IF(IFERROR(FIND(CATALOG_BASE,A346),0)=1,CATALOG_POINTS,0))=0,DAILY_POST_POINTS,MAX(IF(IFERROR(FIND(CATALOG_BASE,A346),0)=1,CATALOG_POINTS,0))),IFERROR(INDEX(CATALOG_POINTS,MATCH(A346,CATALOG_TASK,0)),""))</f>
        <v>2</v>
      </c>
      <c r="D346" s="10" t="s">
        <v>354</v>
      </c>
      <c r="E346" s="41" t="str">
        <f t="shared" si="1"/>
        <v>PROX3</v>
      </c>
    </row>
    <row r="347" ht="15.75" customHeight="1">
      <c r="A347" s="10" t="s">
        <v>354</v>
      </c>
      <c r="B347" s="10" t="s">
        <v>121</v>
      </c>
      <c r="C347" s="41">
        <f t="array" ref="C347">IF(IFERROR(INDEX(CATALOG_POINTS,MATCH(A347,CATALOG_TASK,0)),"")="",IF(MAX(IF(IFERROR(FIND(CATALOG_BASE,A347),0)=1,CATALOG_POINTS,0))=0,DAILY_POST_POINTS,MAX(IF(IFERROR(FIND(CATALOG_BASE,A347),0)=1,CATALOG_POINTS,0))),IFERROR(INDEX(CATALOG_POINTS,MATCH(A347,CATALOG_TASK,0)),""))</f>
        <v>1</v>
      </c>
      <c r="D347" s="10" t="s">
        <v>354</v>
      </c>
      <c r="E347" s="41" t="str">
        <f t="shared" si="1"/>
        <v>PROX3</v>
      </c>
    </row>
    <row r="348" ht="15.75" customHeight="1">
      <c r="A348" s="10" t="s">
        <v>355</v>
      </c>
      <c r="B348" s="10" t="s">
        <v>117</v>
      </c>
      <c r="C348" s="41">
        <f t="array" ref="C348">IF(IFERROR(INDEX(CATALOG_POINTS,MATCH(A348,CATALOG_TASK,0)),"")="",IF(MAX(IF(IFERROR(FIND(CATALOG_BASE,A348),0)=1,CATALOG_POINTS,0))=0,DAILY_POST_POINTS,MAX(IF(IFERROR(FIND(CATALOG_BASE,A348),0)=1,CATALOG_POINTS,0))),IFERROR(INDEX(CATALOG_POINTS,MATCH(A348,CATALOG_TASK,0)),""))</f>
        <v>1</v>
      </c>
      <c r="D348" s="10" t="s">
        <v>355</v>
      </c>
      <c r="E348" s="41" t="str">
        <f t="shared" si="1"/>
        <v>PROX4</v>
      </c>
    </row>
    <row r="349" ht="15.75" customHeight="1">
      <c r="A349" s="10" t="s">
        <v>356</v>
      </c>
      <c r="B349" s="10" t="s">
        <v>127</v>
      </c>
      <c r="C349" s="41">
        <f t="array" ref="C349">IF(IFERROR(INDEX(CATALOG_POINTS,MATCH(A349,CATALOG_TASK,0)),"")="",IF(MAX(IF(IFERROR(FIND(CATALOG_BASE,A349),0)=1,CATALOG_POINTS,0))=0,DAILY_POST_POINTS,MAX(IF(IFERROR(FIND(CATALOG_BASE,A349),0)=1,CATALOG_POINTS,0))),IFERROR(INDEX(CATALOG_POINTS,MATCH(A349,CATALOG_TASK,0)),""))</f>
        <v>1</v>
      </c>
      <c r="D349" s="10" t="s">
        <v>356</v>
      </c>
      <c r="E349" s="41" t="str">
        <f t="shared" si="1"/>
        <v>PROX3</v>
      </c>
    </row>
    <row r="350" ht="15.75" customHeight="1">
      <c r="A350" s="10" t="s">
        <v>357</v>
      </c>
      <c r="B350" s="10" t="s">
        <v>122</v>
      </c>
      <c r="C350" s="41">
        <f t="array" ref="C350">IF(IFERROR(INDEX(CATALOG_POINTS,MATCH(A350,CATALOG_TASK,0)),"")="",IF(MAX(IF(IFERROR(FIND(CATALOG_BASE,A350),0)=1,CATALOG_POINTS,0))=0,DAILY_POST_POINTS,MAX(IF(IFERROR(FIND(CATALOG_BASE,A350),0)=1,CATALOG_POINTS,0))),IFERROR(INDEX(CATALOG_POINTS,MATCH(A350,CATALOG_TASK,0)),""))</f>
        <v>1</v>
      </c>
      <c r="D350" s="10" t="s">
        <v>357</v>
      </c>
      <c r="E350" s="41" t="str">
        <f t="shared" si="1"/>
        <v>PROX3</v>
      </c>
    </row>
    <row r="351" ht="15.75" customHeight="1">
      <c r="A351" s="10" t="s">
        <v>37</v>
      </c>
      <c r="B351" s="10" t="s">
        <v>122</v>
      </c>
      <c r="C351" s="41">
        <f t="array" ref="C351">IF(IFERROR(INDEX(CATALOG_POINTS,MATCH(A351,CATALOG_TASK,0)),"")="",IF(MAX(IF(IFERROR(FIND(CATALOG_BASE,A351),0)=1,CATALOG_POINTS,0))=0,DAILY_POST_POINTS,MAX(IF(IFERROR(FIND(CATALOG_BASE,A351),0)=1,CATALOG_POINTS,0))),IFERROR(INDEX(CATALOG_POINTS,MATCH(A351,CATALOG_TASK,0)),""))</f>
        <v>2</v>
      </c>
      <c r="D351" s="10" t="s">
        <v>358</v>
      </c>
      <c r="E351" s="41" t="str">
        <f t="shared" si="1"/>
        <v>PROX3</v>
      </c>
    </row>
    <row r="352" ht="15.75" customHeight="1">
      <c r="A352" s="10" t="s">
        <v>358</v>
      </c>
      <c r="B352" s="10" t="s">
        <v>123</v>
      </c>
      <c r="C352" s="41">
        <f t="array" ref="C352">IF(IFERROR(INDEX(CATALOG_POINTS,MATCH(A352,CATALOG_TASK,0)),"")="",IF(MAX(IF(IFERROR(FIND(CATALOG_BASE,A352),0)=1,CATALOG_POINTS,0))=0,DAILY_POST_POINTS,MAX(IF(IFERROR(FIND(CATALOG_BASE,A352),0)=1,CATALOG_POINTS,0))),IFERROR(INDEX(CATALOG_POINTS,MATCH(A352,CATALOG_TASK,0)),""))</f>
        <v>1</v>
      </c>
      <c r="D352" s="10" t="s">
        <v>358</v>
      </c>
      <c r="E352" s="41" t="str">
        <f t="shared" si="1"/>
        <v>PROX3</v>
      </c>
    </row>
    <row r="353" ht="15.75" customHeight="1">
      <c r="A353" s="10" t="s">
        <v>37</v>
      </c>
      <c r="B353" s="10" t="s">
        <v>120</v>
      </c>
      <c r="C353" s="41">
        <f t="array" ref="C353">IF(IFERROR(INDEX(CATALOG_POINTS,MATCH(A353,CATALOG_TASK,0)),"")="",IF(MAX(IF(IFERROR(FIND(CATALOG_BASE,A353),0)=1,CATALOG_POINTS,0))=0,DAILY_POST_POINTS,MAX(IF(IFERROR(FIND(CATALOG_BASE,A353),0)=1,CATALOG_POINTS,0))),IFERROR(INDEX(CATALOG_POINTS,MATCH(A353,CATALOG_TASK,0)),""))</f>
        <v>2</v>
      </c>
      <c r="D353" s="10" t="s">
        <v>359</v>
      </c>
      <c r="E353" s="41" t="str">
        <f t="shared" si="1"/>
        <v/>
      </c>
    </row>
    <row r="354" ht="15.75" customHeight="1">
      <c r="A354" s="10" t="s">
        <v>360</v>
      </c>
      <c r="B354" s="10" t="s">
        <v>117</v>
      </c>
      <c r="C354" s="41">
        <f t="array" ref="C354">IF(IFERROR(INDEX(CATALOG_POINTS,MATCH(A354,CATALOG_TASK,0)),"")="",IF(MAX(IF(IFERROR(FIND(CATALOG_BASE,A354),0)=1,CATALOG_POINTS,0))=0,DAILY_POST_POINTS,MAX(IF(IFERROR(FIND(CATALOG_BASE,A354),0)=1,CATALOG_POINTS,0))),IFERROR(INDEX(CATALOG_POINTS,MATCH(A354,CATALOG_TASK,0)),""))</f>
        <v>1</v>
      </c>
      <c r="D354" s="10" t="s">
        <v>360</v>
      </c>
      <c r="E354" s="41" t="str">
        <f t="shared" si="1"/>
        <v>PROX4</v>
      </c>
    </row>
    <row r="355" ht="15.75" customHeight="1">
      <c r="A355" s="10" t="s">
        <v>361</v>
      </c>
      <c r="B355" s="10" t="s">
        <v>122</v>
      </c>
      <c r="C355" s="41">
        <f t="array" ref="C355">IF(IFERROR(INDEX(CATALOG_POINTS,MATCH(A355,CATALOG_TASK,0)),"")="",IF(MAX(IF(IFERROR(FIND(CATALOG_BASE,A355),0)=1,CATALOG_POINTS,0))=0,DAILY_POST_POINTS,MAX(IF(IFERROR(FIND(CATALOG_BASE,A355),0)=1,CATALOG_POINTS,0))),IFERROR(INDEX(CATALOG_POINTS,MATCH(A355,CATALOG_TASK,0)),""))</f>
        <v>1</v>
      </c>
      <c r="D355" s="10" t="s">
        <v>361</v>
      </c>
      <c r="E355" s="41" t="str">
        <f t="shared" si="1"/>
        <v>PROX3</v>
      </c>
    </row>
    <row r="356" ht="15.75" customHeight="1">
      <c r="A356" s="10" t="s">
        <v>362</v>
      </c>
      <c r="B356" s="10" t="s">
        <v>124</v>
      </c>
      <c r="C356" s="41">
        <f t="array" ref="C356">IF(IFERROR(INDEX(CATALOG_POINTS,MATCH(A356,CATALOG_TASK,0)),"")="",IF(MAX(IF(IFERROR(FIND(CATALOG_BASE,A356),0)=1,CATALOG_POINTS,0))=0,DAILY_POST_POINTS,MAX(IF(IFERROR(FIND(CATALOG_BASE,A356),0)=1,CATALOG_POINTS,0))),IFERROR(INDEX(CATALOG_POINTS,MATCH(A356,CATALOG_TASK,0)),""))</f>
        <v>1</v>
      </c>
      <c r="D356" s="10" t="s">
        <v>362</v>
      </c>
      <c r="E356" s="41" t="str">
        <f t="shared" si="1"/>
        <v>E0</v>
      </c>
    </row>
    <row r="357" ht="15.75" customHeight="1">
      <c r="A357" s="10" t="s">
        <v>37</v>
      </c>
      <c r="B357" s="10" t="s">
        <v>117</v>
      </c>
      <c r="C357" s="41">
        <f t="array" ref="C357">IF(IFERROR(INDEX(CATALOG_POINTS,MATCH(A357,CATALOG_TASK,0)),"")="",IF(MAX(IF(IFERROR(FIND(CATALOG_BASE,A357),0)=1,CATALOG_POINTS,0))=0,DAILY_POST_POINTS,MAX(IF(IFERROR(FIND(CATALOG_BASE,A357),0)=1,CATALOG_POINTS,0))),IFERROR(INDEX(CATALOG_POINTS,MATCH(A357,CATALOG_TASK,0)),""))</f>
        <v>2</v>
      </c>
      <c r="D357" s="10" t="s">
        <v>363</v>
      </c>
      <c r="E357" s="41" t="str">
        <f t="shared" si="1"/>
        <v>PROX3</v>
      </c>
    </row>
    <row r="358" ht="15.75" customHeight="1">
      <c r="A358" s="10" t="s">
        <v>168</v>
      </c>
      <c r="B358" s="10" t="s">
        <v>117</v>
      </c>
      <c r="C358" s="41">
        <f t="array" ref="C358">IF(IFERROR(INDEX(CATALOG_POINTS,MATCH(A358,CATALOG_TASK,0)),"")="",IF(MAX(IF(IFERROR(FIND(CATALOG_BASE,A358),0)=1,CATALOG_POINTS,0))=0,DAILY_POST_POINTS,MAX(IF(IFERROR(FIND(CATALOG_BASE,A358),0)=1,CATALOG_POINTS,0))),IFERROR(INDEX(CATALOG_POINTS,MATCH(A358,CATALOG_TASK,0)),""))</f>
        <v>1</v>
      </c>
      <c r="D358" s="10" t="s">
        <v>363</v>
      </c>
      <c r="E358" s="41" t="str">
        <f t="shared" si="1"/>
        <v>PROX3</v>
      </c>
    </row>
    <row r="359" ht="15.75" customHeight="1">
      <c r="A359" s="10" t="s">
        <v>37</v>
      </c>
      <c r="B359" s="10" t="s">
        <v>124</v>
      </c>
      <c r="C359" s="41">
        <f t="array" ref="C359">IF(IFERROR(INDEX(CATALOG_POINTS,MATCH(A359,CATALOG_TASK,0)),"")="",IF(MAX(IF(IFERROR(FIND(CATALOG_BASE,A359),0)=1,CATALOG_POINTS,0))=0,DAILY_POST_POINTS,MAX(IF(IFERROR(FIND(CATALOG_BASE,A359),0)=1,CATALOG_POINTS,0))),IFERROR(INDEX(CATALOG_POINTS,MATCH(A359,CATALOG_TASK,0)),""))</f>
        <v>2</v>
      </c>
      <c r="D359" s="10" t="s">
        <v>363</v>
      </c>
      <c r="E359" s="41" t="str">
        <f t="shared" si="1"/>
        <v>PROX3</v>
      </c>
    </row>
    <row r="360" ht="15.75" customHeight="1">
      <c r="A360" s="10" t="s">
        <v>363</v>
      </c>
      <c r="B360" s="10" t="s">
        <v>127</v>
      </c>
      <c r="C360" s="41">
        <f t="array" ref="C360">IF(IFERROR(INDEX(CATALOG_POINTS,MATCH(A360,CATALOG_TASK,0)),"")="",IF(MAX(IF(IFERROR(FIND(CATALOG_BASE,A360),0)=1,CATALOG_POINTS,0))=0,DAILY_POST_POINTS,MAX(IF(IFERROR(FIND(CATALOG_BASE,A360),0)=1,CATALOG_POINTS,0))),IFERROR(INDEX(CATALOG_POINTS,MATCH(A360,CATALOG_TASK,0)),""))</f>
        <v>1</v>
      </c>
      <c r="D360" s="10" t="s">
        <v>363</v>
      </c>
      <c r="E360" s="41" t="str">
        <f t="shared" si="1"/>
        <v>PROX3</v>
      </c>
    </row>
    <row r="361" ht="15.75" customHeight="1">
      <c r="A361" s="10" t="s">
        <v>168</v>
      </c>
      <c r="B361" s="10" t="s">
        <v>117</v>
      </c>
      <c r="C361" s="41">
        <f t="array" ref="C361">IF(IFERROR(INDEX(CATALOG_POINTS,MATCH(A361,CATALOG_TASK,0)),"")="",IF(MAX(IF(IFERROR(FIND(CATALOG_BASE,A361),0)=1,CATALOG_POINTS,0))=0,DAILY_POST_POINTS,MAX(IF(IFERROR(FIND(CATALOG_BASE,A361),0)=1,CATALOG_POINTS,0))),IFERROR(INDEX(CATALOG_POINTS,MATCH(A361,CATALOG_TASK,0)),""))</f>
        <v>1</v>
      </c>
      <c r="D361" s="10" t="s">
        <v>363</v>
      </c>
      <c r="E361" s="41" t="str">
        <f t="shared" si="1"/>
        <v>PROX3</v>
      </c>
    </row>
    <row r="362" ht="15.75" customHeight="1">
      <c r="A362" s="10" t="s">
        <v>37</v>
      </c>
      <c r="B362" s="10" t="s">
        <v>125</v>
      </c>
      <c r="C362" s="41">
        <f t="array" ref="C362">IF(IFERROR(INDEX(CATALOG_POINTS,MATCH(A362,CATALOG_TASK,0)),"")="",IF(MAX(IF(IFERROR(FIND(CATALOG_BASE,A362),0)=1,CATALOG_POINTS,0))=0,DAILY_POST_POINTS,MAX(IF(IFERROR(FIND(CATALOG_BASE,A362),0)=1,CATALOG_POINTS,0))),IFERROR(INDEX(CATALOG_POINTS,MATCH(A362,CATALOG_TASK,0)),""))</f>
        <v>2</v>
      </c>
      <c r="D362" s="10" t="s">
        <v>363</v>
      </c>
      <c r="E362" s="41" t="str">
        <f t="shared" si="1"/>
        <v>PROX3</v>
      </c>
    </row>
    <row r="363" ht="15.75" customHeight="1">
      <c r="A363" s="10" t="s">
        <v>364</v>
      </c>
      <c r="B363" s="10" t="s">
        <v>122</v>
      </c>
      <c r="C363" s="41">
        <f t="array" ref="C363">IF(IFERROR(INDEX(CATALOG_POINTS,MATCH(A363,CATALOG_TASK,0)),"")="",IF(MAX(IF(IFERROR(FIND(CATALOG_BASE,A363),0)=1,CATALOG_POINTS,0))=0,DAILY_POST_POINTS,MAX(IF(IFERROR(FIND(CATALOG_BASE,A363),0)=1,CATALOG_POINTS,0))),IFERROR(INDEX(CATALOG_POINTS,MATCH(A363,CATALOG_TASK,0)),""))</f>
        <v>1</v>
      </c>
      <c r="D363" s="10" t="s">
        <v>364</v>
      </c>
      <c r="E363" s="41" t="str">
        <f t="shared" si="1"/>
        <v>PROX4</v>
      </c>
    </row>
    <row r="364" ht="15.75" customHeight="1">
      <c r="A364" s="10" t="s">
        <v>365</v>
      </c>
      <c r="B364" s="10" t="s">
        <v>121</v>
      </c>
      <c r="C364" s="41">
        <f t="array" ref="C364">IF(IFERROR(INDEX(CATALOG_POINTS,MATCH(A364,CATALOG_TASK,0)),"")="",IF(MAX(IF(IFERROR(FIND(CATALOG_BASE,A364),0)=1,CATALOG_POINTS,0))=0,DAILY_POST_POINTS,MAX(IF(IFERROR(FIND(CATALOG_BASE,A364),0)=1,CATALOG_POINTS,0))),IFERROR(INDEX(CATALOG_POINTS,MATCH(A364,CATALOG_TASK,0)),""))</f>
        <v>1</v>
      </c>
      <c r="D364" s="10" t="s">
        <v>365</v>
      </c>
      <c r="E364" s="41" t="str">
        <f t="shared" si="1"/>
        <v>PROX4</v>
      </c>
    </row>
    <row r="365" ht="15.75" customHeight="1">
      <c r="A365" s="10" t="s">
        <v>174</v>
      </c>
      <c r="B365" s="10" t="s">
        <v>124</v>
      </c>
      <c r="C365" s="41">
        <f t="array" ref="C365">IF(IFERROR(INDEX(CATALOG_POINTS,MATCH(A365,CATALOG_TASK,0)),"")="",IF(MAX(IF(IFERROR(FIND(CATALOG_BASE,A365),0)=1,CATALOG_POINTS,0))=0,DAILY_POST_POINTS,MAX(IF(IFERROR(FIND(CATALOG_BASE,A365),0)=1,CATALOG_POINTS,0))),IFERROR(INDEX(CATALOG_POINTS,MATCH(A365,CATALOG_TASK,0)),""))</f>
        <v>1</v>
      </c>
      <c r="D365" s="10" t="s">
        <v>366</v>
      </c>
      <c r="E365" s="41" t="str">
        <f t="shared" si="1"/>
        <v>PROX3</v>
      </c>
    </row>
    <row r="366" ht="15.75" customHeight="1">
      <c r="A366" s="10" t="s">
        <v>178</v>
      </c>
      <c r="B366" s="10" t="s">
        <v>119</v>
      </c>
      <c r="C366" s="41">
        <f t="array" ref="C366">IF(IFERROR(INDEX(CATALOG_POINTS,MATCH(A366,CATALOG_TASK,0)),"")="",IF(MAX(IF(IFERROR(FIND(CATALOG_BASE,A366),0)=1,CATALOG_POINTS,0))=0,DAILY_POST_POINTS,MAX(IF(IFERROR(FIND(CATALOG_BASE,A366),0)=1,CATALOG_POINTS,0))),IFERROR(INDEX(CATALOG_POINTS,MATCH(A366,CATALOG_TASK,0)),""))</f>
        <v>1</v>
      </c>
      <c r="D366" s="10" t="s">
        <v>366</v>
      </c>
      <c r="E366" s="41" t="str">
        <f t="shared" si="1"/>
        <v>PROX3</v>
      </c>
    </row>
    <row r="367" ht="15.75" customHeight="1">
      <c r="A367" s="10" t="s">
        <v>366</v>
      </c>
      <c r="B367" s="10" t="s">
        <v>120</v>
      </c>
      <c r="C367" s="41">
        <f t="array" ref="C367">IF(IFERROR(INDEX(CATALOG_POINTS,MATCH(A367,CATALOG_TASK,0)),"")="",IF(MAX(IF(IFERROR(FIND(CATALOG_BASE,A367),0)=1,CATALOG_POINTS,0))=0,DAILY_POST_POINTS,MAX(IF(IFERROR(FIND(CATALOG_BASE,A367),0)=1,CATALOG_POINTS,0))),IFERROR(INDEX(CATALOG_POINTS,MATCH(A367,CATALOG_TASK,0)),""))</f>
        <v>1</v>
      </c>
      <c r="D367" s="10" t="s">
        <v>366</v>
      </c>
      <c r="E367" s="41" t="str">
        <f t="shared" si="1"/>
        <v>PROX3</v>
      </c>
    </row>
    <row r="368" ht="15.75" customHeight="1">
      <c r="A368" s="10" t="s">
        <v>367</v>
      </c>
      <c r="B368" s="10" t="s">
        <v>125</v>
      </c>
      <c r="C368" s="41">
        <f t="array" ref="C368">IF(IFERROR(INDEX(CATALOG_POINTS,MATCH(A368,CATALOG_TASK,0)),"")="",IF(MAX(IF(IFERROR(FIND(CATALOG_BASE,A368),0)=1,CATALOG_POINTS,0))=0,DAILY_POST_POINTS,MAX(IF(IFERROR(FIND(CATALOG_BASE,A368),0)=1,CATALOG_POINTS,0))),IFERROR(INDEX(CATALOG_POINTS,MATCH(A368,CATALOG_TASK,0)),""))</f>
        <v>1</v>
      </c>
      <c r="D368" s="10" t="s">
        <v>367</v>
      </c>
      <c r="E368" s="41" t="str">
        <f t="shared" si="1"/>
        <v>PROX4</v>
      </c>
    </row>
    <row r="369" ht="15.75" customHeight="1">
      <c r="A369" s="10" t="s">
        <v>368</v>
      </c>
      <c r="B369" s="10" t="s">
        <v>125</v>
      </c>
      <c r="C369" s="41">
        <f t="array" ref="C369">IF(IFERROR(INDEX(CATALOG_POINTS,MATCH(A369,CATALOG_TASK,0)),"")="",IF(MAX(IF(IFERROR(FIND(CATALOG_BASE,A369),0)=1,CATALOG_POINTS,0))=0,DAILY_POST_POINTS,MAX(IF(IFERROR(FIND(CATALOG_BASE,A369),0)=1,CATALOG_POINTS,0))),IFERROR(INDEX(CATALOG_POINTS,MATCH(A369,CATALOG_TASK,0)),""))</f>
        <v>1</v>
      </c>
      <c r="D369" s="10" t="s">
        <v>368</v>
      </c>
      <c r="E369" s="41" t="str">
        <f t="shared" si="1"/>
        <v>PROX3</v>
      </c>
    </row>
    <row r="370" ht="15.75" customHeight="1">
      <c r="A370" s="10" t="s">
        <v>369</v>
      </c>
      <c r="B370" s="10" t="s">
        <v>123</v>
      </c>
      <c r="C370" s="41">
        <f t="array" ref="C370">IF(IFERROR(INDEX(CATALOG_POINTS,MATCH(A370,CATALOG_TASK,0)),"")="",IF(MAX(IF(IFERROR(FIND(CATALOG_BASE,A370),0)=1,CATALOG_POINTS,0))=0,DAILY_POST_POINTS,MAX(IF(IFERROR(FIND(CATALOG_BASE,A370),0)=1,CATALOG_POINTS,0))),IFERROR(INDEX(CATALOG_POINTS,MATCH(A370,CATALOG_TASK,0)),""))</f>
        <v>1</v>
      </c>
      <c r="D370" s="10" t="s">
        <v>370</v>
      </c>
      <c r="E370" s="41" t="str">
        <f t="shared" si="1"/>
        <v>PROX3</v>
      </c>
    </row>
    <row r="371" ht="15.75" customHeight="1">
      <c r="A371" s="10" t="s">
        <v>370</v>
      </c>
      <c r="B371" s="10" t="s">
        <v>124</v>
      </c>
      <c r="C371" s="41">
        <f t="array" ref="C371">IF(IFERROR(INDEX(CATALOG_POINTS,MATCH(A371,CATALOG_TASK,0)),"")="",IF(MAX(IF(IFERROR(FIND(CATALOG_BASE,A371),0)=1,CATALOG_POINTS,0))=0,DAILY_POST_POINTS,MAX(IF(IFERROR(FIND(CATALOG_BASE,A371),0)=1,CATALOG_POINTS,0))),IFERROR(INDEX(CATALOG_POINTS,MATCH(A371,CATALOG_TASK,0)),""))</f>
        <v>1</v>
      </c>
      <c r="D371" s="10" t="s">
        <v>370</v>
      </c>
      <c r="E371" s="41" t="str">
        <f t="shared" si="1"/>
        <v>PROX3</v>
      </c>
    </row>
    <row r="372" ht="15.75" customHeight="1">
      <c r="A372" s="10" t="s">
        <v>371</v>
      </c>
      <c r="B372" s="10" t="s">
        <v>122</v>
      </c>
      <c r="C372" s="41">
        <f t="array" ref="C372">IF(IFERROR(INDEX(CATALOG_POINTS,MATCH(A372,CATALOG_TASK,0)),"")="",IF(MAX(IF(IFERROR(FIND(CATALOG_BASE,A372),0)=1,CATALOG_POINTS,0))=0,DAILY_POST_POINTS,MAX(IF(IFERROR(FIND(CATALOG_BASE,A372),0)=1,CATALOG_POINTS,0))),IFERROR(INDEX(CATALOG_POINTS,MATCH(A372,CATALOG_TASK,0)),""))</f>
        <v>1</v>
      </c>
      <c r="D372" s="10" t="s">
        <v>370</v>
      </c>
      <c r="E372" s="41" t="str">
        <f t="shared" si="1"/>
        <v>PROX3</v>
      </c>
    </row>
    <row r="373" ht="15.75" customHeight="1">
      <c r="A373" s="10" t="s">
        <v>372</v>
      </c>
      <c r="B373" s="10" t="s">
        <v>117</v>
      </c>
      <c r="C373" s="41">
        <f t="array" ref="C373">IF(IFERROR(INDEX(CATALOG_POINTS,MATCH(A373,CATALOG_TASK,0)),"")="",IF(MAX(IF(IFERROR(FIND(CATALOG_BASE,A373),0)=1,CATALOG_POINTS,0))=0,DAILY_POST_POINTS,MAX(IF(IFERROR(FIND(CATALOG_BASE,A373),0)=1,CATALOG_POINTS,0))),IFERROR(INDEX(CATALOG_POINTS,MATCH(A373,CATALOG_TASK,0)),""))</f>
        <v>1</v>
      </c>
      <c r="D373" s="10" t="s">
        <v>372</v>
      </c>
      <c r="E373" s="41" t="str">
        <f t="shared" si="1"/>
        <v>PROX3</v>
      </c>
    </row>
    <row r="374" ht="15.75" customHeight="1">
      <c r="A374" s="10" t="s">
        <v>37</v>
      </c>
      <c r="B374" s="10" t="s">
        <v>120</v>
      </c>
      <c r="C374" s="41">
        <f t="array" ref="C374">IF(IFERROR(INDEX(CATALOG_POINTS,MATCH(A374,CATALOG_TASK,0)),"")="",IF(MAX(IF(IFERROR(FIND(CATALOG_BASE,A374),0)=1,CATALOG_POINTS,0))=0,DAILY_POST_POINTS,MAX(IF(IFERROR(FIND(CATALOG_BASE,A374),0)=1,CATALOG_POINTS,0))),IFERROR(INDEX(CATALOG_POINTS,MATCH(A374,CATALOG_TASK,0)),""))</f>
        <v>2</v>
      </c>
      <c r="D374" s="10" t="s">
        <v>372</v>
      </c>
      <c r="E374" s="41" t="str">
        <f t="shared" si="1"/>
        <v>PROX3</v>
      </c>
    </row>
    <row r="375" ht="15.75" customHeight="1">
      <c r="A375" s="10" t="s">
        <v>37</v>
      </c>
      <c r="B375" s="10" t="s">
        <v>127</v>
      </c>
      <c r="C375" s="41">
        <f t="array" ref="C375">IF(IFERROR(INDEX(CATALOG_POINTS,MATCH(A375,CATALOG_TASK,0)),"")="",IF(MAX(IF(IFERROR(FIND(CATALOG_BASE,A375),0)=1,CATALOG_POINTS,0))=0,DAILY_POST_POINTS,MAX(IF(IFERROR(FIND(CATALOG_BASE,A375),0)=1,CATALOG_POINTS,0))),IFERROR(INDEX(CATALOG_POINTS,MATCH(A375,CATALOG_TASK,0)),""))</f>
        <v>2</v>
      </c>
      <c r="D375" s="10" t="s">
        <v>372</v>
      </c>
      <c r="E375" s="41" t="str">
        <f t="shared" si="1"/>
        <v>PROX3</v>
      </c>
    </row>
    <row r="376" ht="15.75" customHeight="1">
      <c r="A376" s="10" t="s">
        <v>373</v>
      </c>
      <c r="B376" s="10" t="s">
        <v>136</v>
      </c>
      <c r="C376" s="41">
        <f t="array" ref="C376">IF(IFERROR(INDEX(CATALOG_POINTS,MATCH(A376,CATALOG_TASK,0)),"")="",IF(MAX(IF(IFERROR(FIND(CATALOG_BASE,A376),0)=1,CATALOG_POINTS,0))=0,DAILY_POST_POINTS,MAX(IF(IFERROR(FIND(CATALOG_BASE,A376),0)=1,CATALOG_POINTS,0))),IFERROR(INDEX(CATALOG_POINTS,MATCH(A376,CATALOG_TASK,0)),""))</f>
        <v>1</v>
      </c>
      <c r="D376" s="10" t="s">
        <v>373</v>
      </c>
      <c r="E376" s="41" t="str">
        <f t="shared" si="1"/>
        <v>PROX3</v>
      </c>
    </row>
    <row r="377" ht="15.75" customHeight="1">
      <c r="A377" s="10" t="s">
        <v>37</v>
      </c>
      <c r="B377" s="10" t="s">
        <v>127</v>
      </c>
      <c r="C377" s="41">
        <f t="array" ref="C377">IF(IFERROR(INDEX(CATALOG_POINTS,MATCH(A377,CATALOG_TASK,0)),"")="",IF(MAX(IF(IFERROR(FIND(CATALOG_BASE,A377),0)=1,CATALOG_POINTS,0))=0,DAILY_POST_POINTS,MAX(IF(IFERROR(FIND(CATALOG_BASE,A377),0)=1,CATALOG_POINTS,0))),IFERROR(INDEX(CATALOG_POINTS,MATCH(A377,CATALOG_TASK,0)),""))</f>
        <v>2</v>
      </c>
      <c r="D377" s="10" t="s">
        <v>374</v>
      </c>
      <c r="E377" s="41" t="str">
        <f t="shared" si="1"/>
        <v>PROX3</v>
      </c>
    </row>
    <row r="378" ht="15.75" customHeight="1">
      <c r="A378" s="10" t="s">
        <v>168</v>
      </c>
      <c r="B378" s="10" t="s">
        <v>127</v>
      </c>
      <c r="C378" s="41">
        <f t="array" ref="C378">IF(IFERROR(INDEX(CATALOG_POINTS,MATCH(A378,CATALOG_TASK,0)),"")="",IF(MAX(IF(IFERROR(FIND(CATALOG_BASE,A378),0)=1,CATALOG_POINTS,0))=0,DAILY_POST_POINTS,MAX(IF(IFERROR(FIND(CATALOG_BASE,A378),0)=1,CATALOG_POINTS,0))),IFERROR(INDEX(CATALOG_POINTS,MATCH(A378,CATALOG_TASK,0)),""))</f>
        <v>1</v>
      </c>
      <c r="D378" s="10" t="s">
        <v>374</v>
      </c>
      <c r="E378" s="41" t="str">
        <f t="shared" si="1"/>
        <v>PROX3</v>
      </c>
    </row>
    <row r="379" ht="15.75" customHeight="1">
      <c r="A379" s="10" t="s">
        <v>37</v>
      </c>
      <c r="B379" s="10" t="s">
        <v>124</v>
      </c>
      <c r="C379" s="41">
        <f t="array" ref="C379">IF(IFERROR(INDEX(CATALOG_POINTS,MATCH(A379,CATALOG_TASK,0)),"")="",IF(MAX(IF(IFERROR(FIND(CATALOG_BASE,A379),0)=1,CATALOG_POINTS,0))=0,DAILY_POST_POINTS,MAX(IF(IFERROR(FIND(CATALOG_BASE,A379),0)=1,CATALOG_POINTS,0))),IFERROR(INDEX(CATALOG_POINTS,MATCH(A379,CATALOG_TASK,0)),""))</f>
        <v>2</v>
      </c>
      <c r="D379" s="10" t="s">
        <v>374</v>
      </c>
      <c r="E379" s="41" t="str">
        <f t="shared" si="1"/>
        <v>PROX3</v>
      </c>
    </row>
    <row r="380" ht="15.75" customHeight="1">
      <c r="A380" s="10" t="s">
        <v>37</v>
      </c>
      <c r="B380" s="10" t="s">
        <v>117</v>
      </c>
      <c r="C380" s="41">
        <f t="array" ref="C380">IF(IFERROR(INDEX(CATALOG_POINTS,MATCH(A380,CATALOG_TASK,0)),"")="",IF(MAX(IF(IFERROR(FIND(CATALOG_BASE,A380),0)=1,CATALOG_POINTS,0))=0,DAILY_POST_POINTS,MAX(IF(IFERROR(FIND(CATALOG_BASE,A380),0)=1,CATALOG_POINTS,0))),IFERROR(INDEX(CATALOG_POINTS,MATCH(A380,CATALOG_TASK,0)),""))</f>
        <v>2</v>
      </c>
      <c r="D380" s="10" t="s">
        <v>374</v>
      </c>
      <c r="E380" s="41" t="str">
        <f t="shared" si="1"/>
        <v>PROX3</v>
      </c>
    </row>
    <row r="381" ht="15.75" customHeight="1">
      <c r="A381" s="10" t="s">
        <v>374</v>
      </c>
      <c r="B381" s="10" t="s">
        <v>124</v>
      </c>
      <c r="C381" s="41">
        <f t="array" ref="C381">IF(IFERROR(INDEX(CATALOG_POINTS,MATCH(A381,CATALOG_TASK,0)),"")="",IF(MAX(IF(IFERROR(FIND(CATALOG_BASE,A381),0)=1,CATALOG_POINTS,0))=0,DAILY_POST_POINTS,MAX(IF(IFERROR(FIND(CATALOG_BASE,A381),0)=1,CATALOG_POINTS,0))),IFERROR(INDEX(CATALOG_POINTS,MATCH(A381,CATALOG_TASK,0)),""))</f>
        <v>1</v>
      </c>
      <c r="D381" s="10" t="s">
        <v>374</v>
      </c>
      <c r="E381" s="41" t="str">
        <f t="shared" si="1"/>
        <v>PROX3</v>
      </c>
    </row>
    <row r="382" ht="15.75" customHeight="1">
      <c r="A382" s="10" t="s">
        <v>168</v>
      </c>
      <c r="B382" s="10" t="s">
        <v>126</v>
      </c>
      <c r="C382" s="41">
        <f t="array" ref="C382">IF(IFERROR(INDEX(CATALOG_POINTS,MATCH(A382,CATALOG_TASK,0)),"")="",IF(MAX(IF(IFERROR(FIND(CATALOG_BASE,A382),0)=1,CATALOG_POINTS,0))=0,DAILY_POST_POINTS,MAX(IF(IFERROR(FIND(CATALOG_BASE,A382),0)=1,CATALOG_POINTS,0))),IFERROR(INDEX(CATALOG_POINTS,MATCH(A382,CATALOG_TASK,0)),""))</f>
        <v>1</v>
      </c>
      <c r="D382" s="10" t="s">
        <v>375</v>
      </c>
      <c r="E382" s="41" t="str">
        <f t="shared" si="1"/>
        <v>PROX3</v>
      </c>
    </row>
    <row r="383" ht="15.75" customHeight="1">
      <c r="A383" s="10" t="s">
        <v>375</v>
      </c>
      <c r="B383" s="10" t="s">
        <v>135</v>
      </c>
      <c r="C383" s="41">
        <f t="array" ref="C383">IF(IFERROR(INDEX(CATALOG_POINTS,MATCH(A383,CATALOG_TASK,0)),"")="",IF(MAX(IF(IFERROR(FIND(CATALOG_BASE,A383),0)=1,CATALOG_POINTS,0))=0,DAILY_POST_POINTS,MAX(IF(IFERROR(FIND(CATALOG_BASE,A383),0)=1,CATALOG_POINTS,0))),IFERROR(INDEX(CATALOG_POINTS,MATCH(A383,CATALOG_TASK,0)),""))</f>
        <v>1</v>
      </c>
      <c r="D383" s="10" t="s">
        <v>375</v>
      </c>
      <c r="E383" s="41" t="str">
        <f t="shared" si="1"/>
        <v>PROX3</v>
      </c>
    </row>
    <row r="384" ht="15.75" customHeight="1">
      <c r="A384" s="10" t="s">
        <v>37</v>
      </c>
      <c r="B384" s="10" t="s">
        <v>126</v>
      </c>
      <c r="C384" s="41">
        <f t="array" ref="C384">IF(IFERROR(INDEX(CATALOG_POINTS,MATCH(A384,CATALOG_TASK,0)),"")="",IF(MAX(IF(IFERROR(FIND(CATALOG_BASE,A384),0)=1,CATALOG_POINTS,0))=0,DAILY_POST_POINTS,MAX(IF(IFERROR(FIND(CATALOG_BASE,A384),0)=1,CATALOG_POINTS,0))),IFERROR(INDEX(CATALOG_POINTS,MATCH(A384,CATALOG_TASK,0)),""))</f>
        <v>2</v>
      </c>
      <c r="D384" s="10" t="s">
        <v>375</v>
      </c>
      <c r="E384" s="41" t="str">
        <f t="shared" si="1"/>
        <v>PROX3</v>
      </c>
    </row>
    <row r="385" ht="15.75" customHeight="1">
      <c r="A385" s="10" t="s">
        <v>376</v>
      </c>
      <c r="B385" s="10" t="s">
        <v>122</v>
      </c>
      <c r="C385" s="41">
        <f t="array" ref="C385">IF(IFERROR(INDEX(CATALOG_POINTS,MATCH(A385,CATALOG_TASK,0)),"")="",IF(MAX(IF(IFERROR(FIND(CATALOG_BASE,A385),0)=1,CATALOG_POINTS,0))=0,DAILY_POST_POINTS,MAX(IF(IFERROR(FIND(CATALOG_BASE,A385),0)=1,CATALOG_POINTS,0))),IFERROR(INDEX(CATALOG_POINTS,MATCH(A385,CATALOG_TASK,0)),""))</f>
        <v>1</v>
      </c>
      <c r="D385" s="10" t="s">
        <v>376</v>
      </c>
      <c r="E385" s="41" t="str">
        <f t="shared" si="1"/>
        <v>PROX3</v>
      </c>
    </row>
    <row r="386" ht="15.75" customHeight="1">
      <c r="A386" s="10" t="s">
        <v>37</v>
      </c>
      <c r="B386" s="10" t="s">
        <v>122</v>
      </c>
      <c r="C386" s="41">
        <f t="array" ref="C386">IF(IFERROR(INDEX(CATALOG_POINTS,MATCH(A386,CATALOG_TASK,0)),"")="",IF(MAX(IF(IFERROR(FIND(CATALOG_BASE,A386),0)=1,CATALOG_POINTS,0))=0,DAILY_POST_POINTS,MAX(IF(IFERROR(FIND(CATALOG_BASE,A386),0)=1,CATALOG_POINTS,0))),IFERROR(INDEX(CATALOG_POINTS,MATCH(A386,CATALOG_TASK,0)),""))</f>
        <v>2</v>
      </c>
      <c r="D386" s="10" t="s">
        <v>377</v>
      </c>
      <c r="E386" s="41" t="str">
        <f t="shared" si="1"/>
        <v>PROX3</v>
      </c>
    </row>
    <row r="387" ht="15.75" customHeight="1">
      <c r="A387" s="10" t="s">
        <v>37</v>
      </c>
      <c r="B387" s="10" t="s">
        <v>123</v>
      </c>
      <c r="C387" s="41">
        <f t="array" ref="C387">IF(IFERROR(INDEX(CATALOG_POINTS,MATCH(A387,CATALOG_TASK,0)),"")="",IF(MAX(IF(IFERROR(FIND(CATALOG_BASE,A387),0)=1,CATALOG_POINTS,0))=0,DAILY_POST_POINTS,MAX(IF(IFERROR(FIND(CATALOG_BASE,A387),0)=1,CATALOG_POINTS,0))),IFERROR(INDEX(CATALOG_POINTS,MATCH(A387,CATALOG_TASK,0)),""))</f>
        <v>2</v>
      </c>
      <c r="D387" s="10" t="s">
        <v>377</v>
      </c>
      <c r="E387" s="41" t="str">
        <f t="shared" si="1"/>
        <v>PROX3</v>
      </c>
    </row>
    <row r="388" ht="15.75" customHeight="1">
      <c r="A388" s="10" t="s">
        <v>377</v>
      </c>
      <c r="B388" s="10" t="s">
        <v>120</v>
      </c>
      <c r="C388" s="41">
        <f t="array" ref="C388">IF(IFERROR(INDEX(CATALOG_POINTS,MATCH(A388,CATALOG_TASK,0)),"")="",IF(MAX(IF(IFERROR(FIND(CATALOG_BASE,A388),0)=1,CATALOG_POINTS,0))=0,DAILY_POST_POINTS,MAX(IF(IFERROR(FIND(CATALOG_BASE,A388),0)=1,CATALOG_POINTS,0))),IFERROR(INDEX(CATALOG_POINTS,MATCH(A388,CATALOG_TASK,0)),""))</f>
        <v>1</v>
      </c>
      <c r="D388" s="10" t="s">
        <v>377</v>
      </c>
      <c r="E388" s="41" t="str">
        <f t="shared" si="1"/>
        <v>PROX3</v>
      </c>
    </row>
    <row r="389" ht="15.75" customHeight="1">
      <c r="A389" s="10" t="s">
        <v>37</v>
      </c>
      <c r="B389" s="10" t="s">
        <v>117</v>
      </c>
      <c r="C389" s="41">
        <f t="array" ref="C389">IF(IFERROR(INDEX(CATALOG_POINTS,MATCH(A389,CATALOG_TASK,0)),"")="",IF(MAX(IF(IFERROR(FIND(CATALOG_BASE,A389),0)=1,CATALOG_POINTS,0))=0,DAILY_POST_POINTS,MAX(IF(IFERROR(FIND(CATALOG_BASE,A389),0)=1,CATALOG_POINTS,0))),IFERROR(INDEX(CATALOG_POINTS,MATCH(A389,CATALOG_TASK,0)),""))</f>
        <v>2</v>
      </c>
      <c r="D389" s="10" t="s">
        <v>377</v>
      </c>
      <c r="E389" s="41" t="str">
        <f t="shared" si="1"/>
        <v>PROX3</v>
      </c>
    </row>
    <row r="390" ht="15.75" customHeight="1">
      <c r="A390" s="10" t="s">
        <v>24</v>
      </c>
      <c r="B390" s="10" t="s">
        <v>121</v>
      </c>
      <c r="C390" s="41">
        <f t="array" ref="C390">IF(IFERROR(INDEX(CATALOG_POINTS,MATCH(A390,CATALOG_TASK,0)),"")="",IF(MAX(IF(IFERROR(FIND(CATALOG_BASE,A390),0)=1,CATALOG_POINTS,0))=0,DAILY_POST_POINTS,MAX(IF(IFERROR(FIND(CATALOG_BASE,A390),0)=1,CATALOG_POINTS,0))),IFERROR(INDEX(CATALOG_POINTS,MATCH(A390,CATALOG_TASK,0)),""))</f>
        <v>2</v>
      </c>
      <c r="D390" s="10" t="s">
        <v>378</v>
      </c>
      <c r="E390" s="41" t="str">
        <f t="shared" si="1"/>
        <v>PROX3</v>
      </c>
    </row>
    <row r="391" ht="15.75" customHeight="1">
      <c r="A391" s="10" t="s">
        <v>174</v>
      </c>
      <c r="B391" s="10" t="s">
        <v>119</v>
      </c>
      <c r="C391" s="41">
        <f t="array" ref="C391">IF(IFERROR(INDEX(CATALOG_POINTS,MATCH(A391,CATALOG_TASK,0)),"")="",IF(MAX(IF(IFERROR(FIND(CATALOG_BASE,A391),0)=1,CATALOG_POINTS,0))=0,DAILY_POST_POINTS,MAX(IF(IFERROR(FIND(CATALOG_BASE,A391),0)=1,CATALOG_POINTS,0))),IFERROR(INDEX(CATALOG_POINTS,MATCH(A391,CATALOG_TASK,0)),""))</f>
        <v>1</v>
      </c>
      <c r="D391" s="10" t="s">
        <v>378</v>
      </c>
      <c r="E391" s="41" t="str">
        <f t="shared" si="1"/>
        <v>PROX3</v>
      </c>
    </row>
    <row r="392" ht="15.75" customHeight="1">
      <c r="A392" s="10" t="s">
        <v>379</v>
      </c>
      <c r="B392" s="10" t="s">
        <v>119</v>
      </c>
      <c r="C392" s="41">
        <f t="array" ref="C392">IF(IFERROR(INDEX(CATALOG_POINTS,MATCH(A392,CATALOG_TASK,0)),"")="",IF(MAX(IF(IFERROR(FIND(CATALOG_BASE,A392),0)=1,CATALOG_POINTS,0))=0,DAILY_POST_POINTS,MAX(IF(IFERROR(FIND(CATALOG_BASE,A392),0)=1,CATALOG_POINTS,0))),IFERROR(INDEX(CATALOG_POINTS,MATCH(A392,CATALOG_TASK,0)),""))</f>
        <v>1</v>
      </c>
      <c r="D392" s="10" t="s">
        <v>379</v>
      </c>
      <c r="E392" s="41" t="str">
        <f t="shared" si="1"/>
        <v>PROX4</v>
      </c>
    </row>
    <row r="393" ht="15.75" customHeight="1">
      <c r="A393" s="10" t="s">
        <v>380</v>
      </c>
      <c r="B393" s="10" t="s">
        <v>151</v>
      </c>
      <c r="C393" s="41">
        <f t="array" ref="C393">IF(IFERROR(INDEX(CATALOG_POINTS,MATCH(A393,CATALOG_TASK,0)),"")="",IF(MAX(IF(IFERROR(FIND(CATALOG_BASE,A393),0)=1,CATALOG_POINTS,0))=0,DAILY_POST_POINTS,MAX(IF(IFERROR(FIND(CATALOG_BASE,A393),0)=1,CATALOG_POINTS,0))),IFERROR(INDEX(CATALOG_POINTS,MATCH(A393,CATALOG_TASK,0)),""))</f>
        <v>1</v>
      </c>
      <c r="D393" s="10" t="s">
        <v>381</v>
      </c>
      <c r="E393" s="41" t="str">
        <f t="shared" si="1"/>
        <v>PROX4</v>
      </c>
    </row>
    <row r="394" ht="15.75" customHeight="1">
      <c r="A394" s="10" t="s">
        <v>381</v>
      </c>
      <c r="B394" s="10" t="s">
        <v>119</v>
      </c>
      <c r="C394" s="41">
        <f t="array" ref="C394">IF(IFERROR(INDEX(CATALOG_POINTS,MATCH(A394,CATALOG_TASK,0)),"")="",IF(MAX(IF(IFERROR(FIND(CATALOG_BASE,A394),0)=1,CATALOG_POINTS,0))=0,DAILY_POST_POINTS,MAX(IF(IFERROR(FIND(CATALOG_BASE,A394),0)=1,CATALOG_POINTS,0))),IFERROR(INDEX(CATALOG_POINTS,MATCH(A394,CATALOG_TASK,0)),""))</f>
        <v>1</v>
      </c>
      <c r="D394" s="10" t="s">
        <v>381</v>
      </c>
      <c r="E394" s="41" t="str">
        <f t="shared" si="1"/>
        <v>PROX4</v>
      </c>
    </row>
    <row r="395" ht="15.75" customHeight="1">
      <c r="A395" s="10" t="s">
        <v>179</v>
      </c>
      <c r="B395" s="10" t="s">
        <v>140</v>
      </c>
      <c r="C395" s="41">
        <f t="array" ref="C395">IF(IFERROR(INDEX(CATALOG_POINTS,MATCH(A395,CATALOG_TASK,0)),"")="",IF(MAX(IF(IFERROR(FIND(CATALOG_BASE,A395),0)=1,CATALOG_POINTS,0))=0,DAILY_POST_POINTS,MAX(IF(IFERROR(FIND(CATALOG_BASE,A395),0)=1,CATALOG_POINTS,0))),IFERROR(INDEX(CATALOG_POINTS,MATCH(A395,CATALOG_TASK,0)),""))</f>
        <v>1</v>
      </c>
      <c r="D395" s="10" t="s">
        <v>381</v>
      </c>
      <c r="E395" s="41" t="str">
        <f t="shared" si="1"/>
        <v>PROX4</v>
      </c>
    </row>
    <row r="396" ht="15.75" customHeight="1">
      <c r="A396" s="10" t="s">
        <v>382</v>
      </c>
      <c r="B396" s="10" t="s">
        <v>125</v>
      </c>
      <c r="C396" s="41">
        <f t="array" ref="C396">IF(IFERROR(INDEX(CATALOG_POINTS,MATCH(A396,CATALOG_TASK,0)),"")="",IF(MAX(IF(IFERROR(FIND(CATALOG_BASE,A396),0)=1,CATALOG_POINTS,0))=0,DAILY_POST_POINTS,MAX(IF(IFERROR(FIND(CATALOG_BASE,A396),0)=1,CATALOG_POINTS,0))),IFERROR(INDEX(CATALOG_POINTS,MATCH(A396,CATALOG_TASK,0)),""))</f>
        <v>1</v>
      </c>
      <c r="D396" s="10" t="s">
        <v>382</v>
      </c>
      <c r="E396" s="41" t="str">
        <f t="shared" si="1"/>
        <v>PROX4</v>
      </c>
    </row>
    <row r="397" ht="15.75" customHeight="1">
      <c r="A397" s="10" t="s">
        <v>383</v>
      </c>
      <c r="B397" s="10" t="s">
        <v>120</v>
      </c>
      <c r="C397" s="41">
        <f t="array" ref="C397">IF(IFERROR(INDEX(CATALOG_POINTS,MATCH(A397,CATALOG_TASK,0)),"")="",IF(MAX(IF(IFERROR(FIND(CATALOG_BASE,A397),0)=1,CATALOG_POINTS,0))=0,DAILY_POST_POINTS,MAX(IF(IFERROR(FIND(CATALOG_BASE,A397),0)=1,CATALOG_POINTS,0))),IFERROR(INDEX(CATALOG_POINTS,MATCH(A397,CATALOG_TASK,0)),""))</f>
        <v>1</v>
      </c>
      <c r="D397" s="10" t="s">
        <v>383</v>
      </c>
      <c r="E397" s="41" t="str">
        <f t="shared" si="1"/>
        <v>PROX4</v>
      </c>
    </row>
    <row r="398" ht="15.75" customHeight="1">
      <c r="A398" s="10" t="s">
        <v>178</v>
      </c>
      <c r="B398" s="10" t="s">
        <v>127</v>
      </c>
      <c r="C398" s="41">
        <f t="array" ref="C398">IF(IFERROR(INDEX(CATALOG_POINTS,MATCH(A398,CATALOG_TASK,0)),"")="",IF(MAX(IF(IFERROR(FIND(CATALOG_BASE,A398),0)=1,CATALOG_POINTS,0))=0,DAILY_POST_POINTS,MAX(IF(IFERROR(FIND(CATALOG_BASE,A398),0)=1,CATALOG_POINTS,0))),IFERROR(INDEX(CATALOG_POINTS,MATCH(A398,CATALOG_TASK,0)),""))</f>
        <v>1</v>
      </c>
      <c r="D398" s="10" t="s">
        <v>383</v>
      </c>
      <c r="E398" s="41" t="str">
        <f t="shared" si="1"/>
        <v>PROX4</v>
      </c>
    </row>
    <row r="399" ht="15.75" customHeight="1">
      <c r="A399" s="10" t="s">
        <v>384</v>
      </c>
      <c r="B399" s="10" t="s">
        <v>121</v>
      </c>
      <c r="C399" s="41">
        <f t="array" ref="C399">IF(IFERROR(INDEX(CATALOG_POINTS,MATCH(A399,CATALOG_TASK,0)),"")="",IF(MAX(IF(IFERROR(FIND(CATALOG_BASE,A399),0)=1,CATALOG_POINTS,0))=0,DAILY_POST_POINTS,MAX(IF(IFERROR(FIND(CATALOG_BASE,A399),0)=1,CATALOG_POINTS,0))),IFERROR(INDEX(CATALOG_POINTS,MATCH(A399,CATALOG_TASK,0)),""))</f>
        <v>1</v>
      </c>
      <c r="D399" s="10" t="s">
        <v>384</v>
      </c>
      <c r="E399" s="41" t="str">
        <f t="shared" si="1"/>
        <v>PROX3</v>
      </c>
    </row>
    <row r="400" ht="15.75" customHeight="1">
      <c r="A400" s="10" t="s">
        <v>385</v>
      </c>
      <c r="B400" s="10" t="s">
        <v>134</v>
      </c>
      <c r="C400" s="41">
        <f t="array" ref="C400">IF(IFERROR(INDEX(CATALOG_POINTS,MATCH(A400,CATALOG_TASK,0)),"")="",IF(MAX(IF(IFERROR(FIND(CATALOG_BASE,A400),0)=1,CATALOG_POINTS,0))=0,DAILY_POST_POINTS,MAX(IF(IFERROR(FIND(CATALOG_BASE,A400),0)=1,CATALOG_POINTS,0))),IFERROR(INDEX(CATALOG_POINTS,MATCH(A400,CATALOG_TASK,0)),""))</f>
        <v>1</v>
      </c>
      <c r="D400" s="10" t="s">
        <v>385</v>
      </c>
      <c r="E400" s="41" t="str">
        <f t="shared" si="1"/>
        <v>PROX3</v>
      </c>
    </row>
    <row r="401" ht="15.75" customHeight="1">
      <c r="A401" s="10" t="s">
        <v>37</v>
      </c>
      <c r="B401" s="10" t="s">
        <v>120</v>
      </c>
      <c r="C401" s="41">
        <f t="array" ref="C401">IF(IFERROR(INDEX(CATALOG_POINTS,MATCH(A401,CATALOG_TASK,0)),"")="",IF(MAX(IF(IFERROR(FIND(CATALOG_BASE,A401),0)=1,CATALOG_POINTS,0))=0,DAILY_POST_POINTS,MAX(IF(IFERROR(FIND(CATALOG_BASE,A401),0)=1,CATALOG_POINTS,0))),IFERROR(INDEX(CATALOG_POINTS,MATCH(A401,CATALOG_TASK,0)),""))</f>
        <v>2</v>
      </c>
      <c r="D401" s="10" t="s">
        <v>385</v>
      </c>
      <c r="E401" s="41" t="str">
        <f t="shared" si="1"/>
        <v>PROX3</v>
      </c>
    </row>
    <row r="402" ht="15.75" customHeight="1">
      <c r="A402" s="10" t="s">
        <v>386</v>
      </c>
      <c r="B402" s="10" t="s">
        <v>136</v>
      </c>
      <c r="C402" s="41">
        <f t="array" ref="C402">IF(IFERROR(INDEX(CATALOG_POINTS,MATCH(A402,CATALOG_TASK,0)),"")="",IF(MAX(IF(IFERROR(FIND(CATALOG_BASE,A402),0)=1,CATALOG_POINTS,0))=0,DAILY_POST_POINTS,MAX(IF(IFERROR(FIND(CATALOG_BASE,A402),0)=1,CATALOG_POINTS,0))),IFERROR(INDEX(CATALOG_POINTS,MATCH(A402,CATALOG_TASK,0)),""))</f>
        <v>1</v>
      </c>
      <c r="D402" s="10" t="s">
        <v>386</v>
      </c>
      <c r="E402" s="41" t="str">
        <f t="shared" si="1"/>
        <v>PROX3</v>
      </c>
    </row>
    <row r="403" ht="15.75" customHeight="1">
      <c r="A403" s="10" t="s">
        <v>37</v>
      </c>
      <c r="B403" s="10" t="s">
        <v>123</v>
      </c>
      <c r="C403" s="41">
        <f t="array" ref="C403">IF(IFERROR(INDEX(CATALOG_POINTS,MATCH(A403,CATALOG_TASK,0)),"")="",IF(MAX(IF(IFERROR(FIND(CATALOG_BASE,A403),0)=1,CATALOG_POINTS,0))=0,DAILY_POST_POINTS,MAX(IF(IFERROR(FIND(CATALOG_BASE,A403),0)=1,CATALOG_POINTS,0))),IFERROR(INDEX(CATALOG_POINTS,MATCH(A403,CATALOG_TASK,0)),""))</f>
        <v>2</v>
      </c>
      <c r="D403" s="10" t="s">
        <v>387</v>
      </c>
      <c r="E403" s="41" t="str">
        <f t="shared" si="1"/>
        <v>PROX4</v>
      </c>
    </row>
    <row r="404" ht="15.75" customHeight="1">
      <c r="A404" s="10" t="s">
        <v>387</v>
      </c>
      <c r="B404" s="10" t="s">
        <v>128</v>
      </c>
      <c r="C404" s="41">
        <f t="array" ref="C404">IF(IFERROR(INDEX(CATALOG_POINTS,MATCH(A404,CATALOG_TASK,0)),"")="",IF(MAX(IF(IFERROR(FIND(CATALOG_BASE,A404),0)=1,CATALOG_POINTS,0))=0,DAILY_POST_POINTS,MAX(IF(IFERROR(FIND(CATALOG_BASE,A404),0)=1,CATALOG_POINTS,0))),IFERROR(INDEX(CATALOG_POINTS,MATCH(A404,CATALOG_TASK,0)),""))</f>
        <v>1</v>
      </c>
      <c r="D404" s="10" t="s">
        <v>387</v>
      </c>
      <c r="E404" s="41" t="str">
        <f t="shared" si="1"/>
        <v>PROX4</v>
      </c>
    </row>
    <row r="405" ht="15.75" customHeight="1">
      <c r="A405" s="10" t="s">
        <v>37</v>
      </c>
      <c r="B405" s="10" t="s">
        <v>117</v>
      </c>
      <c r="C405" s="41">
        <f t="array" ref="C405">IF(IFERROR(INDEX(CATALOG_POINTS,MATCH(A405,CATALOG_TASK,0)),"")="",IF(MAX(IF(IFERROR(FIND(CATALOG_BASE,A405),0)=1,CATALOG_POINTS,0))=0,DAILY_POST_POINTS,MAX(IF(IFERROR(FIND(CATALOG_BASE,A405),0)=1,CATALOG_POINTS,0))),IFERROR(INDEX(CATALOG_POINTS,MATCH(A405,CATALOG_TASK,0)),""))</f>
        <v>2</v>
      </c>
      <c r="D405" s="10" t="s">
        <v>387</v>
      </c>
      <c r="E405" s="41" t="str">
        <f t="shared" si="1"/>
        <v>PROX4</v>
      </c>
    </row>
    <row r="406" ht="15.75" customHeight="1">
      <c r="A406" s="10" t="s">
        <v>388</v>
      </c>
      <c r="B406" s="10" t="s">
        <v>117</v>
      </c>
      <c r="C406" s="41">
        <f t="array" ref="C406">IF(IFERROR(INDEX(CATALOG_POINTS,MATCH(A406,CATALOG_TASK,0)),"")="",IF(MAX(IF(IFERROR(FIND(CATALOG_BASE,A406),0)=1,CATALOG_POINTS,0))=0,DAILY_POST_POINTS,MAX(IF(IFERROR(FIND(CATALOG_BASE,A406),0)=1,CATALOG_POINTS,0))),IFERROR(INDEX(CATALOG_POINTS,MATCH(A406,CATALOG_TASK,0)),""))</f>
        <v>1</v>
      </c>
      <c r="D406" s="10" t="s">
        <v>388</v>
      </c>
      <c r="E406" s="41" t="str">
        <f t="shared" si="1"/>
        <v>PROX4</v>
      </c>
    </row>
    <row r="407" ht="15.75" customHeight="1">
      <c r="A407" s="10" t="s">
        <v>389</v>
      </c>
      <c r="B407" s="10" t="s">
        <v>133</v>
      </c>
      <c r="C407" s="41">
        <f t="array" ref="C407">IF(IFERROR(INDEX(CATALOG_POINTS,MATCH(A407,CATALOG_TASK,0)),"")="",IF(MAX(IF(IFERROR(FIND(CATALOG_BASE,A407),0)=1,CATALOG_POINTS,0))=0,DAILY_POST_POINTS,MAX(IF(IFERROR(FIND(CATALOG_BASE,A407),0)=1,CATALOG_POINTS,0))),IFERROR(INDEX(CATALOG_POINTS,MATCH(A407,CATALOG_TASK,0)),""))</f>
        <v>1</v>
      </c>
      <c r="D407" s="10" t="s">
        <v>389</v>
      </c>
      <c r="E407" s="41" t="str">
        <f t="shared" si="1"/>
        <v>PROX4</v>
      </c>
    </row>
    <row r="408" ht="15.75" customHeight="1">
      <c r="A408" s="10" t="s">
        <v>37</v>
      </c>
      <c r="B408" s="10" t="s">
        <v>127</v>
      </c>
      <c r="C408" s="41">
        <f t="array" ref="C408">IF(IFERROR(INDEX(CATALOG_POINTS,MATCH(A408,CATALOG_TASK,0)),"")="",IF(MAX(IF(IFERROR(FIND(CATALOG_BASE,A408),0)=1,CATALOG_POINTS,0))=0,DAILY_POST_POINTS,MAX(IF(IFERROR(FIND(CATALOG_BASE,A408),0)=1,CATALOG_POINTS,0))),IFERROR(INDEX(CATALOG_POINTS,MATCH(A408,CATALOG_TASK,0)),""))</f>
        <v>2</v>
      </c>
      <c r="D408" s="10" t="s">
        <v>389</v>
      </c>
      <c r="E408" s="41" t="str">
        <f t="shared" si="1"/>
        <v>PROX4</v>
      </c>
    </row>
    <row r="409" ht="15.75" customHeight="1">
      <c r="A409" s="10" t="s">
        <v>168</v>
      </c>
      <c r="B409" s="10" t="s">
        <v>117</v>
      </c>
      <c r="C409" s="41">
        <f t="array" ref="C409">IF(IFERROR(INDEX(CATALOG_POINTS,MATCH(A409,CATALOG_TASK,0)),"")="",IF(MAX(IF(IFERROR(FIND(CATALOG_BASE,A409),0)=1,CATALOG_POINTS,0))=0,DAILY_POST_POINTS,MAX(IF(IFERROR(FIND(CATALOG_BASE,A409),0)=1,CATALOG_POINTS,0))),IFERROR(INDEX(CATALOG_POINTS,MATCH(A409,CATALOG_TASK,0)),""))</f>
        <v>1</v>
      </c>
      <c r="D409" s="10" t="s">
        <v>390</v>
      </c>
      <c r="E409" s="41" t="str">
        <f t="shared" si="1"/>
        <v>PROX3</v>
      </c>
    </row>
    <row r="410" ht="15.75" customHeight="1">
      <c r="A410" s="10" t="s">
        <v>34</v>
      </c>
      <c r="B410" s="10" t="s">
        <v>119</v>
      </c>
      <c r="C410" s="41">
        <f t="array" ref="C410">IF(IFERROR(INDEX(CATALOG_POINTS,MATCH(A410,CATALOG_TASK,0)),"")="",IF(MAX(IF(IFERROR(FIND(CATALOG_BASE,A410),0)=1,CATALOG_POINTS,0))=0,DAILY_POST_POINTS,MAX(IF(IFERROR(FIND(CATALOG_BASE,A410),0)=1,CATALOG_POINTS,0))),IFERROR(INDEX(CATALOG_POINTS,MATCH(A410,CATALOG_TASK,0)),""))</f>
        <v>2</v>
      </c>
      <c r="D410" s="10" t="s">
        <v>390</v>
      </c>
      <c r="E410" s="41" t="str">
        <f t="shared" si="1"/>
        <v>PROX3</v>
      </c>
    </row>
    <row r="411" ht="15.75" customHeight="1">
      <c r="A411" s="10" t="s">
        <v>37</v>
      </c>
      <c r="B411" s="10" t="s">
        <v>117</v>
      </c>
      <c r="C411" s="41">
        <f t="array" ref="C411">IF(IFERROR(INDEX(CATALOG_POINTS,MATCH(A411,CATALOG_TASK,0)),"")="",IF(MAX(IF(IFERROR(FIND(CATALOG_BASE,A411),0)=1,CATALOG_POINTS,0))=0,DAILY_POST_POINTS,MAX(IF(IFERROR(FIND(CATALOG_BASE,A411),0)=1,CATALOG_POINTS,0))),IFERROR(INDEX(CATALOG_POINTS,MATCH(A411,CATALOG_TASK,0)),""))</f>
        <v>2</v>
      </c>
      <c r="D411" s="10" t="s">
        <v>390</v>
      </c>
      <c r="E411" s="41" t="str">
        <f t="shared" si="1"/>
        <v>PROX3</v>
      </c>
    </row>
    <row r="412" ht="15.75" customHeight="1">
      <c r="A412" s="10" t="s">
        <v>168</v>
      </c>
      <c r="B412" s="10" t="s">
        <v>117</v>
      </c>
      <c r="C412" s="41">
        <f t="array" ref="C412">IF(IFERROR(INDEX(CATALOG_POINTS,MATCH(A412,CATALOG_TASK,0)),"")="",IF(MAX(IF(IFERROR(FIND(CATALOG_BASE,A412),0)=1,CATALOG_POINTS,0))=0,DAILY_POST_POINTS,MAX(IF(IFERROR(FIND(CATALOG_BASE,A412),0)=1,CATALOG_POINTS,0))),IFERROR(INDEX(CATALOG_POINTS,MATCH(A412,CATALOG_TASK,0)),""))</f>
        <v>1</v>
      </c>
      <c r="D412" s="10" t="s">
        <v>390</v>
      </c>
      <c r="E412" s="41" t="str">
        <f t="shared" si="1"/>
        <v>PROX3</v>
      </c>
    </row>
    <row r="413" ht="15.75" customHeight="1">
      <c r="A413" s="10" t="s">
        <v>170</v>
      </c>
      <c r="B413" s="10" t="s">
        <v>117</v>
      </c>
      <c r="C413" s="41">
        <f t="array" ref="C413">IF(IFERROR(INDEX(CATALOG_POINTS,MATCH(A413,CATALOG_TASK,0)),"")="",IF(MAX(IF(IFERROR(FIND(CATALOG_BASE,A413),0)=1,CATALOG_POINTS,0))=0,DAILY_POST_POINTS,MAX(IF(IFERROR(FIND(CATALOG_BASE,A413),0)=1,CATALOG_POINTS,0))),IFERROR(INDEX(CATALOG_POINTS,MATCH(A413,CATALOG_TASK,0)),""))</f>
        <v>1</v>
      </c>
      <c r="D413" s="10" t="s">
        <v>390</v>
      </c>
      <c r="E413" s="41" t="str">
        <f t="shared" si="1"/>
        <v>PROX3</v>
      </c>
    </row>
    <row r="414" ht="15.75" customHeight="1">
      <c r="A414" s="10" t="s">
        <v>391</v>
      </c>
      <c r="B414" s="10" t="s">
        <v>139</v>
      </c>
      <c r="C414" s="41">
        <f t="array" ref="C414">IF(IFERROR(INDEX(CATALOG_POINTS,MATCH(A414,CATALOG_TASK,0)),"")="",IF(MAX(IF(IFERROR(FIND(CATALOG_BASE,A414),0)=1,CATALOG_POINTS,0))=0,DAILY_POST_POINTS,MAX(IF(IFERROR(FIND(CATALOG_BASE,A414),0)=1,CATALOG_POINTS,0))),IFERROR(INDEX(CATALOG_POINTS,MATCH(A414,CATALOG_TASK,0)),""))</f>
        <v>1</v>
      </c>
      <c r="D414" s="10" t="s">
        <v>390</v>
      </c>
      <c r="E414" s="41" t="str">
        <f t="shared" si="1"/>
        <v>PROX3</v>
      </c>
    </row>
    <row r="415" ht="15.75" customHeight="1">
      <c r="A415" s="10" t="s">
        <v>390</v>
      </c>
      <c r="B415" s="10" t="s">
        <v>126</v>
      </c>
      <c r="C415" s="41">
        <f t="array" ref="C415">IF(IFERROR(INDEX(CATALOG_POINTS,MATCH(A415,CATALOG_TASK,0)),"")="",IF(MAX(IF(IFERROR(FIND(CATALOG_BASE,A415),0)=1,CATALOG_POINTS,0))=0,DAILY_POST_POINTS,MAX(IF(IFERROR(FIND(CATALOG_BASE,A415),0)=1,CATALOG_POINTS,0))),IFERROR(INDEX(CATALOG_POINTS,MATCH(A415,CATALOG_TASK,0)),""))</f>
        <v>1</v>
      </c>
      <c r="D415" s="10" t="s">
        <v>390</v>
      </c>
      <c r="E415" s="41" t="str">
        <f t="shared" si="1"/>
        <v>PROX3</v>
      </c>
    </row>
    <row r="416" ht="15.75" customHeight="1">
      <c r="A416" s="10" t="s">
        <v>392</v>
      </c>
      <c r="B416" s="10" t="s">
        <v>128</v>
      </c>
      <c r="C416" s="41">
        <f t="array" ref="C416">IF(IFERROR(INDEX(CATALOG_POINTS,MATCH(A416,CATALOG_TASK,0)),"")="",IF(MAX(IF(IFERROR(FIND(CATALOG_BASE,A416),0)=1,CATALOG_POINTS,0))=0,DAILY_POST_POINTS,MAX(IF(IFERROR(FIND(CATALOG_BASE,A416),0)=1,CATALOG_POINTS,0))),IFERROR(INDEX(CATALOG_POINTS,MATCH(A416,CATALOG_TASK,0)),""))</f>
        <v>1</v>
      </c>
      <c r="D416" s="10" t="s">
        <v>390</v>
      </c>
      <c r="E416" s="41" t="str">
        <f t="shared" si="1"/>
        <v>PROX3</v>
      </c>
    </row>
    <row r="417" ht="15.75" customHeight="1">
      <c r="A417" s="10" t="s">
        <v>393</v>
      </c>
      <c r="B417" s="10" t="s">
        <v>137</v>
      </c>
      <c r="C417" s="41">
        <f t="array" ref="C417">IF(IFERROR(INDEX(CATALOG_POINTS,MATCH(A417,CATALOG_TASK,0)),"")="",IF(MAX(IF(IFERROR(FIND(CATALOG_BASE,A417),0)=1,CATALOG_POINTS,0))=0,DAILY_POST_POINTS,MAX(IF(IFERROR(FIND(CATALOG_BASE,A417),0)=1,CATALOG_POINTS,0))),IFERROR(INDEX(CATALOG_POINTS,MATCH(A417,CATALOG_TASK,0)),""))</f>
        <v>1</v>
      </c>
      <c r="D417" s="10" t="s">
        <v>393</v>
      </c>
      <c r="E417" s="41" t="str">
        <f t="shared" si="1"/>
        <v>PROX3</v>
      </c>
    </row>
    <row r="418" ht="15.75" customHeight="1">
      <c r="A418" s="10" t="s">
        <v>394</v>
      </c>
      <c r="B418" s="10" t="s">
        <v>123</v>
      </c>
      <c r="C418" s="41">
        <f t="array" ref="C418">IF(IFERROR(INDEX(CATALOG_POINTS,MATCH(A418,CATALOG_TASK,0)),"")="",IF(MAX(IF(IFERROR(FIND(CATALOG_BASE,A418),0)=1,CATALOG_POINTS,0))=0,DAILY_POST_POINTS,MAX(IF(IFERROR(FIND(CATALOG_BASE,A418),0)=1,CATALOG_POINTS,0))),IFERROR(INDEX(CATALOG_POINTS,MATCH(A418,CATALOG_TASK,0)),""))</f>
        <v>1</v>
      </c>
      <c r="D418" s="10" t="s">
        <v>394</v>
      </c>
      <c r="E418" s="41" t="str">
        <f t="shared" si="1"/>
        <v>E0</v>
      </c>
    </row>
    <row r="419" ht="15.75" customHeight="1">
      <c r="A419" s="10" t="s">
        <v>395</v>
      </c>
      <c r="B419" s="10" t="s">
        <v>134</v>
      </c>
      <c r="C419" s="41">
        <f t="array" ref="C419">IF(IFERROR(INDEX(CATALOG_POINTS,MATCH(A419,CATALOG_TASK,0)),"")="",IF(MAX(IF(IFERROR(FIND(CATALOG_BASE,A419),0)=1,CATALOG_POINTS,0))=0,DAILY_POST_POINTS,MAX(IF(IFERROR(FIND(CATALOG_BASE,A419),0)=1,CATALOG_POINTS,0))),IFERROR(INDEX(CATALOG_POINTS,MATCH(A419,CATALOG_TASK,0)),""))</f>
        <v>1</v>
      </c>
      <c r="D419" s="10" t="s">
        <v>395</v>
      </c>
      <c r="E419" s="41" t="str">
        <f t="shared" si="1"/>
        <v>PROX3</v>
      </c>
    </row>
    <row r="420" ht="15.75" customHeight="1">
      <c r="A420" s="10" t="s">
        <v>396</v>
      </c>
      <c r="B420" s="10" t="s">
        <v>136</v>
      </c>
      <c r="C420" s="41">
        <f t="array" ref="C420">IF(IFERROR(INDEX(CATALOG_POINTS,MATCH(A420,CATALOG_TASK,0)),"")="",IF(MAX(IF(IFERROR(FIND(CATALOG_BASE,A420),0)=1,CATALOG_POINTS,0))=0,DAILY_POST_POINTS,MAX(IF(IFERROR(FIND(CATALOG_BASE,A420),0)=1,CATALOG_POINTS,0))),IFERROR(INDEX(CATALOG_POINTS,MATCH(A420,CATALOG_TASK,0)),""))</f>
        <v>1</v>
      </c>
      <c r="D420" s="10" t="s">
        <v>396</v>
      </c>
      <c r="E420" s="41" t="str">
        <f t="shared" si="1"/>
        <v>PROX3</v>
      </c>
    </row>
    <row r="421" ht="15.75" customHeight="1">
      <c r="A421" s="10" t="s">
        <v>37</v>
      </c>
      <c r="B421" s="10" t="s">
        <v>125</v>
      </c>
      <c r="C421" s="41">
        <f t="array" ref="C421">IF(IFERROR(INDEX(CATALOG_POINTS,MATCH(A421,CATALOG_TASK,0)),"")="",IF(MAX(IF(IFERROR(FIND(CATALOG_BASE,A421),0)=1,CATALOG_POINTS,0))=0,DAILY_POST_POINTS,MAX(IF(IFERROR(FIND(CATALOG_BASE,A421),0)=1,CATALOG_POINTS,0))),IFERROR(INDEX(CATALOG_POINTS,MATCH(A421,CATALOG_TASK,0)),""))</f>
        <v>2</v>
      </c>
      <c r="D421" s="10" t="s">
        <v>397</v>
      </c>
      <c r="E421" s="41" t="str">
        <f t="shared" si="1"/>
        <v>PROX4</v>
      </c>
    </row>
    <row r="422" ht="15.75" customHeight="1">
      <c r="A422" s="10" t="s">
        <v>397</v>
      </c>
      <c r="B422" s="10" t="s">
        <v>128</v>
      </c>
      <c r="C422" s="41">
        <f t="array" ref="C422">IF(IFERROR(INDEX(CATALOG_POINTS,MATCH(A422,CATALOG_TASK,0)),"")="",IF(MAX(IF(IFERROR(FIND(CATALOG_BASE,A422),0)=1,CATALOG_POINTS,0))=0,DAILY_POST_POINTS,MAX(IF(IFERROR(FIND(CATALOG_BASE,A422),0)=1,CATALOG_POINTS,0))),IFERROR(INDEX(CATALOG_POINTS,MATCH(A422,CATALOG_TASK,0)),""))</f>
        <v>1</v>
      </c>
      <c r="D422" s="10" t="s">
        <v>397</v>
      </c>
      <c r="E422" s="41" t="str">
        <f t="shared" si="1"/>
        <v>PROX4</v>
      </c>
    </row>
    <row r="423" ht="15.75" customHeight="1">
      <c r="A423" s="10" t="s">
        <v>37</v>
      </c>
      <c r="B423" s="10" t="s">
        <v>127</v>
      </c>
      <c r="C423" s="41">
        <f t="array" ref="C423">IF(IFERROR(INDEX(CATALOG_POINTS,MATCH(A423,CATALOG_TASK,0)),"")="",IF(MAX(IF(IFERROR(FIND(CATALOG_BASE,A423),0)=1,CATALOG_POINTS,0))=0,DAILY_POST_POINTS,MAX(IF(IFERROR(FIND(CATALOG_BASE,A423),0)=1,CATALOG_POINTS,0))),IFERROR(INDEX(CATALOG_POINTS,MATCH(A423,CATALOG_TASK,0)),""))</f>
        <v>2</v>
      </c>
      <c r="D423" s="10" t="s">
        <v>397</v>
      </c>
      <c r="E423" s="41" t="str">
        <f t="shared" si="1"/>
        <v>PROX4</v>
      </c>
    </row>
    <row r="424" ht="15.75" customHeight="1">
      <c r="A424" s="10" t="s">
        <v>398</v>
      </c>
      <c r="B424" s="10" t="s">
        <v>137</v>
      </c>
      <c r="C424" s="41">
        <f t="array" ref="C424">IF(IFERROR(INDEX(CATALOG_POINTS,MATCH(A424,CATALOG_TASK,0)),"")="",IF(MAX(IF(IFERROR(FIND(CATALOG_BASE,A424),0)=1,CATALOG_POINTS,0))=0,DAILY_POST_POINTS,MAX(IF(IFERROR(FIND(CATALOG_BASE,A424),0)=1,CATALOG_POINTS,0))),IFERROR(INDEX(CATALOG_POINTS,MATCH(A424,CATALOG_TASK,0)),""))</f>
        <v>1</v>
      </c>
      <c r="D424" s="10" t="s">
        <v>398</v>
      </c>
      <c r="E424" s="41" t="str">
        <f t="shared" si="1"/>
        <v>PROX3</v>
      </c>
    </row>
    <row r="425" ht="15.75" customHeight="1">
      <c r="A425" s="10" t="s">
        <v>399</v>
      </c>
      <c r="B425" s="10" t="s">
        <v>117</v>
      </c>
      <c r="C425" s="41">
        <f t="array" ref="C425">IF(IFERROR(INDEX(CATALOG_POINTS,MATCH(A425,CATALOG_TASK,0)),"")="",IF(MAX(IF(IFERROR(FIND(CATALOG_BASE,A425),0)=1,CATALOG_POINTS,0))=0,DAILY_POST_POINTS,MAX(IF(IFERROR(FIND(CATALOG_BASE,A425),0)=1,CATALOG_POINTS,0))),IFERROR(INDEX(CATALOG_POINTS,MATCH(A425,CATALOG_TASK,0)),""))</f>
        <v>1</v>
      </c>
      <c r="D425" s="10" t="s">
        <v>399</v>
      </c>
      <c r="E425" s="41" t="str">
        <f t="shared" si="1"/>
        <v>PROX3</v>
      </c>
    </row>
    <row r="426" ht="15.75" customHeight="1">
      <c r="A426" s="10" t="s">
        <v>400</v>
      </c>
      <c r="B426" s="10" t="s">
        <v>131</v>
      </c>
      <c r="C426" s="41">
        <f t="array" ref="C426">IF(IFERROR(INDEX(CATALOG_POINTS,MATCH(A426,CATALOG_TASK,0)),"")="",IF(MAX(IF(IFERROR(FIND(CATALOG_BASE,A426),0)=1,CATALOG_POINTS,0))=0,DAILY_POST_POINTS,MAX(IF(IFERROR(FIND(CATALOG_BASE,A426),0)=1,CATALOG_POINTS,0))),IFERROR(INDEX(CATALOG_POINTS,MATCH(A426,CATALOG_TASK,0)),""))</f>
        <v>1</v>
      </c>
      <c r="D426" s="10" t="s">
        <v>400</v>
      </c>
      <c r="E426" s="41" t="str">
        <f t="shared" si="1"/>
        <v>E0</v>
      </c>
    </row>
    <row r="427" ht="15.75" customHeight="1">
      <c r="A427" s="10" t="s">
        <v>37</v>
      </c>
      <c r="B427" s="10" t="s">
        <v>117</v>
      </c>
      <c r="C427" s="41">
        <f t="array" ref="C427">IF(IFERROR(INDEX(CATALOG_POINTS,MATCH(A427,CATALOG_TASK,0)),"")="",IF(MAX(IF(IFERROR(FIND(CATALOG_BASE,A427),0)=1,CATALOG_POINTS,0))=0,DAILY_POST_POINTS,MAX(IF(IFERROR(FIND(CATALOG_BASE,A427),0)=1,CATALOG_POINTS,0))),IFERROR(INDEX(CATALOG_POINTS,MATCH(A427,CATALOG_TASK,0)),""))</f>
        <v>2</v>
      </c>
      <c r="D427" s="10" t="s">
        <v>400</v>
      </c>
      <c r="E427" s="41" t="str">
        <f t="shared" si="1"/>
        <v>E0</v>
      </c>
    </row>
    <row r="428" ht="15.75" customHeight="1">
      <c r="A428" s="10" t="s">
        <v>37</v>
      </c>
      <c r="B428" s="10" t="s">
        <v>128</v>
      </c>
      <c r="C428" s="41">
        <f t="array" ref="C428">IF(IFERROR(INDEX(CATALOG_POINTS,MATCH(A428,CATALOG_TASK,0)),"")="",IF(MAX(IF(IFERROR(FIND(CATALOG_BASE,A428),0)=1,CATALOG_POINTS,0))=0,DAILY_POST_POINTS,MAX(IF(IFERROR(FIND(CATALOG_BASE,A428),0)=1,CATALOG_POINTS,0))),IFERROR(INDEX(CATALOG_POINTS,MATCH(A428,CATALOG_TASK,0)),""))</f>
        <v>2</v>
      </c>
      <c r="D428" s="10" t="s">
        <v>400</v>
      </c>
      <c r="E428" s="41" t="str">
        <f t="shared" si="1"/>
        <v>E0</v>
      </c>
    </row>
    <row r="429" ht="15.75" customHeight="1">
      <c r="A429" s="10" t="s">
        <v>168</v>
      </c>
      <c r="B429" s="10" t="s">
        <v>117</v>
      </c>
      <c r="C429" s="41">
        <f t="array" ref="C429">IF(IFERROR(INDEX(CATALOG_POINTS,MATCH(A429,CATALOG_TASK,0)),"")="",IF(MAX(IF(IFERROR(FIND(CATALOG_BASE,A429),0)=1,CATALOG_POINTS,0))=0,DAILY_POST_POINTS,MAX(IF(IFERROR(FIND(CATALOG_BASE,A429),0)=1,CATALOG_POINTS,0))),IFERROR(INDEX(CATALOG_POINTS,MATCH(A429,CATALOG_TASK,0)),""))</f>
        <v>1</v>
      </c>
      <c r="D429" s="10" t="s">
        <v>400</v>
      </c>
      <c r="E429" s="41" t="str">
        <f t="shared" si="1"/>
        <v>E0</v>
      </c>
    </row>
    <row r="430" ht="15.75" customHeight="1">
      <c r="A430" s="10" t="s">
        <v>401</v>
      </c>
      <c r="B430" s="10" t="s">
        <v>129</v>
      </c>
      <c r="C430" s="41">
        <f t="array" ref="C430">IF(IFERROR(INDEX(CATALOG_POINTS,MATCH(A430,CATALOG_TASK,0)),"")="",IF(MAX(IF(IFERROR(FIND(CATALOG_BASE,A430),0)=1,CATALOG_POINTS,0))=0,DAILY_POST_POINTS,MAX(IF(IFERROR(FIND(CATALOG_BASE,A430),0)=1,CATALOG_POINTS,0))),IFERROR(INDEX(CATALOG_POINTS,MATCH(A430,CATALOG_TASK,0)),""))</f>
        <v>1</v>
      </c>
      <c r="D430" s="10" t="s">
        <v>401</v>
      </c>
      <c r="E430" s="41" t="str">
        <f t="shared" si="1"/>
        <v>PROX3</v>
      </c>
    </row>
    <row r="431" ht="15.75" customHeight="1">
      <c r="A431" s="10" t="s">
        <v>402</v>
      </c>
      <c r="B431" s="10" t="s">
        <v>129</v>
      </c>
      <c r="C431" s="41">
        <f t="array" ref="C431">IF(IFERROR(INDEX(CATALOG_POINTS,MATCH(A431,CATALOG_TASK,0)),"")="",IF(MAX(IF(IFERROR(FIND(CATALOG_BASE,A431),0)=1,CATALOG_POINTS,0))=0,DAILY_POST_POINTS,MAX(IF(IFERROR(FIND(CATALOG_BASE,A431),0)=1,CATALOG_POINTS,0))),IFERROR(INDEX(CATALOG_POINTS,MATCH(A431,CATALOG_TASK,0)),""))</f>
        <v>1</v>
      </c>
      <c r="D431" s="10" t="s">
        <v>402</v>
      </c>
      <c r="E431" s="41" t="str">
        <f t="shared" si="1"/>
        <v>PROX4</v>
      </c>
    </row>
    <row r="432" ht="15.75" customHeight="1">
      <c r="A432" s="10" t="s">
        <v>403</v>
      </c>
      <c r="B432" s="10" t="s">
        <v>117</v>
      </c>
      <c r="C432" s="41">
        <f t="array" ref="C432">IF(IFERROR(INDEX(CATALOG_POINTS,MATCH(A432,CATALOG_TASK,0)),"")="",IF(MAX(IF(IFERROR(FIND(CATALOG_BASE,A432),0)=1,CATALOG_POINTS,0))=0,DAILY_POST_POINTS,MAX(IF(IFERROR(FIND(CATALOG_BASE,A432),0)=1,CATALOG_POINTS,0))),IFERROR(INDEX(CATALOG_POINTS,MATCH(A432,CATALOG_TASK,0)),""))</f>
        <v>1</v>
      </c>
      <c r="D432" s="10" t="s">
        <v>403</v>
      </c>
      <c r="E432" s="41" t="str">
        <f t="shared" si="1"/>
        <v>PROX4</v>
      </c>
    </row>
    <row r="433" ht="15.75" customHeight="1">
      <c r="A433" s="10" t="s">
        <v>404</v>
      </c>
      <c r="B433" s="10" t="s">
        <v>125</v>
      </c>
      <c r="C433" s="41">
        <f t="array" ref="C433">IF(IFERROR(INDEX(CATALOG_POINTS,MATCH(A433,CATALOG_TASK,0)),"")="",IF(MAX(IF(IFERROR(FIND(CATALOG_BASE,A433),0)=1,CATALOG_POINTS,0))=0,DAILY_POST_POINTS,MAX(IF(IFERROR(FIND(CATALOG_BASE,A433),0)=1,CATALOG_POINTS,0))),IFERROR(INDEX(CATALOG_POINTS,MATCH(A433,CATALOG_TASK,0)),""))</f>
        <v>1</v>
      </c>
      <c r="D433" s="10" t="s">
        <v>404</v>
      </c>
      <c r="E433" s="41" t="str">
        <f t="shared" si="1"/>
        <v>PROX3</v>
      </c>
    </row>
    <row r="434" ht="15.75" customHeight="1">
      <c r="A434" s="10" t="s">
        <v>405</v>
      </c>
      <c r="B434" s="10" t="s">
        <v>121</v>
      </c>
      <c r="C434" s="41">
        <f t="array" ref="C434">IF(IFERROR(INDEX(CATALOG_POINTS,MATCH(A434,CATALOG_TASK,0)),"")="",IF(MAX(IF(IFERROR(FIND(CATALOG_BASE,A434),0)=1,CATALOG_POINTS,0))=0,DAILY_POST_POINTS,MAX(IF(IFERROR(FIND(CATALOG_BASE,A434),0)=1,CATALOG_POINTS,0))),IFERROR(INDEX(CATALOG_POINTS,MATCH(A434,CATALOG_TASK,0)),""))</f>
        <v>1</v>
      </c>
      <c r="D434" s="10" t="s">
        <v>405</v>
      </c>
      <c r="E434" s="41" t="str">
        <f t="shared" si="1"/>
        <v>PROX4</v>
      </c>
    </row>
    <row r="435" ht="15.75" customHeight="1">
      <c r="A435" s="10" t="s">
        <v>37</v>
      </c>
      <c r="B435" s="10" t="s">
        <v>120</v>
      </c>
      <c r="C435" s="41">
        <f t="array" ref="C435">IF(IFERROR(INDEX(CATALOG_POINTS,MATCH(A435,CATALOG_TASK,0)),"")="",IF(MAX(IF(IFERROR(FIND(CATALOG_BASE,A435),0)=1,CATALOG_POINTS,0))=0,DAILY_POST_POINTS,MAX(IF(IFERROR(FIND(CATALOG_BASE,A435),0)=1,CATALOG_POINTS,0))),IFERROR(INDEX(CATALOG_POINTS,MATCH(A435,CATALOG_TASK,0)),""))</f>
        <v>2</v>
      </c>
      <c r="D435" s="10" t="s">
        <v>405</v>
      </c>
      <c r="E435" s="41" t="str">
        <f t="shared" si="1"/>
        <v>PROX4</v>
      </c>
    </row>
    <row r="436" ht="15.75" customHeight="1">
      <c r="A436" s="10" t="s">
        <v>37</v>
      </c>
      <c r="B436" s="10" t="s">
        <v>121</v>
      </c>
      <c r="C436" s="41">
        <f t="array" ref="C436">IF(IFERROR(INDEX(CATALOG_POINTS,MATCH(A436,CATALOG_TASK,0)),"")="",IF(MAX(IF(IFERROR(FIND(CATALOG_BASE,A436),0)=1,CATALOG_POINTS,0))=0,DAILY_POST_POINTS,MAX(IF(IFERROR(FIND(CATALOG_BASE,A436),0)=1,CATALOG_POINTS,0))),IFERROR(INDEX(CATALOG_POINTS,MATCH(A436,CATALOG_TASK,0)),""))</f>
        <v>2</v>
      </c>
      <c r="D436" s="10" t="s">
        <v>406</v>
      </c>
      <c r="E436" s="41" t="str">
        <f t="shared" si="1"/>
        <v>PROX4</v>
      </c>
    </row>
    <row r="437" ht="15.75" customHeight="1">
      <c r="A437" s="10" t="s">
        <v>406</v>
      </c>
      <c r="B437" s="10" t="s">
        <v>126</v>
      </c>
      <c r="C437" s="41">
        <f t="array" ref="C437">IF(IFERROR(INDEX(CATALOG_POINTS,MATCH(A437,CATALOG_TASK,0)),"")="",IF(MAX(IF(IFERROR(FIND(CATALOG_BASE,A437),0)=1,CATALOG_POINTS,0))=0,DAILY_POST_POINTS,MAX(IF(IFERROR(FIND(CATALOG_BASE,A437),0)=1,CATALOG_POINTS,0))),IFERROR(INDEX(CATALOG_POINTS,MATCH(A437,CATALOG_TASK,0)),""))</f>
        <v>1</v>
      </c>
      <c r="D437" s="10" t="s">
        <v>406</v>
      </c>
      <c r="E437" s="41" t="str">
        <f t="shared" si="1"/>
        <v>PROX4</v>
      </c>
    </row>
    <row r="438" ht="15.75" customHeight="1">
      <c r="A438" s="10" t="s">
        <v>37</v>
      </c>
      <c r="B438" s="10" t="s">
        <v>125</v>
      </c>
      <c r="C438" s="41">
        <f t="array" ref="C438">IF(IFERROR(INDEX(CATALOG_POINTS,MATCH(A438,CATALOG_TASK,0)),"")="",IF(MAX(IF(IFERROR(FIND(CATALOG_BASE,A438),0)=1,CATALOG_POINTS,0))=0,DAILY_POST_POINTS,MAX(IF(IFERROR(FIND(CATALOG_BASE,A438),0)=1,CATALOG_POINTS,0))),IFERROR(INDEX(CATALOG_POINTS,MATCH(A438,CATALOG_TASK,0)),""))</f>
        <v>2</v>
      </c>
      <c r="D438" s="10" t="s">
        <v>407</v>
      </c>
      <c r="E438" s="41" t="str">
        <f t="shared" si="1"/>
        <v>PROX3</v>
      </c>
    </row>
    <row r="439" ht="15.75" customHeight="1">
      <c r="A439" s="10" t="s">
        <v>407</v>
      </c>
      <c r="B439" s="10" t="s">
        <v>133</v>
      </c>
      <c r="C439" s="41">
        <f t="array" ref="C439">IF(IFERROR(INDEX(CATALOG_POINTS,MATCH(A439,CATALOG_TASK,0)),"")="",IF(MAX(IF(IFERROR(FIND(CATALOG_BASE,A439),0)=1,CATALOG_POINTS,0))=0,DAILY_POST_POINTS,MAX(IF(IFERROR(FIND(CATALOG_BASE,A439),0)=1,CATALOG_POINTS,0))),IFERROR(INDEX(CATALOG_POINTS,MATCH(A439,CATALOG_TASK,0)),""))</f>
        <v>1</v>
      </c>
      <c r="D439" s="10" t="s">
        <v>407</v>
      </c>
      <c r="E439" s="41" t="str">
        <f t="shared" si="1"/>
        <v>PROX3</v>
      </c>
    </row>
    <row r="440" ht="15.75" customHeight="1">
      <c r="A440" s="10" t="s">
        <v>408</v>
      </c>
      <c r="B440" s="10" t="s">
        <v>131</v>
      </c>
      <c r="C440" s="41">
        <f t="array" ref="C440">IF(IFERROR(INDEX(CATALOG_POINTS,MATCH(A440,CATALOG_TASK,0)),"")="",IF(MAX(IF(IFERROR(FIND(CATALOG_BASE,A440),0)=1,CATALOG_POINTS,0))=0,DAILY_POST_POINTS,MAX(IF(IFERROR(FIND(CATALOG_BASE,A440),0)=1,CATALOG_POINTS,0))),IFERROR(INDEX(CATALOG_POINTS,MATCH(A440,CATALOG_TASK,0)),""))</f>
        <v>1</v>
      </c>
      <c r="D440" s="10" t="s">
        <v>408</v>
      </c>
      <c r="E440" s="41" t="str">
        <f t="shared" si="1"/>
        <v>PROX3</v>
      </c>
    </row>
    <row r="441" ht="15.75" customHeight="1">
      <c r="A441" s="10" t="s">
        <v>409</v>
      </c>
      <c r="B441" s="10" t="s">
        <v>128</v>
      </c>
      <c r="C441" s="41">
        <f t="array" ref="C441">IF(IFERROR(INDEX(CATALOG_POINTS,MATCH(A441,CATALOG_TASK,0)),"")="",IF(MAX(IF(IFERROR(FIND(CATALOG_BASE,A441),0)=1,CATALOG_POINTS,0))=0,DAILY_POST_POINTS,MAX(IF(IFERROR(FIND(CATALOG_BASE,A441),0)=1,CATALOG_POINTS,0))),IFERROR(INDEX(CATALOG_POINTS,MATCH(A441,CATALOG_TASK,0)),""))</f>
        <v>1</v>
      </c>
      <c r="D441" s="10" t="s">
        <v>409</v>
      </c>
      <c r="E441" s="41" t="str">
        <f t="shared" si="1"/>
        <v>PROX3</v>
      </c>
    </row>
    <row r="442" ht="15.75" customHeight="1">
      <c r="A442" s="10" t="s">
        <v>37</v>
      </c>
      <c r="B442" s="10" t="s">
        <v>122</v>
      </c>
      <c r="C442" s="41">
        <f t="array" ref="C442">IF(IFERROR(INDEX(CATALOG_POINTS,MATCH(A442,CATALOG_TASK,0)),"")="",IF(MAX(IF(IFERROR(FIND(CATALOG_BASE,A442),0)=1,CATALOG_POINTS,0))=0,DAILY_POST_POINTS,MAX(IF(IFERROR(FIND(CATALOG_BASE,A442),0)=1,CATALOG_POINTS,0))),IFERROR(INDEX(CATALOG_POINTS,MATCH(A442,CATALOG_TASK,0)),""))</f>
        <v>2</v>
      </c>
      <c r="D442" s="10" t="s">
        <v>409</v>
      </c>
      <c r="E442" s="41" t="str">
        <f t="shared" si="1"/>
        <v>PROX3</v>
      </c>
    </row>
    <row r="443" ht="15.75" customHeight="1">
      <c r="A443" s="10" t="s">
        <v>410</v>
      </c>
      <c r="B443" s="10" t="s">
        <v>135</v>
      </c>
      <c r="C443" s="41">
        <f t="array" ref="C443">IF(IFERROR(INDEX(CATALOG_POINTS,MATCH(A443,CATALOG_TASK,0)),"")="",IF(MAX(IF(IFERROR(FIND(CATALOG_BASE,A443),0)=1,CATALOG_POINTS,0))=0,DAILY_POST_POINTS,MAX(IF(IFERROR(FIND(CATALOG_BASE,A443),0)=1,CATALOG_POINTS,0))),IFERROR(INDEX(CATALOG_POINTS,MATCH(A443,CATALOG_TASK,0)),""))</f>
        <v>1</v>
      </c>
      <c r="D443" s="10" t="s">
        <v>410</v>
      </c>
      <c r="E443" s="41" t="str">
        <f t="shared" si="1"/>
        <v>PROX3</v>
      </c>
    </row>
    <row r="444" ht="15.75" customHeight="1">
      <c r="A444" s="10" t="s">
        <v>411</v>
      </c>
      <c r="B444" s="10" t="s">
        <v>128</v>
      </c>
      <c r="C444" s="41">
        <f t="array" ref="C444">IF(IFERROR(INDEX(CATALOG_POINTS,MATCH(A444,CATALOG_TASK,0)),"")="",IF(MAX(IF(IFERROR(FIND(CATALOG_BASE,A444),0)=1,CATALOG_POINTS,0))=0,DAILY_POST_POINTS,MAX(IF(IFERROR(FIND(CATALOG_BASE,A444),0)=1,CATALOG_POINTS,0))),IFERROR(INDEX(CATALOG_POINTS,MATCH(A444,CATALOG_TASK,0)),""))</f>
        <v>1</v>
      </c>
      <c r="D444" s="10" t="s">
        <v>411</v>
      </c>
      <c r="E444" s="41" t="str">
        <f t="shared" si="1"/>
        <v>PROX3</v>
      </c>
    </row>
    <row r="445" ht="15.75" customHeight="1">
      <c r="A445" s="10" t="s">
        <v>412</v>
      </c>
      <c r="B445" s="10" t="s">
        <v>137</v>
      </c>
      <c r="C445" s="41">
        <f t="array" ref="C445">IF(IFERROR(INDEX(CATALOG_POINTS,MATCH(A445,CATALOG_TASK,0)),"")="",IF(MAX(IF(IFERROR(FIND(CATALOG_BASE,A445),0)=1,CATALOG_POINTS,0))=0,DAILY_POST_POINTS,MAX(IF(IFERROR(FIND(CATALOG_BASE,A445),0)=1,CATALOG_POINTS,0))),IFERROR(INDEX(CATALOG_POINTS,MATCH(A445,CATALOG_TASK,0)),""))</f>
        <v>1</v>
      </c>
      <c r="D445" s="10" t="s">
        <v>412</v>
      </c>
      <c r="E445" s="41" t="str">
        <f t="shared" si="1"/>
        <v>PROX3</v>
      </c>
    </row>
    <row r="446" ht="15.75" customHeight="1">
      <c r="A446" s="10" t="s">
        <v>178</v>
      </c>
      <c r="B446" s="10" t="s">
        <v>128</v>
      </c>
      <c r="C446" s="41">
        <f t="array" ref="C446">IF(IFERROR(INDEX(CATALOG_POINTS,MATCH(A446,CATALOG_TASK,0)),"")="",IF(MAX(IF(IFERROR(FIND(CATALOG_BASE,A446),0)=1,CATALOG_POINTS,0))=0,DAILY_POST_POINTS,MAX(IF(IFERROR(FIND(CATALOG_BASE,A446),0)=1,CATALOG_POINTS,0))),IFERROR(INDEX(CATALOG_POINTS,MATCH(A446,CATALOG_TASK,0)),""))</f>
        <v>1</v>
      </c>
      <c r="D446" s="10" t="s">
        <v>413</v>
      </c>
      <c r="E446" s="41" t="str">
        <f t="shared" si="1"/>
        <v/>
      </c>
    </row>
    <row r="447" ht="15.75" customHeight="1">
      <c r="A447" s="10" t="s">
        <v>414</v>
      </c>
      <c r="B447" s="10" t="s">
        <v>126</v>
      </c>
      <c r="C447" s="41">
        <f t="array" ref="C447">IF(IFERROR(INDEX(CATALOG_POINTS,MATCH(A447,CATALOG_TASK,0)),"")="",IF(MAX(IF(IFERROR(FIND(CATALOG_BASE,A447),0)=1,CATALOG_POINTS,0))=0,DAILY_POST_POINTS,MAX(IF(IFERROR(FIND(CATALOG_BASE,A447),0)=1,CATALOG_POINTS,0))),IFERROR(INDEX(CATALOG_POINTS,MATCH(A447,CATALOG_TASK,0)),""))</f>
        <v>1</v>
      </c>
      <c r="D447" s="10" t="s">
        <v>414</v>
      </c>
      <c r="E447" s="41" t="str">
        <f t="shared" si="1"/>
        <v>PROX3</v>
      </c>
    </row>
    <row r="448" ht="15.75" customHeight="1">
      <c r="A448" s="10" t="s">
        <v>179</v>
      </c>
      <c r="B448" s="10" t="s">
        <v>141</v>
      </c>
      <c r="C448" s="41">
        <f t="array" ref="C448">IF(IFERROR(INDEX(CATALOG_POINTS,MATCH(A448,CATALOG_TASK,0)),"")="",IF(MAX(IF(IFERROR(FIND(CATALOG_BASE,A448),0)=1,CATALOG_POINTS,0))=0,DAILY_POST_POINTS,MAX(IF(IFERROR(FIND(CATALOG_BASE,A448),0)=1,CATALOG_POINTS,0))),IFERROR(INDEX(CATALOG_POINTS,MATCH(A448,CATALOG_TASK,0)),""))</f>
        <v>1</v>
      </c>
      <c r="D448" s="10" t="s">
        <v>414</v>
      </c>
      <c r="E448" s="41" t="str">
        <f t="shared" si="1"/>
        <v>PROX3</v>
      </c>
    </row>
    <row r="449" ht="15.75" customHeight="1">
      <c r="A449" s="10" t="s">
        <v>52</v>
      </c>
      <c r="B449" s="10" t="s">
        <v>141</v>
      </c>
      <c r="C449" s="41">
        <f t="array" ref="C449">IF(IFERROR(INDEX(CATALOG_POINTS,MATCH(A449,CATALOG_TASK,0)),"")="",IF(MAX(IF(IFERROR(FIND(CATALOG_BASE,A449),0)=1,CATALOG_POINTS,0))=0,DAILY_POST_POINTS,MAX(IF(IFERROR(FIND(CATALOG_BASE,A449),0)=1,CATALOG_POINTS,0))),IFERROR(INDEX(CATALOG_POINTS,MATCH(A449,CATALOG_TASK,0)),""))</f>
        <v>10</v>
      </c>
      <c r="D449" s="10" t="s">
        <v>414</v>
      </c>
      <c r="E449" s="41" t="str">
        <f t="shared" si="1"/>
        <v>PROX3</v>
      </c>
    </row>
    <row r="450" ht="15.75" customHeight="1">
      <c r="A450" s="10" t="s">
        <v>168</v>
      </c>
      <c r="B450" s="10" t="s">
        <v>124</v>
      </c>
      <c r="C450" s="41">
        <f t="array" ref="C450">IF(IFERROR(INDEX(CATALOG_POINTS,MATCH(A450,CATALOG_TASK,0)),"")="",IF(MAX(IF(IFERROR(FIND(CATALOG_BASE,A450),0)=1,CATALOG_POINTS,0))=0,DAILY_POST_POINTS,MAX(IF(IFERROR(FIND(CATALOG_BASE,A450),0)=1,CATALOG_POINTS,0))),IFERROR(INDEX(CATALOG_POINTS,MATCH(A450,CATALOG_TASK,0)),""))</f>
        <v>1</v>
      </c>
      <c r="D450" s="10" t="s">
        <v>414</v>
      </c>
      <c r="E450" s="41" t="str">
        <f t="shared" si="1"/>
        <v>PROX3</v>
      </c>
    </row>
    <row r="451" ht="15.75" customHeight="1">
      <c r="A451" s="10" t="s">
        <v>37</v>
      </c>
      <c r="B451" s="10" t="s">
        <v>124</v>
      </c>
      <c r="C451" s="41">
        <f t="array" ref="C451">IF(IFERROR(INDEX(CATALOG_POINTS,MATCH(A451,CATALOG_TASK,0)),"")="",IF(MAX(IF(IFERROR(FIND(CATALOG_BASE,A451),0)=1,CATALOG_POINTS,0))=0,DAILY_POST_POINTS,MAX(IF(IFERROR(FIND(CATALOG_BASE,A451),0)=1,CATALOG_POINTS,0))),IFERROR(INDEX(CATALOG_POINTS,MATCH(A451,CATALOG_TASK,0)),""))</f>
        <v>2</v>
      </c>
      <c r="D451" s="10" t="s">
        <v>414</v>
      </c>
      <c r="E451" s="41" t="str">
        <f t="shared" si="1"/>
        <v>PROX3</v>
      </c>
    </row>
    <row r="452" ht="15.75" customHeight="1">
      <c r="A452" s="10" t="s">
        <v>37</v>
      </c>
      <c r="B452" s="10" t="s">
        <v>122</v>
      </c>
      <c r="C452" s="41">
        <f t="array" ref="C452">IF(IFERROR(INDEX(CATALOG_POINTS,MATCH(A452,CATALOG_TASK,0)),"")="",IF(MAX(IF(IFERROR(FIND(CATALOG_BASE,A452),0)=1,CATALOG_POINTS,0))=0,DAILY_POST_POINTS,MAX(IF(IFERROR(FIND(CATALOG_BASE,A452),0)=1,CATALOG_POINTS,0))),IFERROR(INDEX(CATALOG_POINTS,MATCH(A452,CATALOG_TASK,0)),""))</f>
        <v>2</v>
      </c>
      <c r="D452" s="10" t="s">
        <v>414</v>
      </c>
      <c r="E452" s="41" t="str">
        <f t="shared" si="1"/>
        <v>PROX3</v>
      </c>
    </row>
    <row r="453" ht="15.75" customHeight="1">
      <c r="A453" s="10" t="s">
        <v>415</v>
      </c>
      <c r="B453" s="10" t="s">
        <v>117</v>
      </c>
      <c r="C453" s="41">
        <f t="array" ref="C453">IF(IFERROR(INDEX(CATALOG_POINTS,MATCH(A453,CATALOG_TASK,0)),"")="",IF(MAX(IF(IFERROR(FIND(CATALOG_BASE,A453),0)=1,CATALOG_POINTS,0))=0,DAILY_POST_POINTS,MAX(IF(IFERROR(FIND(CATALOG_BASE,A453),0)=1,CATALOG_POINTS,0))),IFERROR(INDEX(CATALOG_POINTS,MATCH(A453,CATALOG_TASK,0)),""))</f>
        <v>1</v>
      </c>
      <c r="D453" s="10" t="s">
        <v>415</v>
      </c>
      <c r="E453" s="41" t="str">
        <f t="shared" si="1"/>
        <v>PROX3</v>
      </c>
    </row>
    <row r="454" ht="15.75" customHeight="1">
      <c r="A454" s="10" t="s">
        <v>168</v>
      </c>
      <c r="B454" s="10" t="s">
        <v>117</v>
      </c>
      <c r="C454" s="41">
        <f t="array" ref="C454">IF(IFERROR(INDEX(CATALOG_POINTS,MATCH(A454,CATALOG_TASK,0)),"")="",IF(MAX(IF(IFERROR(FIND(CATALOG_BASE,A454),0)=1,CATALOG_POINTS,0))=0,DAILY_POST_POINTS,MAX(IF(IFERROR(FIND(CATALOG_BASE,A454),0)=1,CATALOG_POINTS,0))),IFERROR(INDEX(CATALOG_POINTS,MATCH(A454,CATALOG_TASK,0)),""))</f>
        <v>1</v>
      </c>
      <c r="D454" s="10" t="s">
        <v>416</v>
      </c>
      <c r="E454" s="41" t="str">
        <f t="shared" si="1"/>
        <v>PROX3</v>
      </c>
    </row>
    <row r="455" ht="15.75" customHeight="1">
      <c r="A455" s="10" t="s">
        <v>170</v>
      </c>
      <c r="B455" s="10" t="s">
        <v>117</v>
      </c>
      <c r="C455" s="41">
        <f t="array" ref="C455">IF(IFERROR(INDEX(CATALOG_POINTS,MATCH(A455,CATALOG_TASK,0)),"")="",IF(MAX(IF(IFERROR(FIND(CATALOG_BASE,A455),0)=1,CATALOG_POINTS,0))=0,DAILY_POST_POINTS,MAX(IF(IFERROR(FIND(CATALOG_BASE,A455),0)=1,CATALOG_POINTS,0))),IFERROR(INDEX(CATALOG_POINTS,MATCH(A455,CATALOG_TASK,0)),""))</f>
        <v>1</v>
      </c>
      <c r="D455" s="10" t="s">
        <v>416</v>
      </c>
      <c r="E455" s="41" t="str">
        <f t="shared" si="1"/>
        <v>PROX3</v>
      </c>
    </row>
    <row r="456" ht="15.75" customHeight="1">
      <c r="A456" s="10" t="s">
        <v>170</v>
      </c>
      <c r="B456" s="10" t="s">
        <v>122</v>
      </c>
      <c r="C456" s="41">
        <f t="array" ref="C456">IF(IFERROR(INDEX(CATALOG_POINTS,MATCH(A456,CATALOG_TASK,0)),"")="",IF(MAX(IF(IFERROR(FIND(CATALOG_BASE,A456),0)=1,CATALOG_POINTS,0))=0,DAILY_POST_POINTS,MAX(IF(IFERROR(FIND(CATALOG_BASE,A456),0)=1,CATALOG_POINTS,0))),IFERROR(INDEX(CATALOG_POINTS,MATCH(A456,CATALOG_TASK,0)),""))</f>
        <v>1</v>
      </c>
      <c r="D456" s="10" t="s">
        <v>416</v>
      </c>
      <c r="E456" s="41" t="str">
        <f t="shared" si="1"/>
        <v>PROX3</v>
      </c>
    </row>
    <row r="457" ht="15.75" customHeight="1">
      <c r="A457" s="10" t="s">
        <v>416</v>
      </c>
      <c r="B457" s="10" t="s">
        <v>127</v>
      </c>
      <c r="C457" s="41">
        <f t="array" ref="C457">IF(IFERROR(INDEX(CATALOG_POINTS,MATCH(A457,CATALOG_TASK,0)),"")="",IF(MAX(IF(IFERROR(FIND(CATALOG_BASE,A457),0)=1,CATALOG_POINTS,0))=0,DAILY_POST_POINTS,MAX(IF(IFERROR(FIND(CATALOG_BASE,A457),0)=1,CATALOG_POINTS,0))),IFERROR(INDEX(CATALOG_POINTS,MATCH(A457,CATALOG_TASK,0)),""))</f>
        <v>1</v>
      </c>
      <c r="D457" s="10" t="s">
        <v>416</v>
      </c>
      <c r="E457" s="41" t="str">
        <f t="shared" si="1"/>
        <v>PROX3</v>
      </c>
    </row>
    <row r="458" ht="15.75" customHeight="1">
      <c r="A458" s="10" t="s">
        <v>170</v>
      </c>
      <c r="B458" s="10" t="s">
        <v>117</v>
      </c>
      <c r="C458" s="41">
        <f t="array" ref="C458">IF(IFERROR(INDEX(CATALOG_POINTS,MATCH(A458,CATALOG_TASK,0)),"")="",IF(MAX(IF(IFERROR(FIND(CATALOG_BASE,A458),0)=1,CATALOG_POINTS,0))=0,DAILY_POST_POINTS,MAX(IF(IFERROR(FIND(CATALOG_BASE,A458),0)=1,CATALOG_POINTS,0))),IFERROR(INDEX(CATALOG_POINTS,MATCH(A458,CATALOG_TASK,0)),""))</f>
        <v>1</v>
      </c>
      <c r="D458" s="10" t="s">
        <v>416</v>
      </c>
      <c r="E458" s="41" t="str">
        <f t="shared" si="1"/>
        <v>PROX3</v>
      </c>
    </row>
    <row r="459" ht="15.75" customHeight="1">
      <c r="A459" s="10" t="s">
        <v>170</v>
      </c>
      <c r="B459" s="10" t="s">
        <v>125</v>
      </c>
      <c r="C459" s="41">
        <f t="array" ref="C459">IF(IFERROR(INDEX(CATALOG_POINTS,MATCH(A459,CATALOG_TASK,0)),"")="",IF(MAX(IF(IFERROR(FIND(CATALOG_BASE,A459),0)=1,CATALOG_POINTS,0))=0,DAILY_POST_POINTS,MAX(IF(IFERROR(FIND(CATALOG_BASE,A459),0)=1,CATALOG_POINTS,0))),IFERROR(INDEX(CATALOG_POINTS,MATCH(A459,CATALOG_TASK,0)),""))</f>
        <v>1</v>
      </c>
      <c r="D459" s="10" t="s">
        <v>416</v>
      </c>
      <c r="E459" s="41" t="str">
        <f t="shared" si="1"/>
        <v>PROX3</v>
      </c>
    </row>
    <row r="460" ht="15.75" customHeight="1">
      <c r="A460" s="10" t="s">
        <v>417</v>
      </c>
      <c r="B460" s="10" t="s">
        <v>120</v>
      </c>
      <c r="C460" s="41">
        <f t="array" ref="C460">IF(IFERROR(INDEX(CATALOG_POINTS,MATCH(A460,CATALOG_TASK,0)),"")="",IF(MAX(IF(IFERROR(FIND(CATALOG_BASE,A460),0)=1,CATALOG_POINTS,0))=0,DAILY_POST_POINTS,MAX(IF(IFERROR(FIND(CATALOG_BASE,A460),0)=1,CATALOG_POINTS,0))),IFERROR(INDEX(CATALOG_POINTS,MATCH(A460,CATALOG_TASK,0)),""))</f>
        <v>1</v>
      </c>
      <c r="D460" s="10" t="s">
        <v>417</v>
      </c>
      <c r="E460" s="41" t="str">
        <f t="shared" si="1"/>
        <v>PROX3</v>
      </c>
    </row>
    <row r="461" ht="15.75" customHeight="1">
      <c r="A461" s="10" t="s">
        <v>37</v>
      </c>
      <c r="B461" s="10" t="s">
        <v>127</v>
      </c>
      <c r="C461" s="41">
        <f t="array" ref="C461">IF(IFERROR(INDEX(CATALOG_POINTS,MATCH(A461,CATALOG_TASK,0)),"")="",IF(MAX(IF(IFERROR(FIND(CATALOG_BASE,A461),0)=1,CATALOG_POINTS,0))=0,DAILY_POST_POINTS,MAX(IF(IFERROR(FIND(CATALOG_BASE,A461),0)=1,CATALOG_POINTS,0))),IFERROR(INDEX(CATALOG_POINTS,MATCH(A461,CATALOG_TASK,0)),""))</f>
        <v>2</v>
      </c>
      <c r="D461" s="10" t="s">
        <v>418</v>
      </c>
      <c r="E461" s="41" t="str">
        <f t="shared" si="1"/>
        <v>SEM</v>
      </c>
    </row>
    <row r="462" ht="15.75" customHeight="1">
      <c r="A462" s="10" t="s">
        <v>418</v>
      </c>
      <c r="B462" s="10" t="s">
        <v>125</v>
      </c>
      <c r="C462" s="41">
        <f t="array" ref="C462">IF(IFERROR(INDEX(CATALOG_POINTS,MATCH(A462,CATALOG_TASK,0)),"")="",IF(MAX(IF(IFERROR(FIND(CATALOG_BASE,A462),0)=1,CATALOG_POINTS,0))=0,DAILY_POST_POINTS,MAX(IF(IFERROR(FIND(CATALOG_BASE,A462),0)=1,CATALOG_POINTS,0))),IFERROR(INDEX(CATALOG_POINTS,MATCH(A462,CATALOG_TASK,0)),""))</f>
        <v>1</v>
      </c>
      <c r="D462" s="10" t="s">
        <v>418</v>
      </c>
      <c r="E462" s="41" t="str">
        <f t="shared" si="1"/>
        <v>SEM</v>
      </c>
    </row>
    <row r="463" ht="15.75" customHeight="1">
      <c r="A463" s="10" t="s">
        <v>419</v>
      </c>
      <c r="B463" s="10" t="s">
        <v>122</v>
      </c>
      <c r="C463" s="41">
        <f t="array" ref="C463">IF(IFERROR(INDEX(CATALOG_POINTS,MATCH(A463,CATALOG_TASK,0)),"")="",IF(MAX(IF(IFERROR(FIND(CATALOG_BASE,A463),0)=1,CATALOG_POINTS,0))=0,DAILY_POST_POINTS,MAX(IF(IFERROR(FIND(CATALOG_BASE,A463),0)=1,CATALOG_POINTS,0))),IFERROR(INDEX(CATALOG_POINTS,MATCH(A463,CATALOG_TASK,0)),""))</f>
        <v>1</v>
      </c>
      <c r="D463" s="10" t="s">
        <v>419</v>
      </c>
      <c r="E463" s="41" t="str">
        <f t="shared" si="1"/>
        <v>SE1</v>
      </c>
    </row>
    <row r="464" ht="15.75" customHeight="1">
      <c r="A464" s="10" t="s">
        <v>420</v>
      </c>
      <c r="B464" s="10" t="s">
        <v>136</v>
      </c>
      <c r="C464" s="41">
        <f t="array" ref="C464">IF(IFERROR(INDEX(CATALOG_POINTS,MATCH(A464,CATALOG_TASK,0)),"")="",IF(MAX(IF(IFERROR(FIND(CATALOG_BASE,A464),0)=1,CATALOG_POINTS,0))=0,DAILY_POST_POINTS,MAX(IF(IFERROR(FIND(CATALOG_BASE,A464),0)=1,CATALOG_POINTS,0))),IFERROR(INDEX(CATALOG_POINTS,MATCH(A464,CATALOG_TASK,0)),""))</f>
        <v>1</v>
      </c>
      <c r="D464" s="10" t="s">
        <v>420</v>
      </c>
      <c r="E464" s="41" t="str">
        <f t="shared" si="1"/>
        <v>PROX3</v>
      </c>
    </row>
    <row r="465" ht="15.75" customHeight="1">
      <c r="A465" s="10" t="s">
        <v>37</v>
      </c>
      <c r="B465" s="10" t="s">
        <v>121</v>
      </c>
      <c r="C465" s="41">
        <f t="array" ref="C465">IF(IFERROR(INDEX(CATALOG_POINTS,MATCH(A465,CATALOG_TASK,0)),"")="",IF(MAX(IF(IFERROR(FIND(CATALOG_BASE,A465),0)=1,CATALOG_POINTS,0))=0,DAILY_POST_POINTS,MAX(IF(IFERROR(FIND(CATALOG_BASE,A465),0)=1,CATALOG_POINTS,0))),IFERROR(INDEX(CATALOG_POINTS,MATCH(A465,CATALOG_TASK,0)),""))</f>
        <v>2</v>
      </c>
      <c r="D465" s="10" t="s">
        <v>420</v>
      </c>
      <c r="E465" s="41" t="str">
        <f t="shared" si="1"/>
        <v>PROX3</v>
      </c>
    </row>
    <row r="466" ht="15.75" customHeight="1">
      <c r="A466" s="10" t="s">
        <v>421</v>
      </c>
      <c r="B466" s="10" t="s">
        <v>131</v>
      </c>
      <c r="C466" s="41">
        <f t="array" ref="C466">IF(IFERROR(INDEX(CATALOG_POINTS,MATCH(A466,CATALOG_TASK,0)),"")="",IF(MAX(IF(IFERROR(FIND(CATALOG_BASE,A466),0)=1,CATALOG_POINTS,0))=0,DAILY_POST_POINTS,MAX(IF(IFERROR(FIND(CATALOG_BASE,A466),0)=1,CATALOG_POINTS,0))),IFERROR(INDEX(CATALOG_POINTS,MATCH(A466,CATALOG_TASK,0)),""))</f>
        <v>1</v>
      </c>
      <c r="D466" s="10" t="s">
        <v>421</v>
      </c>
      <c r="E466" s="41" t="str">
        <f t="shared" si="1"/>
        <v>PROX3</v>
      </c>
    </row>
    <row r="467" ht="15.75" customHeight="1">
      <c r="A467" s="10" t="s">
        <v>422</v>
      </c>
      <c r="B467" s="10" t="s">
        <v>125</v>
      </c>
      <c r="C467" s="41">
        <f t="array" ref="C467">IF(IFERROR(INDEX(CATALOG_POINTS,MATCH(A467,CATALOG_TASK,0)),"")="",IF(MAX(IF(IFERROR(FIND(CATALOG_BASE,A467),0)=1,CATALOG_POINTS,0))=0,DAILY_POST_POINTS,MAX(IF(IFERROR(FIND(CATALOG_BASE,A467),0)=1,CATALOG_POINTS,0))),IFERROR(INDEX(CATALOG_POINTS,MATCH(A467,CATALOG_TASK,0)),""))</f>
        <v>1</v>
      </c>
      <c r="D467" s="10" t="s">
        <v>422</v>
      </c>
      <c r="E467" s="41" t="str">
        <f t="shared" si="1"/>
        <v>PROX3</v>
      </c>
    </row>
    <row r="468" ht="15.75" customHeight="1">
      <c r="A468" s="10" t="s">
        <v>423</v>
      </c>
      <c r="B468" s="10" t="s">
        <v>136</v>
      </c>
      <c r="C468" s="41">
        <f t="array" ref="C468">IF(IFERROR(INDEX(CATALOG_POINTS,MATCH(A468,CATALOG_TASK,0)),"")="",IF(MAX(IF(IFERROR(FIND(CATALOG_BASE,A468),0)=1,CATALOG_POINTS,0))=0,DAILY_POST_POINTS,MAX(IF(IFERROR(FIND(CATALOG_BASE,A468),0)=1,CATALOG_POINTS,0))),IFERROR(INDEX(CATALOG_POINTS,MATCH(A468,CATALOG_TASK,0)),""))</f>
        <v>1</v>
      </c>
      <c r="D468" s="10" t="s">
        <v>423</v>
      </c>
      <c r="E468" s="41" t="str">
        <f t="shared" si="1"/>
        <v/>
      </c>
    </row>
    <row r="469" ht="15.75" customHeight="1">
      <c r="A469" s="10" t="s">
        <v>424</v>
      </c>
      <c r="B469" s="10" t="s">
        <v>119</v>
      </c>
      <c r="C469" s="41">
        <f t="array" ref="C469">IF(IFERROR(INDEX(CATALOG_POINTS,MATCH(A469,CATALOG_TASK,0)),"")="",IF(MAX(IF(IFERROR(FIND(CATALOG_BASE,A469),0)=1,CATALOG_POINTS,0))=0,DAILY_POST_POINTS,MAX(IF(IFERROR(FIND(CATALOG_BASE,A469),0)=1,CATALOG_POINTS,0))),IFERROR(INDEX(CATALOG_POINTS,MATCH(A469,CATALOG_TASK,0)),""))</f>
        <v>1</v>
      </c>
      <c r="D469" s="10" t="s">
        <v>424</v>
      </c>
      <c r="E469" s="41" t="str">
        <f t="shared" si="1"/>
        <v>PROX3</v>
      </c>
    </row>
    <row r="470" ht="15.75" customHeight="1">
      <c r="A470" s="10" t="s">
        <v>37</v>
      </c>
      <c r="B470" s="10" t="s">
        <v>123</v>
      </c>
      <c r="C470" s="41">
        <f t="array" ref="C470">IF(IFERROR(INDEX(CATALOG_POINTS,MATCH(A470,CATALOG_TASK,0)),"")="",IF(MAX(IF(IFERROR(FIND(CATALOG_BASE,A470),0)=1,CATALOG_POINTS,0))=0,DAILY_POST_POINTS,MAX(IF(IFERROR(FIND(CATALOG_BASE,A470),0)=1,CATALOG_POINTS,0))),IFERROR(INDEX(CATALOG_POINTS,MATCH(A470,CATALOG_TASK,0)),""))</f>
        <v>2</v>
      </c>
      <c r="D470" s="10" t="s">
        <v>424</v>
      </c>
      <c r="E470" s="41" t="str">
        <f t="shared" si="1"/>
        <v>PROX3</v>
      </c>
    </row>
    <row r="471" ht="15.75" customHeight="1">
      <c r="A471" s="10" t="s">
        <v>425</v>
      </c>
      <c r="B471" s="10" t="s">
        <v>123</v>
      </c>
      <c r="C471" s="41">
        <f t="array" ref="C471">IF(IFERROR(INDEX(CATALOG_POINTS,MATCH(A471,CATALOG_TASK,0)),"")="",IF(MAX(IF(IFERROR(FIND(CATALOG_BASE,A471),0)=1,CATALOG_POINTS,0))=0,DAILY_POST_POINTS,MAX(IF(IFERROR(FIND(CATALOG_BASE,A471),0)=1,CATALOG_POINTS,0))),IFERROR(INDEX(CATALOG_POINTS,MATCH(A471,CATALOG_TASK,0)),""))</f>
        <v>1</v>
      </c>
      <c r="D471" s="10" t="s">
        <v>425</v>
      </c>
      <c r="E471" s="41" t="str">
        <f t="shared" si="1"/>
        <v>PROX3</v>
      </c>
    </row>
    <row r="472" ht="15.75" customHeight="1">
      <c r="A472" s="10" t="s">
        <v>37</v>
      </c>
      <c r="B472" s="10" t="s">
        <v>120</v>
      </c>
      <c r="C472" s="41">
        <f t="array" ref="C472">IF(IFERROR(INDEX(CATALOG_POINTS,MATCH(A472,CATALOG_TASK,0)),"")="",IF(MAX(IF(IFERROR(FIND(CATALOG_BASE,A472),0)=1,CATALOG_POINTS,0))=0,DAILY_POST_POINTS,MAX(IF(IFERROR(FIND(CATALOG_BASE,A472),0)=1,CATALOG_POINTS,0))),IFERROR(INDEX(CATALOG_POINTS,MATCH(A472,CATALOG_TASK,0)),""))</f>
        <v>2</v>
      </c>
      <c r="D472" s="10" t="s">
        <v>425</v>
      </c>
      <c r="E472" s="41" t="str">
        <f t="shared" si="1"/>
        <v>PROX3</v>
      </c>
    </row>
    <row r="473" ht="15.75" customHeight="1">
      <c r="A473" s="10" t="s">
        <v>179</v>
      </c>
      <c r="B473" s="10" t="s">
        <v>151</v>
      </c>
      <c r="C473" s="41">
        <f t="array" ref="C473">IF(IFERROR(INDEX(CATALOG_POINTS,MATCH(A473,CATALOG_TASK,0)),"")="",IF(MAX(IF(IFERROR(FIND(CATALOG_BASE,A473),0)=1,CATALOG_POINTS,0))=0,DAILY_POST_POINTS,MAX(IF(IFERROR(FIND(CATALOG_BASE,A473),0)=1,CATALOG_POINTS,0))),IFERROR(INDEX(CATALOG_POINTS,MATCH(A473,CATALOG_TASK,0)),""))</f>
        <v>1</v>
      </c>
      <c r="D473" s="10" t="s">
        <v>425</v>
      </c>
      <c r="E473" s="41" t="str">
        <f t="shared" si="1"/>
        <v>PROX3</v>
      </c>
    </row>
    <row r="474" ht="15.75" customHeight="1">
      <c r="A474" s="10" t="s">
        <v>37</v>
      </c>
      <c r="B474" s="10" t="s">
        <v>117</v>
      </c>
      <c r="C474" s="41">
        <f t="array" ref="C474">IF(IFERROR(INDEX(CATALOG_POINTS,MATCH(A474,CATALOG_TASK,0)),"")="",IF(MAX(IF(IFERROR(FIND(CATALOG_BASE,A474),0)=1,CATALOG_POINTS,0))=0,DAILY_POST_POINTS,MAX(IF(IFERROR(FIND(CATALOG_BASE,A474),0)=1,CATALOG_POINTS,0))),IFERROR(INDEX(CATALOG_POINTS,MATCH(A474,CATALOG_TASK,0)),""))</f>
        <v>2</v>
      </c>
      <c r="D474" s="10" t="s">
        <v>425</v>
      </c>
      <c r="E474" s="41" t="str">
        <f t="shared" si="1"/>
        <v>PROX3</v>
      </c>
    </row>
    <row r="475" ht="15.75" customHeight="1">
      <c r="A475" s="10" t="s">
        <v>168</v>
      </c>
      <c r="B475" s="10" t="s">
        <v>120</v>
      </c>
      <c r="C475" s="41">
        <f t="array" ref="C475">IF(IFERROR(INDEX(CATALOG_POINTS,MATCH(A475,CATALOG_TASK,0)),"")="",IF(MAX(IF(IFERROR(FIND(CATALOG_BASE,A475),0)=1,CATALOG_POINTS,0))=0,DAILY_POST_POINTS,MAX(IF(IFERROR(FIND(CATALOG_BASE,A475),0)=1,CATALOG_POINTS,0))),IFERROR(INDEX(CATALOG_POINTS,MATCH(A475,CATALOG_TASK,0)),""))</f>
        <v>1</v>
      </c>
      <c r="D475" s="10" t="s">
        <v>425</v>
      </c>
      <c r="E475" s="41" t="str">
        <f t="shared" si="1"/>
        <v>PROX3</v>
      </c>
    </row>
    <row r="476" ht="15.75" customHeight="1">
      <c r="A476" s="10" t="s">
        <v>37</v>
      </c>
      <c r="B476" s="10" t="s">
        <v>126</v>
      </c>
      <c r="C476" s="41">
        <f t="array" ref="C476">IF(IFERROR(INDEX(CATALOG_POINTS,MATCH(A476,CATALOG_TASK,0)),"")="",IF(MAX(IF(IFERROR(FIND(CATALOG_BASE,A476),0)=1,CATALOG_POINTS,0))=0,DAILY_POST_POINTS,MAX(IF(IFERROR(FIND(CATALOG_BASE,A476),0)=1,CATALOG_POINTS,0))),IFERROR(INDEX(CATALOG_POINTS,MATCH(A476,CATALOG_TASK,0)),""))</f>
        <v>2</v>
      </c>
      <c r="D476" s="10" t="s">
        <v>425</v>
      </c>
      <c r="E476" s="41" t="str">
        <f t="shared" si="1"/>
        <v>PROX3</v>
      </c>
    </row>
    <row r="477" ht="15.75" customHeight="1">
      <c r="A477" s="10" t="s">
        <v>426</v>
      </c>
      <c r="B477" s="10" t="s">
        <v>128</v>
      </c>
      <c r="C477" s="41">
        <f t="array" ref="C477">IF(IFERROR(INDEX(CATALOG_POINTS,MATCH(A477,CATALOG_TASK,0)),"")="",IF(MAX(IF(IFERROR(FIND(CATALOG_BASE,A477),0)=1,CATALOG_POINTS,0))=0,DAILY_POST_POINTS,MAX(IF(IFERROR(FIND(CATALOG_BASE,A477),0)=1,CATALOG_POINTS,0))),IFERROR(INDEX(CATALOG_POINTS,MATCH(A477,CATALOG_TASK,0)),""))</f>
        <v>1</v>
      </c>
      <c r="D477" s="10" t="s">
        <v>426</v>
      </c>
      <c r="E477" s="41" t="str">
        <f t="shared" si="1"/>
        <v>PROX3</v>
      </c>
    </row>
    <row r="478" ht="15.75" customHeight="1">
      <c r="A478" s="10" t="s">
        <v>52</v>
      </c>
      <c r="B478" s="10" t="s">
        <v>142</v>
      </c>
      <c r="C478" s="41">
        <f t="array" ref="C478">IF(IFERROR(INDEX(CATALOG_POINTS,MATCH(A478,CATALOG_TASK,0)),"")="",IF(MAX(IF(IFERROR(FIND(CATALOG_BASE,A478),0)=1,CATALOG_POINTS,0))=0,DAILY_POST_POINTS,MAX(IF(IFERROR(FIND(CATALOG_BASE,A478),0)=1,CATALOG_POINTS,0))),IFERROR(INDEX(CATALOG_POINTS,MATCH(A478,CATALOG_TASK,0)),""))</f>
        <v>10</v>
      </c>
      <c r="D478" s="10" t="s">
        <v>427</v>
      </c>
      <c r="E478" s="41" t="str">
        <f t="shared" si="1"/>
        <v>PROX3</v>
      </c>
    </row>
    <row r="479" ht="15.75" customHeight="1">
      <c r="A479" s="10" t="s">
        <v>177</v>
      </c>
      <c r="B479" s="10" t="s">
        <v>142</v>
      </c>
      <c r="C479" s="41">
        <f t="array" ref="C479">IF(IFERROR(INDEX(CATALOG_POINTS,MATCH(A479,CATALOG_TASK,0)),"")="",IF(MAX(IF(IFERROR(FIND(CATALOG_BASE,A479),0)=1,CATALOG_POINTS,0))=0,DAILY_POST_POINTS,MAX(IF(IFERROR(FIND(CATALOG_BASE,A479),0)=1,CATALOG_POINTS,0))),IFERROR(INDEX(CATALOG_POINTS,MATCH(A479,CATALOG_TASK,0)),""))</f>
        <v>6</v>
      </c>
      <c r="D479" s="10" t="s">
        <v>427</v>
      </c>
      <c r="E479" s="41" t="str">
        <f t="shared" si="1"/>
        <v>PROX3</v>
      </c>
    </row>
    <row r="480" ht="15.75" customHeight="1">
      <c r="A480" s="10" t="s">
        <v>37</v>
      </c>
      <c r="B480" s="10" t="s">
        <v>123</v>
      </c>
      <c r="C480" s="41">
        <f t="array" ref="C480">IF(IFERROR(INDEX(CATALOG_POINTS,MATCH(A480,CATALOG_TASK,0)),"")="",IF(MAX(IF(IFERROR(FIND(CATALOG_BASE,A480),0)=1,CATALOG_POINTS,0))=0,DAILY_POST_POINTS,MAX(IF(IFERROR(FIND(CATALOG_BASE,A480),0)=1,CATALOG_POINTS,0))),IFERROR(INDEX(CATALOG_POINTS,MATCH(A480,CATALOG_TASK,0)),""))</f>
        <v>2</v>
      </c>
      <c r="D480" s="10" t="s">
        <v>427</v>
      </c>
      <c r="E480" s="41" t="str">
        <f t="shared" si="1"/>
        <v>PROX3</v>
      </c>
    </row>
    <row r="481" ht="15.75" customHeight="1">
      <c r="A481" s="10" t="s">
        <v>428</v>
      </c>
      <c r="B481" s="10" t="s">
        <v>117</v>
      </c>
      <c r="C481" s="41">
        <f t="array" ref="C481">IF(IFERROR(INDEX(CATALOG_POINTS,MATCH(A481,CATALOG_TASK,0)),"")="",IF(MAX(IF(IFERROR(FIND(CATALOG_BASE,A481),0)=1,CATALOG_POINTS,0))=0,DAILY_POST_POINTS,MAX(IF(IFERROR(FIND(CATALOG_BASE,A481),0)=1,CATALOG_POINTS,0))),IFERROR(INDEX(CATALOG_POINTS,MATCH(A481,CATALOG_TASK,0)),""))</f>
        <v>1</v>
      </c>
      <c r="D481" s="10" t="s">
        <v>428</v>
      </c>
      <c r="E481" s="41" t="str">
        <f t="shared" si="1"/>
        <v>PROX3</v>
      </c>
    </row>
    <row r="482" ht="15.75" customHeight="1">
      <c r="A482" s="10" t="s">
        <v>37</v>
      </c>
      <c r="B482" s="10" t="s">
        <v>124</v>
      </c>
      <c r="C482" s="41">
        <f t="array" ref="C482">IF(IFERROR(INDEX(CATALOG_POINTS,MATCH(A482,CATALOG_TASK,0)),"")="",IF(MAX(IF(IFERROR(FIND(CATALOG_BASE,A482),0)=1,CATALOG_POINTS,0))=0,DAILY_POST_POINTS,MAX(IF(IFERROR(FIND(CATALOG_BASE,A482),0)=1,CATALOG_POINTS,0))),IFERROR(INDEX(CATALOG_POINTS,MATCH(A482,CATALOG_TASK,0)),""))</f>
        <v>2</v>
      </c>
      <c r="D482" s="10" t="s">
        <v>428</v>
      </c>
      <c r="E482" s="41" t="str">
        <f t="shared" si="1"/>
        <v>PROX3</v>
      </c>
    </row>
    <row r="483" ht="15.75" customHeight="1">
      <c r="A483" s="10" t="s">
        <v>174</v>
      </c>
      <c r="B483" s="10" t="s">
        <v>123</v>
      </c>
      <c r="C483" s="41">
        <f t="array" ref="C483">IF(IFERROR(INDEX(CATALOG_POINTS,MATCH(A483,CATALOG_TASK,0)),"")="",IF(MAX(IF(IFERROR(FIND(CATALOG_BASE,A483),0)=1,CATALOG_POINTS,0))=0,DAILY_POST_POINTS,MAX(IF(IFERROR(FIND(CATALOG_BASE,A483),0)=1,CATALOG_POINTS,0))),IFERROR(INDEX(CATALOG_POINTS,MATCH(A483,CATALOG_TASK,0)),""))</f>
        <v>1</v>
      </c>
      <c r="D483" s="10" t="s">
        <v>428</v>
      </c>
      <c r="E483" s="41" t="str">
        <f t="shared" si="1"/>
        <v>PROX3</v>
      </c>
    </row>
    <row r="484" ht="15.75" customHeight="1">
      <c r="A484" s="10" t="s">
        <v>429</v>
      </c>
      <c r="B484" s="10" t="s">
        <v>120</v>
      </c>
      <c r="C484" s="41">
        <f t="array" ref="C484">IF(IFERROR(INDEX(CATALOG_POINTS,MATCH(A484,CATALOG_TASK,0)),"")="",IF(MAX(IF(IFERROR(FIND(CATALOG_BASE,A484),0)=1,CATALOG_POINTS,0))=0,DAILY_POST_POINTS,MAX(IF(IFERROR(FIND(CATALOG_BASE,A484),0)=1,CATALOG_POINTS,0))),IFERROR(INDEX(CATALOG_POINTS,MATCH(A484,CATALOG_TASK,0)),""))</f>
        <v>1</v>
      </c>
      <c r="D484" s="10" t="s">
        <v>429</v>
      </c>
      <c r="E484" s="41" t="str">
        <f t="shared" si="1"/>
        <v>PROX3</v>
      </c>
    </row>
    <row r="485" ht="15.75" customHeight="1">
      <c r="A485" s="10" t="s">
        <v>430</v>
      </c>
      <c r="B485" s="10" t="s">
        <v>133</v>
      </c>
      <c r="C485" s="41">
        <f t="array" ref="C485">IF(IFERROR(INDEX(CATALOG_POINTS,MATCH(A485,CATALOG_TASK,0)),"")="",IF(MAX(IF(IFERROR(FIND(CATALOG_BASE,A485),0)=1,CATALOG_POINTS,0))=0,DAILY_POST_POINTS,MAX(IF(IFERROR(FIND(CATALOG_BASE,A485),0)=1,CATALOG_POINTS,0))),IFERROR(INDEX(CATALOG_POINTS,MATCH(A485,CATALOG_TASK,0)),""))</f>
        <v>1</v>
      </c>
      <c r="D485" s="10" t="s">
        <v>430</v>
      </c>
      <c r="E485" s="41" t="str">
        <f t="shared" si="1"/>
        <v>PROX3</v>
      </c>
    </row>
    <row r="486" ht="15.75" customHeight="1">
      <c r="A486" s="10" t="s">
        <v>431</v>
      </c>
      <c r="B486" s="10" t="s">
        <v>120</v>
      </c>
      <c r="C486" s="41">
        <f t="array" ref="C486">IF(IFERROR(INDEX(CATALOG_POINTS,MATCH(A486,CATALOG_TASK,0)),"")="",IF(MAX(IF(IFERROR(FIND(CATALOG_BASE,A486),0)=1,CATALOG_POINTS,0))=0,DAILY_POST_POINTS,MAX(IF(IFERROR(FIND(CATALOG_BASE,A486),0)=1,CATALOG_POINTS,0))),IFERROR(INDEX(CATALOG_POINTS,MATCH(A486,CATALOG_TASK,0)),""))</f>
        <v>1</v>
      </c>
      <c r="D486" s="10" t="s">
        <v>431</v>
      </c>
      <c r="E486" s="41" t="str">
        <f t="shared" si="1"/>
        <v>PROX3</v>
      </c>
    </row>
    <row r="487" ht="15.75" customHeight="1">
      <c r="A487" s="10" t="s">
        <v>37</v>
      </c>
      <c r="B487" s="10" t="s">
        <v>117</v>
      </c>
      <c r="C487" s="41">
        <f t="array" ref="C487">IF(IFERROR(INDEX(CATALOG_POINTS,MATCH(A487,CATALOG_TASK,0)),"")="",IF(MAX(IF(IFERROR(FIND(CATALOG_BASE,A487),0)=1,CATALOG_POINTS,0))=0,DAILY_POST_POINTS,MAX(IF(IFERROR(FIND(CATALOG_BASE,A487),0)=1,CATALOG_POINTS,0))),IFERROR(INDEX(CATALOG_POINTS,MATCH(A487,CATALOG_TASK,0)),""))</f>
        <v>2</v>
      </c>
      <c r="D487" s="10" t="s">
        <v>431</v>
      </c>
      <c r="E487" s="41" t="str">
        <f t="shared" si="1"/>
        <v>PROX3</v>
      </c>
    </row>
    <row r="488" ht="15.75" customHeight="1">
      <c r="A488" s="10" t="s">
        <v>37</v>
      </c>
      <c r="B488" s="10" t="s">
        <v>119</v>
      </c>
      <c r="C488" s="41">
        <f t="array" ref="C488">IF(IFERROR(INDEX(CATALOG_POINTS,MATCH(A488,CATALOG_TASK,0)),"")="",IF(MAX(IF(IFERROR(FIND(CATALOG_BASE,A488),0)=1,CATALOG_POINTS,0))=0,DAILY_POST_POINTS,MAX(IF(IFERROR(FIND(CATALOG_BASE,A488),0)=1,CATALOG_POINTS,0))),IFERROR(INDEX(CATALOG_POINTS,MATCH(A488,CATALOG_TASK,0)),""))</f>
        <v>2</v>
      </c>
      <c r="D488" s="10" t="s">
        <v>431</v>
      </c>
      <c r="E488" s="41" t="str">
        <f t="shared" si="1"/>
        <v>PROX3</v>
      </c>
    </row>
    <row r="489" ht="15.75" customHeight="1">
      <c r="A489" s="10" t="s">
        <v>37</v>
      </c>
      <c r="B489" s="10" t="s">
        <v>119</v>
      </c>
      <c r="C489" s="41">
        <f t="array" ref="C489">IF(IFERROR(INDEX(CATALOG_POINTS,MATCH(A489,CATALOG_TASK,0)),"")="",IF(MAX(IF(IFERROR(FIND(CATALOG_BASE,A489),0)=1,CATALOG_POINTS,0))=0,DAILY_POST_POINTS,MAX(IF(IFERROR(FIND(CATALOG_BASE,A489),0)=1,CATALOG_POINTS,0))),IFERROR(INDEX(CATALOG_POINTS,MATCH(A489,CATALOG_TASK,0)),""))</f>
        <v>2</v>
      </c>
      <c r="D489" s="10" t="s">
        <v>432</v>
      </c>
      <c r="E489" s="41" t="str">
        <f t="shared" si="1"/>
        <v>PROX4</v>
      </c>
    </row>
    <row r="490" ht="15.75" customHeight="1">
      <c r="A490" s="10" t="s">
        <v>37</v>
      </c>
      <c r="B490" s="10" t="s">
        <v>126</v>
      </c>
      <c r="C490" s="41">
        <f t="array" ref="C490">IF(IFERROR(INDEX(CATALOG_POINTS,MATCH(A490,CATALOG_TASK,0)),"")="",IF(MAX(IF(IFERROR(FIND(CATALOG_BASE,A490),0)=1,CATALOG_POINTS,0))=0,DAILY_POST_POINTS,MAX(IF(IFERROR(FIND(CATALOG_BASE,A490),0)=1,CATALOG_POINTS,0))),IFERROR(INDEX(CATALOG_POINTS,MATCH(A490,CATALOG_TASK,0)),""))</f>
        <v>2</v>
      </c>
      <c r="D490" s="10" t="s">
        <v>432</v>
      </c>
      <c r="E490" s="41" t="str">
        <f t="shared" si="1"/>
        <v>PROX4</v>
      </c>
    </row>
    <row r="491" ht="15.75" customHeight="1">
      <c r="A491" s="10" t="s">
        <v>37</v>
      </c>
      <c r="B491" s="10" t="s">
        <v>119</v>
      </c>
      <c r="C491" s="41">
        <f t="array" ref="C491">IF(IFERROR(INDEX(CATALOG_POINTS,MATCH(A491,CATALOG_TASK,0)),"")="",IF(MAX(IF(IFERROR(FIND(CATALOG_BASE,A491),0)=1,CATALOG_POINTS,0))=0,DAILY_POST_POINTS,MAX(IF(IFERROR(FIND(CATALOG_BASE,A491),0)=1,CATALOG_POINTS,0))),IFERROR(INDEX(CATALOG_POINTS,MATCH(A491,CATALOG_TASK,0)),""))</f>
        <v>2</v>
      </c>
      <c r="D491" s="10" t="s">
        <v>432</v>
      </c>
      <c r="E491" s="41" t="str">
        <f t="shared" si="1"/>
        <v>PROX4</v>
      </c>
    </row>
    <row r="492" ht="15.75" customHeight="1">
      <c r="A492" s="10" t="s">
        <v>37</v>
      </c>
      <c r="B492" s="10" t="s">
        <v>124</v>
      </c>
      <c r="C492" s="41">
        <f t="array" ref="C492">IF(IFERROR(INDEX(CATALOG_POINTS,MATCH(A492,CATALOG_TASK,0)),"")="",IF(MAX(IF(IFERROR(FIND(CATALOG_BASE,A492),0)=1,CATALOG_POINTS,0))=0,DAILY_POST_POINTS,MAX(IF(IFERROR(FIND(CATALOG_BASE,A492),0)=1,CATALOG_POINTS,0))),IFERROR(INDEX(CATALOG_POINTS,MATCH(A492,CATALOG_TASK,0)),""))</f>
        <v>2</v>
      </c>
      <c r="D492" s="10" t="s">
        <v>432</v>
      </c>
      <c r="E492" s="41" t="str">
        <f t="shared" si="1"/>
        <v>PROX4</v>
      </c>
    </row>
    <row r="493" ht="15.75" customHeight="1">
      <c r="A493" s="10" t="s">
        <v>37</v>
      </c>
      <c r="B493" s="10" t="s">
        <v>125</v>
      </c>
      <c r="C493" s="41">
        <f t="array" ref="C493">IF(IFERROR(INDEX(CATALOG_POINTS,MATCH(A493,CATALOG_TASK,0)),"")="",IF(MAX(IF(IFERROR(FIND(CATALOG_BASE,A493),0)=1,CATALOG_POINTS,0))=0,DAILY_POST_POINTS,MAX(IF(IFERROR(FIND(CATALOG_BASE,A493),0)=1,CATALOG_POINTS,0))),IFERROR(INDEX(CATALOG_POINTS,MATCH(A493,CATALOG_TASK,0)),""))</f>
        <v>2</v>
      </c>
      <c r="D493" s="10" t="s">
        <v>432</v>
      </c>
      <c r="E493" s="41" t="str">
        <f t="shared" si="1"/>
        <v>PROX4</v>
      </c>
    </row>
    <row r="494" ht="15.75" customHeight="1">
      <c r="A494" s="10" t="s">
        <v>432</v>
      </c>
      <c r="B494" s="10" t="s">
        <v>132</v>
      </c>
      <c r="C494" s="41">
        <f t="array" ref="C494">IF(IFERROR(INDEX(CATALOG_POINTS,MATCH(A494,CATALOG_TASK,0)),"")="",IF(MAX(IF(IFERROR(FIND(CATALOG_BASE,A494),0)=1,CATALOG_POINTS,0))=0,DAILY_POST_POINTS,MAX(IF(IFERROR(FIND(CATALOG_BASE,A494),0)=1,CATALOG_POINTS,0))),IFERROR(INDEX(CATALOG_POINTS,MATCH(A494,CATALOG_TASK,0)),""))</f>
        <v>1</v>
      </c>
      <c r="D494" s="10" t="s">
        <v>432</v>
      </c>
      <c r="E494" s="41" t="str">
        <f t="shared" si="1"/>
        <v>PROX4</v>
      </c>
    </row>
    <row r="495" ht="15.75" customHeight="1">
      <c r="A495" s="10" t="s">
        <v>180</v>
      </c>
      <c r="B495" s="10" t="s">
        <v>156</v>
      </c>
      <c r="C495" s="41">
        <f t="array" ref="C495">IF(IFERROR(INDEX(CATALOG_POINTS,MATCH(A495,CATALOG_TASK,0)),"")="",IF(MAX(IF(IFERROR(FIND(CATALOG_BASE,A495),0)=1,CATALOG_POINTS,0))=0,DAILY_POST_POINTS,MAX(IF(IFERROR(FIND(CATALOG_BASE,A495),0)=1,CATALOG_POINTS,0))),IFERROR(INDEX(CATALOG_POINTS,MATCH(A495,CATALOG_TASK,0)),""))</f>
        <v>1</v>
      </c>
      <c r="D495" s="10" t="s">
        <v>433</v>
      </c>
      <c r="E495" s="41" t="str">
        <f t="shared" si="1"/>
        <v>PROX4</v>
      </c>
    </row>
    <row r="496" ht="15.75" customHeight="1">
      <c r="A496" s="10" t="s">
        <v>434</v>
      </c>
      <c r="B496" s="10" t="s">
        <v>119</v>
      </c>
      <c r="C496" s="41">
        <f t="array" ref="C496">IF(IFERROR(INDEX(CATALOG_POINTS,MATCH(A496,CATALOG_TASK,0)),"")="",IF(MAX(IF(IFERROR(FIND(CATALOG_BASE,A496),0)=1,CATALOG_POINTS,0))=0,DAILY_POST_POINTS,MAX(IF(IFERROR(FIND(CATALOG_BASE,A496),0)=1,CATALOG_POINTS,0))),IFERROR(INDEX(CATALOG_POINTS,MATCH(A496,CATALOG_TASK,0)),""))</f>
        <v>1</v>
      </c>
      <c r="D496" s="10" t="s">
        <v>434</v>
      </c>
      <c r="E496" s="41" t="str">
        <f t="shared" si="1"/>
        <v>PROX4</v>
      </c>
    </row>
    <row r="497" ht="15.75" customHeight="1">
      <c r="A497" s="10" t="s">
        <v>168</v>
      </c>
      <c r="B497" s="10" t="s">
        <v>126</v>
      </c>
      <c r="C497" s="41">
        <f t="array" ref="C497">IF(IFERROR(INDEX(CATALOG_POINTS,MATCH(A497,CATALOG_TASK,0)),"")="",IF(MAX(IF(IFERROR(FIND(CATALOG_BASE,A497),0)=1,CATALOG_POINTS,0))=0,DAILY_POST_POINTS,MAX(IF(IFERROR(FIND(CATALOG_BASE,A497),0)=1,CATALOG_POINTS,0))),IFERROR(INDEX(CATALOG_POINTS,MATCH(A497,CATALOG_TASK,0)),""))</f>
        <v>1</v>
      </c>
      <c r="D497" s="10" t="s">
        <v>434</v>
      </c>
      <c r="E497" s="41" t="str">
        <f t="shared" si="1"/>
        <v>PROX4</v>
      </c>
    </row>
    <row r="498" ht="15.75" customHeight="1">
      <c r="A498" s="10" t="s">
        <v>170</v>
      </c>
      <c r="B498" s="10" t="s">
        <v>126</v>
      </c>
      <c r="C498" s="41">
        <f t="array" ref="C498">IF(IFERROR(INDEX(CATALOG_POINTS,MATCH(A498,CATALOG_TASK,0)),"")="",IF(MAX(IF(IFERROR(FIND(CATALOG_BASE,A498),0)=1,CATALOG_POINTS,0))=0,DAILY_POST_POINTS,MAX(IF(IFERROR(FIND(CATALOG_BASE,A498),0)=1,CATALOG_POINTS,0))),IFERROR(INDEX(CATALOG_POINTS,MATCH(A498,CATALOG_TASK,0)),""))</f>
        <v>1</v>
      </c>
      <c r="D498" s="10" t="s">
        <v>434</v>
      </c>
      <c r="E498" s="41" t="str">
        <f t="shared" si="1"/>
        <v>PROX4</v>
      </c>
    </row>
    <row r="499" ht="15.75" customHeight="1">
      <c r="A499" s="10" t="s">
        <v>435</v>
      </c>
      <c r="B499" s="10" t="s">
        <v>123</v>
      </c>
      <c r="C499" s="41">
        <f t="array" ref="C499">IF(IFERROR(INDEX(CATALOG_POINTS,MATCH(A499,CATALOG_TASK,0)),"")="",IF(MAX(IF(IFERROR(FIND(CATALOG_BASE,A499),0)=1,CATALOG_POINTS,0))=0,DAILY_POST_POINTS,MAX(IF(IFERROR(FIND(CATALOG_BASE,A499),0)=1,CATALOG_POINTS,0))),IFERROR(INDEX(CATALOG_POINTS,MATCH(A499,CATALOG_TASK,0)),""))</f>
        <v>1</v>
      </c>
      <c r="D499" s="10" t="s">
        <v>436</v>
      </c>
      <c r="E499" s="41" t="str">
        <f t="shared" si="1"/>
        <v>PROX4</v>
      </c>
    </row>
    <row r="500" ht="15.75" customHeight="1">
      <c r="A500" s="10" t="s">
        <v>37</v>
      </c>
      <c r="B500" s="10" t="s">
        <v>123</v>
      </c>
      <c r="C500" s="41">
        <f t="array" ref="C500">IF(IFERROR(INDEX(CATALOG_POINTS,MATCH(A500,CATALOG_TASK,0)),"")="",IF(MAX(IF(IFERROR(FIND(CATALOG_BASE,A500),0)=1,CATALOG_POINTS,0))=0,DAILY_POST_POINTS,MAX(IF(IFERROR(FIND(CATALOG_BASE,A500),0)=1,CATALOG_POINTS,0))),IFERROR(INDEX(CATALOG_POINTS,MATCH(A500,CATALOG_TASK,0)),""))</f>
        <v>2</v>
      </c>
      <c r="D500" s="10" t="s">
        <v>436</v>
      </c>
      <c r="E500" s="41" t="str">
        <f t="shared" si="1"/>
        <v>PROX4</v>
      </c>
    </row>
    <row r="501" ht="15.75" customHeight="1">
      <c r="A501" s="10" t="s">
        <v>168</v>
      </c>
      <c r="B501" s="10" t="s">
        <v>120</v>
      </c>
      <c r="C501" s="41">
        <f t="array" ref="C501">IF(IFERROR(INDEX(CATALOG_POINTS,MATCH(A501,CATALOG_TASK,0)),"")="",IF(MAX(IF(IFERROR(FIND(CATALOG_BASE,A501),0)=1,CATALOG_POINTS,0))=0,DAILY_POST_POINTS,MAX(IF(IFERROR(FIND(CATALOG_BASE,A501),0)=1,CATALOG_POINTS,0))),IFERROR(INDEX(CATALOG_POINTS,MATCH(A501,CATALOG_TASK,0)),""))</f>
        <v>1</v>
      </c>
      <c r="D501" s="10" t="s">
        <v>436</v>
      </c>
      <c r="E501" s="41" t="str">
        <f t="shared" si="1"/>
        <v>PROX4</v>
      </c>
    </row>
    <row r="502" ht="15.75" customHeight="1">
      <c r="A502" s="10" t="s">
        <v>168</v>
      </c>
      <c r="B502" s="10" t="s">
        <v>124</v>
      </c>
      <c r="C502" s="41">
        <f t="array" ref="C502">IF(IFERROR(INDEX(CATALOG_POINTS,MATCH(A502,CATALOG_TASK,0)),"")="",IF(MAX(IF(IFERROR(FIND(CATALOG_BASE,A502),0)=1,CATALOG_POINTS,0))=0,DAILY_POST_POINTS,MAX(IF(IFERROR(FIND(CATALOG_BASE,A502),0)=1,CATALOG_POINTS,0))),IFERROR(INDEX(CATALOG_POINTS,MATCH(A502,CATALOG_TASK,0)),""))</f>
        <v>1</v>
      </c>
      <c r="D502" s="10" t="s">
        <v>436</v>
      </c>
      <c r="E502" s="41" t="str">
        <f t="shared" si="1"/>
        <v>PROX4</v>
      </c>
    </row>
    <row r="503" ht="15.75" customHeight="1">
      <c r="A503" s="10" t="s">
        <v>37</v>
      </c>
      <c r="B503" s="10" t="s">
        <v>123</v>
      </c>
      <c r="C503" s="41">
        <f t="array" ref="C503">IF(IFERROR(INDEX(CATALOG_POINTS,MATCH(A503,CATALOG_TASK,0)),"")="",IF(MAX(IF(IFERROR(FIND(CATALOG_BASE,A503),0)=1,CATALOG_POINTS,0))=0,DAILY_POST_POINTS,MAX(IF(IFERROR(FIND(CATALOG_BASE,A503),0)=1,CATALOG_POINTS,0))),IFERROR(INDEX(CATALOG_POINTS,MATCH(A503,CATALOG_TASK,0)),""))</f>
        <v>2</v>
      </c>
      <c r="D503" s="10" t="s">
        <v>436</v>
      </c>
      <c r="E503" s="41" t="str">
        <f t="shared" si="1"/>
        <v>PROX4</v>
      </c>
    </row>
    <row r="504" ht="15.75" customHeight="1">
      <c r="A504" s="10" t="s">
        <v>437</v>
      </c>
      <c r="B504" s="10" t="s">
        <v>124</v>
      </c>
      <c r="C504" s="41">
        <f t="array" ref="C504">IF(IFERROR(INDEX(CATALOG_POINTS,MATCH(A504,CATALOG_TASK,0)),"")="",IF(MAX(IF(IFERROR(FIND(CATALOG_BASE,A504),0)=1,CATALOG_POINTS,0))=0,DAILY_POST_POINTS,MAX(IF(IFERROR(FIND(CATALOG_BASE,A504),0)=1,CATALOG_POINTS,0))),IFERROR(INDEX(CATALOG_POINTS,MATCH(A504,CATALOG_TASK,0)),""))</f>
        <v>1</v>
      </c>
      <c r="D504" s="10" t="s">
        <v>436</v>
      </c>
      <c r="E504" s="41" t="str">
        <f t="shared" si="1"/>
        <v>PROX4</v>
      </c>
    </row>
    <row r="505" ht="15.75" customHeight="1">
      <c r="A505" s="10" t="s">
        <v>37</v>
      </c>
      <c r="B505" s="10" t="s">
        <v>125</v>
      </c>
      <c r="C505" s="41">
        <f t="array" ref="C505">IF(IFERROR(INDEX(CATALOG_POINTS,MATCH(A505,CATALOG_TASK,0)),"")="",IF(MAX(IF(IFERROR(FIND(CATALOG_BASE,A505),0)=1,CATALOG_POINTS,0))=0,DAILY_POST_POINTS,MAX(IF(IFERROR(FIND(CATALOG_BASE,A505),0)=1,CATALOG_POINTS,0))),IFERROR(INDEX(CATALOG_POINTS,MATCH(A505,CATALOG_TASK,0)),""))</f>
        <v>2</v>
      </c>
      <c r="D505" s="10" t="s">
        <v>436</v>
      </c>
      <c r="E505" s="41" t="str">
        <f t="shared" si="1"/>
        <v>PROX4</v>
      </c>
    </row>
    <row r="506" ht="15.75" customHeight="1">
      <c r="A506" s="10" t="s">
        <v>259</v>
      </c>
      <c r="B506" s="10" t="s">
        <v>119</v>
      </c>
      <c r="C506" s="41">
        <f t="array" ref="C506">IF(IFERROR(INDEX(CATALOG_POINTS,MATCH(A506,CATALOG_TASK,0)),"")="",IF(MAX(IF(IFERROR(FIND(CATALOG_BASE,A506),0)=1,CATALOG_POINTS,0))=0,DAILY_POST_POINTS,MAX(IF(IFERROR(FIND(CATALOG_BASE,A506),0)=1,CATALOG_POINTS,0))),IFERROR(INDEX(CATALOG_POINTS,MATCH(A506,CATALOG_TASK,0)),""))</f>
        <v>1</v>
      </c>
      <c r="D506" s="10" t="s">
        <v>436</v>
      </c>
      <c r="E506" s="41" t="str">
        <f t="shared" si="1"/>
        <v>PROX4</v>
      </c>
    </row>
    <row r="507" ht="15.75" customHeight="1">
      <c r="A507" s="10" t="s">
        <v>168</v>
      </c>
      <c r="B507" s="10" t="s">
        <v>120</v>
      </c>
      <c r="C507" s="41">
        <f t="array" ref="C507">IF(IFERROR(INDEX(CATALOG_POINTS,MATCH(A507,CATALOG_TASK,0)),"")="",IF(MAX(IF(IFERROR(FIND(CATALOG_BASE,A507),0)=1,CATALOG_POINTS,0))=0,DAILY_POST_POINTS,MAX(IF(IFERROR(FIND(CATALOG_BASE,A507),0)=1,CATALOG_POINTS,0))),IFERROR(INDEX(CATALOG_POINTS,MATCH(A507,CATALOG_TASK,0)),""))</f>
        <v>1</v>
      </c>
      <c r="D507" s="10" t="s">
        <v>436</v>
      </c>
      <c r="E507" s="41" t="str">
        <f t="shared" si="1"/>
        <v>PROX4</v>
      </c>
    </row>
    <row r="508" ht="15.75" customHeight="1">
      <c r="A508" s="10" t="s">
        <v>37</v>
      </c>
      <c r="B508" s="10" t="s">
        <v>124</v>
      </c>
      <c r="C508" s="41">
        <f t="array" ref="C508">IF(IFERROR(INDEX(CATALOG_POINTS,MATCH(A508,CATALOG_TASK,0)),"")="",IF(MAX(IF(IFERROR(FIND(CATALOG_BASE,A508),0)=1,CATALOG_POINTS,0))=0,DAILY_POST_POINTS,MAX(IF(IFERROR(FIND(CATALOG_BASE,A508),0)=1,CATALOG_POINTS,0))),IFERROR(INDEX(CATALOG_POINTS,MATCH(A508,CATALOG_TASK,0)),""))</f>
        <v>2</v>
      </c>
      <c r="D508" s="10" t="s">
        <v>436</v>
      </c>
      <c r="E508" s="41" t="str">
        <f t="shared" si="1"/>
        <v>PROX4</v>
      </c>
    </row>
    <row r="509" ht="15.75" customHeight="1">
      <c r="A509" s="10" t="s">
        <v>168</v>
      </c>
      <c r="B509" s="10" t="s">
        <v>123</v>
      </c>
      <c r="C509" s="41">
        <f t="array" ref="C509">IF(IFERROR(INDEX(CATALOG_POINTS,MATCH(A509,CATALOG_TASK,0)),"")="",IF(MAX(IF(IFERROR(FIND(CATALOG_BASE,A509),0)=1,CATALOG_POINTS,0))=0,DAILY_POST_POINTS,MAX(IF(IFERROR(FIND(CATALOG_BASE,A509),0)=1,CATALOG_POINTS,0))),IFERROR(INDEX(CATALOG_POINTS,MATCH(A509,CATALOG_TASK,0)),""))</f>
        <v>1</v>
      </c>
      <c r="D509" s="10" t="s">
        <v>436</v>
      </c>
      <c r="E509" s="41" t="str">
        <f t="shared" si="1"/>
        <v>PROX4</v>
      </c>
    </row>
    <row r="510" ht="15.75" customHeight="1">
      <c r="A510" s="10" t="s">
        <v>168</v>
      </c>
      <c r="B510" s="10" t="s">
        <v>120</v>
      </c>
      <c r="C510" s="41">
        <f t="array" ref="C510">IF(IFERROR(INDEX(CATALOG_POINTS,MATCH(A510,CATALOG_TASK,0)),"")="",IF(MAX(IF(IFERROR(FIND(CATALOG_BASE,A510),0)=1,CATALOG_POINTS,0))=0,DAILY_POST_POINTS,MAX(IF(IFERROR(FIND(CATALOG_BASE,A510),0)=1,CATALOG_POINTS,0))),IFERROR(INDEX(CATALOG_POINTS,MATCH(A510,CATALOG_TASK,0)),""))</f>
        <v>1</v>
      </c>
      <c r="D510" s="10" t="s">
        <v>436</v>
      </c>
      <c r="E510" s="41" t="str">
        <f t="shared" si="1"/>
        <v>PROX4</v>
      </c>
    </row>
    <row r="511" ht="15.75" customHeight="1">
      <c r="A511" s="10" t="s">
        <v>37</v>
      </c>
      <c r="B511" s="10" t="s">
        <v>120</v>
      </c>
      <c r="C511" s="41">
        <f t="array" ref="C511">IF(IFERROR(INDEX(CATALOG_POINTS,MATCH(A511,CATALOG_TASK,0)),"")="",IF(MAX(IF(IFERROR(FIND(CATALOG_BASE,A511),0)=1,CATALOG_POINTS,0))=0,DAILY_POST_POINTS,MAX(IF(IFERROR(FIND(CATALOG_BASE,A511),0)=1,CATALOG_POINTS,0))),IFERROR(INDEX(CATALOG_POINTS,MATCH(A511,CATALOG_TASK,0)),""))</f>
        <v>2</v>
      </c>
      <c r="D511" s="10" t="s">
        <v>436</v>
      </c>
      <c r="E511" s="41" t="str">
        <f t="shared" si="1"/>
        <v>PROX4</v>
      </c>
    </row>
    <row r="512" ht="15.75" customHeight="1">
      <c r="A512" s="10" t="s">
        <v>438</v>
      </c>
      <c r="B512" s="10" t="s">
        <v>117</v>
      </c>
      <c r="C512" s="41">
        <f t="array" ref="C512">IF(IFERROR(INDEX(CATALOG_POINTS,MATCH(A512,CATALOG_TASK,0)),"")="",IF(MAX(IF(IFERROR(FIND(CATALOG_BASE,A512),0)=1,CATALOG_POINTS,0))=0,DAILY_POST_POINTS,MAX(IF(IFERROR(FIND(CATALOG_BASE,A512),0)=1,CATALOG_POINTS,0))),IFERROR(INDEX(CATALOG_POINTS,MATCH(A512,CATALOG_TASK,0)),""))</f>
        <v>2</v>
      </c>
      <c r="D512" s="10" t="s">
        <v>436</v>
      </c>
      <c r="E512" s="41" t="str">
        <f t="shared" si="1"/>
        <v>PROX4</v>
      </c>
    </row>
    <row r="513" ht="15.75" customHeight="1">
      <c r="A513" s="10" t="s">
        <v>168</v>
      </c>
      <c r="B513" s="10" t="s">
        <v>125</v>
      </c>
      <c r="C513" s="41">
        <f t="array" ref="C513">IF(IFERROR(INDEX(CATALOG_POINTS,MATCH(A513,CATALOG_TASK,0)),"")="",IF(MAX(IF(IFERROR(FIND(CATALOG_BASE,A513),0)=1,CATALOG_POINTS,0))=0,DAILY_POST_POINTS,MAX(IF(IFERROR(FIND(CATALOG_BASE,A513),0)=1,CATALOG_POINTS,0))),IFERROR(INDEX(CATALOG_POINTS,MATCH(A513,CATALOG_TASK,0)),""))</f>
        <v>1</v>
      </c>
      <c r="D513" s="10" t="s">
        <v>436</v>
      </c>
      <c r="E513" s="41" t="str">
        <f t="shared" si="1"/>
        <v>PROX4</v>
      </c>
    </row>
    <row r="514" ht="15.75" customHeight="1">
      <c r="A514" s="10" t="s">
        <v>37</v>
      </c>
      <c r="B514" s="10" t="s">
        <v>120</v>
      </c>
      <c r="C514" s="41">
        <f t="array" ref="C514">IF(IFERROR(INDEX(CATALOG_POINTS,MATCH(A514,CATALOG_TASK,0)),"")="",IF(MAX(IF(IFERROR(FIND(CATALOG_BASE,A514),0)=1,CATALOG_POINTS,0))=0,DAILY_POST_POINTS,MAX(IF(IFERROR(FIND(CATALOG_BASE,A514),0)=1,CATALOG_POINTS,0))),IFERROR(INDEX(CATALOG_POINTS,MATCH(A514,CATALOG_TASK,0)),""))</f>
        <v>2</v>
      </c>
      <c r="D514" s="10" t="s">
        <v>436</v>
      </c>
      <c r="E514" s="41" t="str">
        <f t="shared" si="1"/>
        <v>PROX4</v>
      </c>
    </row>
    <row r="515" ht="15.75" customHeight="1">
      <c r="A515" s="10" t="s">
        <v>34</v>
      </c>
      <c r="B515" s="10" t="s">
        <v>125</v>
      </c>
      <c r="C515" s="41">
        <f t="array" ref="C515">IF(IFERROR(INDEX(CATALOG_POINTS,MATCH(A515,CATALOG_TASK,0)),"")="",IF(MAX(IF(IFERROR(FIND(CATALOG_BASE,A515),0)=1,CATALOG_POINTS,0))=0,DAILY_POST_POINTS,MAX(IF(IFERROR(FIND(CATALOG_BASE,A515),0)=1,CATALOG_POINTS,0))),IFERROR(INDEX(CATALOG_POINTS,MATCH(A515,CATALOG_TASK,0)),""))</f>
        <v>2</v>
      </c>
      <c r="D515" s="10" t="s">
        <v>436</v>
      </c>
      <c r="E515" s="41" t="str">
        <f t="shared" si="1"/>
        <v>PROX4</v>
      </c>
    </row>
    <row r="516" ht="15.75" customHeight="1">
      <c r="A516" s="10" t="s">
        <v>178</v>
      </c>
      <c r="B516" s="10" t="s">
        <v>125</v>
      </c>
      <c r="C516" s="41">
        <f t="array" ref="C516">IF(IFERROR(INDEX(CATALOG_POINTS,MATCH(A516,CATALOG_TASK,0)),"")="",IF(MAX(IF(IFERROR(FIND(CATALOG_BASE,A516),0)=1,CATALOG_POINTS,0))=0,DAILY_POST_POINTS,MAX(IF(IFERROR(FIND(CATALOG_BASE,A516),0)=1,CATALOG_POINTS,0))),IFERROR(INDEX(CATALOG_POINTS,MATCH(A516,CATALOG_TASK,0)),""))</f>
        <v>1</v>
      </c>
      <c r="D516" s="10" t="s">
        <v>436</v>
      </c>
      <c r="E516" s="41" t="str">
        <f t="shared" si="1"/>
        <v>PROX4</v>
      </c>
    </row>
    <row r="517" ht="15.75" customHeight="1">
      <c r="A517" s="10" t="s">
        <v>37</v>
      </c>
      <c r="B517" s="10" t="s">
        <v>120</v>
      </c>
      <c r="C517" s="41">
        <f t="array" ref="C517">IF(IFERROR(INDEX(CATALOG_POINTS,MATCH(A517,CATALOG_TASK,0)),"")="",IF(MAX(IF(IFERROR(FIND(CATALOG_BASE,A517),0)=1,CATALOG_POINTS,0))=0,DAILY_POST_POINTS,MAX(IF(IFERROR(FIND(CATALOG_BASE,A517),0)=1,CATALOG_POINTS,0))),IFERROR(INDEX(CATALOG_POINTS,MATCH(A517,CATALOG_TASK,0)),""))</f>
        <v>2</v>
      </c>
      <c r="D517" s="10" t="s">
        <v>439</v>
      </c>
      <c r="E517" s="41" t="str">
        <f t="shared" si="1"/>
        <v>E0</v>
      </c>
    </row>
    <row r="518" ht="15.75" customHeight="1">
      <c r="A518" s="10" t="s">
        <v>439</v>
      </c>
      <c r="B518" s="10" t="s">
        <v>120</v>
      </c>
      <c r="C518" s="41">
        <f t="array" ref="C518">IF(IFERROR(INDEX(CATALOG_POINTS,MATCH(A518,CATALOG_TASK,0)),"")="",IF(MAX(IF(IFERROR(FIND(CATALOG_BASE,A518),0)=1,CATALOG_POINTS,0))=0,DAILY_POST_POINTS,MAX(IF(IFERROR(FIND(CATALOG_BASE,A518),0)=1,CATALOG_POINTS,0))),IFERROR(INDEX(CATALOG_POINTS,MATCH(A518,CATALOG_TASK,0)),""))</f>
        <v>1</v>
      </c>
      <c r="D518" s="10" t="s">
        <v>439</v>
      </c>
      <c r="E518" s="41" t="str">
        <f t="shared" si="1"/>
        <v>E0</v>
      </c>
    </row>
    <row r="519" ht="15.75" customHeight="1">
      <c r="A519" s="10" t="s">
        <v>37</v>
      </c>
      <c r="B519" s="10" t="s">
        <v>120</v>
      </c>
      <c r="C519" s="41">
        <f t="array" ref="C519">IF(IFERROR(INDEX(CATALOG_POINTS,MATCH(A519,CATALOG_TASK,0)),"")="",IF(MAX(IF(IFERROR(FIND(CATALOG_BASE,A519),0)=1,CATALOG_POINTS,0))=0,DAILY_POST_POINTS,MAX(IF(IFERROR(FIND(CATALOG_BASE,A519),0)=1,CATALOG_POINTS,0))),IFERROR(INDEX(CATALOG_POINTS,MATCH(A519,CATALOG_TASK,0)),""))</f>
        <v>2</v>
      </c>
      <c r="D519" s="10" t="s">
        <v>440</v>
      </c>
      <c r="E519" s="41" t="str">
        <f t="shared" si="1"/>
        <v>PROX3</v>
      </c>
    </row>
    <row r="520" ht="15.75" customHeight="1">
      <c r="A520" s="10" t="s">
        <v>24</v>
      </c>
      <c r="B520" s="10" t="s">
        <v>119</v>
      </c>
      <c r="C520" s="41">
        <f t="array" ref="C520">IF(IFERROR(INDEX(CATALOG_POINTS,MATCH(A520,CATALOG_TASK,0)),"")="",IF(MAX(IF(IFERROR(FIND(CATALOG_BASE,A520),0)=1,CATALOG_POINTS,0))=0,DAILY_POST_POINTS,MAX(IF(IFERROR(FIND(CATALOG_BASE,A520),0)=1,CATALOG_POINTS,0))),IFERROR(INDEX(CATALOG_POINTS,MATCH(A520,CATALOG_TASK,0)),""))</f>
        <v>2</v>
      </c>
      <c r="D520" s="10" t="s">
        <v>440</v>
      </c>
      <c r="E520" s="41" t="str">
        <f t="shared" si="1"/>
        <v>PROX3</v>
      </c>
    </row>
    <row r="521" ht="15.75" customHeight="1">
      <c r="A521" s="10" t="s">
        <v>37</v>
      </c>
      <c r="B521" s="10" t="s">
        <v>123</v>
      </c>
      <c r="C521" s="41">
        <f t="array" ref="C521">IF(IFERROR(INDEX(CATALOG_POINTS,MATCH(A521,CATALOG_TASK,0)),"")="",IF(MAX(IF(IFERROR(FIND(CATALOG_BASE,A521),0)=1,CATALOG_POINTS,0))=0,DAILY_POST_POINTS,MAX(IF(IFERROR(FIND(CATALOG_BASE,A521),0)=1,CATALOG_POINTS,0))),IFERROR(INDEX(CATALOG_POINTS,MATCH(A521,CATALOG_TASK,0)),""))</f>
        <v>2</v>
      </c>
      <c r="D521" s="10" t="s">
        <v>440</v>
      </c>
      <c r="E521" s="41" t="str">
        <f t="shared" si="1"/>
        <v>PROX3</v>
      </c>
    </row>
    <row r="522" ht="15.75" customHeight="1">
      <c r="A522" s="10" t="s">
        <v>37</v>
      </c>
      <c r="B522" s="10" t="s">
        <v>126</v>
      </c>
      <c r="C522" s="41">
        <f t="array" ref="C522">IF(IFERROR(INDEX(CATALOG_POINTS,MATCH(A522,CATALOG_TASK,0)),"")="",IF(MAX(IF(IFERROR(FIND(CATALOG_BASE,A522),0)=1,CATALOG_POINTS,0))=0,DAILY_POST_POINTS,MAX(IF(IFERROR(FIND(CATALOG_BASE,A522),0)=1,CATALOG_POINTS,0))),IFERROR(INDEX(CATALOG_POINTS,MATCH(A522,CATALOG_TASK,0)),""))</f>
        <v>2</v>
      </c>
      <c r="D522" s="10" t="s">
        <v>440</v>
      </c>
      <c r="E522" s="41" t="str">
        <f t="shared" si="1"/>
        <v>PROX3</v>
      </c>
    </row>
    <row r="523" ht="15.75" customHeight="1">
      <c r="A523" s="10" t="s">
        <v>178</v>
      </c>
      <c r="B523" s="10" t="s">
        <v>119</v>
      </c>
      <c r="C523" s="41">
        <f t="array" ref="C523">IF(IFERROR(INDEX(CATALOG_POINTS,MATCH(A523,CATALOG_TASK,0)),"")="",IF(MAX(IF(IFERROR(FIND(CATALOG_BASE,A523),0)=1,CATALOG_POINTS,0))=0,DAILY_POST_POINTS,MAX(IF(IFERROR(FIND(CATALOG_BASE,A523),0)=1,CATALOG_POINTS,0))),IFERROR(INDEX(CATALOG_POINTS,MATCH(A523,CATALOG_TASK,0)),""))</f>
        <v>1</v>
      </c>
      <c r="D523" s="10" t="s">
        <v>440</v>
      </c>
      <c r="E523" s="41" t="str">
        <f t="shared" si="1"/>
        <v>PROX3</v>
      </c>
    </row>
    <row r="524" ht="15.75" customHeight="1">
      <c r="A524" s="10" t="s">
        <v>24</v>
      </c>
      <c r="B524" s="10" t="s">
        <v>119</v>
      </c>
      <c r="C524" s="41">
        <f t="array" ref="C524">IF(IFERROR(INDEX(CATALOG_POINTS,MATCH(A524,CATALOG_TASK,0)),"")="",IF(MAX(IF(IFERROR(FIND(CATALOG_BASE,A524),0)=1,CATALOG_POINTS,0))=0,DAILY_POST_POINTS,MAX(IF(IFERROR(FIND(CATALOG_BASE,A524),0)=1,CATALOG_POINTS,0))),IFERROR(INDEX(CATALOG_POINTS,MATCH(A524,CATALOG_TASK,0)),""))</f>
        <v>2</v>
      </c>
      <c r="D524" s="10" t="s">
        <v>440</v>
      </c>
      <c r="E524" s="41" t="str">
        <f t="shared" si="1"/>
        <v>PROX3</v>
      </c>
    </row>
    <row r="525" ht="15.75" customHeight="1">
      <c r="A525" s="10" t="s">
        <v>440</v>
      </c>
      <c r="B525" s="10" t="s">
        <v>138</v>
      </c>
      <c r="C525" s="41">
        <f t="array" ref="C525">IF(IFERROR(INDEX(CATALOG_POINTS,MATCH(A525,CATALOG_TASK,0)),"")="",IF(MAX(IF(IFERROR(FIND(CATALOG_BASE,A525),0)=1,CATALOG_POINTS,0))=0,DAILY_POST_POINTS,MAX(IF(IFERROR(FIND(CATALOG_BASE,A525),0)=1,CATALOG_POINTS,0))),IFERROR(INDEX(CATALOG_POINTS,MATCH(A525,CATALOG_TASK,0)),""))</f>
        <v>1</v>
      </c>
      <c r="D525" s="10" t="s">
        <v>440</v>
      </c>
      <c r="E525" s="41" t="str">
        <f t="shared" si="1"/>
        <v>PROX3</v>
      </c>
    </row>
    <row r="526" ht="15.75" customHeight="1">
      <c r="A526" s="10" t="s">
        <v>174</v>
      </c>
      <c r="B526" s="10" t="s">
        <v>117</v>
      </c>
      <c r="C526" s="41">
        <f t="array" ref="C526">IF(IFERROR(INDEX(CATALOG_POINTS,MATCH(A526,CATALOG_TASK,0)),"")="",IF(MAX(IF(IFERROR(FIND(CATALOG_BASE,A526),0)=1,CATALOG_POINTS,0))=0,DAILY_POST_POINTS,MAX(IF(IFERROR(FIND(CATALOG_BASE,A526),0)=1,CATALOG_POINTS,0))),IFERROR(INDEX(CATALOG_POINTS,MATCH(A526,CATALOG_TASK,0)),""))</f>
        <v>1</v>
      </c>
      <c r="D526" s="10" t="s">
        <v>440</v>
      </c>
      <c r="E526" s="41" t="str">
        <f t="shared" si="1"/>
        <v>PROX3</v>
      </c>
    </row>
    <row r="527" ht="15.75" customHeight="1">
      <c r="A527" s="10" t="s">
        <v>441</v>
      </c>
      <c r="B527" s="10" t="s">
        <v>117</v>
      </c>
      <c r="C527" s="41">
        <f t="array" ref="C527">IF(IFERROR(INDEX(CATALOG_POINTS,MATCH(A527,CATALOG_TASK,0)),"")="",IF(MAX(IF(IFERROR(FIND(CATALOG_BASE,A527),0)=1,CATALOG_POINTS,0))=0,DAILY_POST_POINTS,MAX(IF(IFERROR(FIND(CATALOG_BASE,A527),0)=1,CATALOG_POINTS,0))),IFERROR(INDEX(CATALOG_POINTS,MATCH(A527,CATALOG_TASK,0)),""))</f>
        <v>1</v>
      </c>
      <c r="D527" s="10" t="s">
        <v>441</v>
      </c>
      <c r="E527" s="41" t="str">
        <f t="shared" si="1"/>
        <v>PROX3</v>
      </c>
    </row>
    <row r="528" ht="15.75" customHeight="1">
      <c r="A528" s="10" t="s">
        <v>442</v>
      </c>
      <c r="B528" s="10" t="s">
        <v>132</v>
      </c>
      <c r="C528" s="41">
        <f t="array" ref="C528">IF(IFERROR(INDEX(CATALOG_POINTS,MATCH(A528,CATALOG_TASK,0)),"")="",IF(MAX(IF(IFERROR(FIND(CATALOG_BASE,A528),0)=1,CATALOG_POINTS,0))=0,DAILY_POST_POINTS,MAX(IF(IFERROR(FIND(CATALOG_BASE,A528),0)=1,CATALOG_POINTS,0))),IFERROR(INDEX(CATALOG_POINTS,MATCH(A528,CATALOG_TASK,0)),""))</f>
        <v>1</v>
      </c>
      <c r="D528" s="10" t="s">
        <v>442</v>
      </c>
      <c r="E528" s="41" t="str">
        <f t="shared" si="1"/>
        <v>PROX3</v>
      </c>
    </row>
    <row r="529" ht="15.75" customHeight="1">
      <c r="A529" s="10" t="s">
        <v>443</v>
      </c>
      <c r="B529" s="10" t="s">
        <v>119</v>
      </c>
      <c r="C529" s="41">
        <f t="array" ref="C529">IF(IFERROR(INDEX(CATALOG_POINTS,MATCH(A529,CATALOG_TASK,0)),"")="",IF(MAX(IF(IFERROR(FIND(CATALOG_BASE,A529),0)=1,CATALOG_POINTS,0))=0,DAILY_POST_POINTS,MAX(IF(IFERROR(FIND(CATALOG_BASE,A529),0)=1,CATALOG_POINTS,0))),IFERROR(INDEX(CATALOG_POINTS,MATCH(A529,CATALOG_TASK,0)),""))</f>
        <v>1</v>
      </c>
      <c r="D529" s="10" t="s">
        <v>443</v>
      </c>
      <c r="E529" s="41" t="str">
        <f t="shared" si="1"/>
        <v>PROX3</v>
      </c>
    </row>
    <row r="530" ht="15.75" customHeight="1">
      <c r="A530" s="10" t="s">
        <v>174</v>
      </c>
      <c r="B530" s="10" t="s">
        <v>126</v>
      </c>
      <c r="C530" s="41">
        <f t="array" ref="C530">IF(IFERROR(INDEX(CATALOG_POINTS,MATCH(A530,CATALOG_TASK,0)),"")="",IF(MAX(IF(IFERROR(FIND(CATALOG_BASE,A530),0)=1,CATALOG_POINTS,0))=0,DAILY_POST_POINTS,MAX(IF(IFERROR(FIND(CATALOG_BASE,A530),0)=1,CATALOG_POINTS,0))),IFERROR(INDEX(CATALOG_POINTS,MATCH(A530,CATALOG_TASK,0)),""))</f>
        <v>1</v>
      </c>
      <c r="D530" s="10" t="s">
        <v>443</v>
      </c>
      <c r="E530" s="41" t="str">
        <f t="shared" si="1"/>
        <v>PROX3</v>
      </c>
    </row>
    <row r="531" ht="15.75" customHeight="1">
      <c r="A531" s="10" t="s">
        <v>37</v>
      </c>
      <c r="B531" s="10" t="s">
        <v>121</v>
      </c>
      <c r="C531" s="41">
        <f t="array" ref="C531">IF(IFERROR(INDEX(CATALOG_POINTS,MATCH(A531,CATALOG_TASK,0)),"")="",IF(MAX(IF(IFERROR(FIND(CATALOG_BASE,A531),0)=1,CATALOG_POINTS,0))=0,DAILY_POST_POINTS,MAX(IF(IFERROR(FIND(CATALOG_BASE,A531),0)=1,CATALOG_POINTS,0))),IFERROR(INDEX(CATALOG_POINTS,MATCH(A531,CATALOG_TASK,0)),""))</f>
        <v>2</v>
      </c>
      <c r="D531" s="10" t="s">
        <v>444</v>
      </c>
      <c r="E531" s="41" t="str">
        <f t="shared" si="1"/>
        <v>PROX3</v>
      </c>
    </row>
    <row r="532" ht="15.75" customHeight="1">
      <c r="A532" s="10" t="s">
        <v>37</v>
      </c>
      <c r="B532" s="10" t="s">
        <v>126</v>
      </c>
      <c r="C532" s="41">
        <f t="array" ref="C532">IF(IFERROR(INDEX(CATALOG_POINTS,MATCH(A532,CATALOG_TASK,0)),"")="",IF(MAX(IF(IFERROR(FIND(CATALOG_BASE,A532),0)=1,CATALOG_POINTS,0))=0,DAILY_POST_POINTS,MAX(IF(IFERROR(FIND(CATALOG_BASE,A532),0)=1,CATALOG_POINTS,0))),IFERROR(INDEX(CATALOG_POINTS,MATCH(A532,CATALOG_TASK,0)),""))</f>
        <v>2</v>
      </c>
      <c r="D532" s="10" t="s">
        <v>444</v>
      </c>
      <c r="E532" s="41" t="str">
        <f t="shared" si="1"/>
        <v>PROX3</v>
      </c>
    </row>
    <row r="533" ht="15.75" customHeight="1">
      <c r="A533" s="10" t="s">
        <v>444</v>
      </c>
      <c r="B533" s="10" t="s">
        <v>126</v>
      </c>
      <c r="C533" s="41">
        <f t="array" ref="C533">IF(IFERROR(INDEX(CATALOG_POINTS,MATCH(A533,CATALOG_TASK,0)),"")="",IF(MAX(IF(IFERROR(FIND(CATALOG_BASE,A533),0)=1,CATALOG_POINTS,0))=0,DAILY_POST_POINTS,MAX(IF(IFERROR(FIND(CATALOG_BASE,A533),0)=1,CATALOG_POINTS,0))),IFERROR(INDEX(CATALOG_POINTS,MATCH(A533,CATALOG_TASK,0)),""))</f>
        <v>1</v>
      </c>
      <c r="D533" s="10" t="s">
        <v>444</v>
      </c>
      <c r="E533" s="41" t="str">
        <f t="shared" si="1"/>
        <v>PROX3</v>
      </c>
    </row>
    <row r="534" ht="15.75" customHeight="1">
      <c r="A534" s="10" t="s">
        <v>37</v>
      </c>
      <c r="B534" s="10" t="s">
        <v>126</v>
      </c>
      <c r="C534" s="41">
        <f t="array" ref="C534">IF(IFERROR(INDEX(CATALOG_POINTS,MATCH(A534,CATALOG_TASK,0)),"")="",IF(MAX(IF(IFERROR(FIND(CATALOG_BASE,A534),0)=1,CATALOG_POINTS,0))=0,DAILY_POST_POINTS,MAX(IF(IFERROR(FIND(CATALOG_BASE,A534),0)=1,CATALOG_POINTS,0))),IFERROR(INDEX(CATALOG_POINTS,MATCH(A534,CATALOG_TASK,0)),""))</f>
        <v>2</v>
      </c>
      <c r="D534" s="10" t="s">
        <v>444</v>
      </c>
      <c r="E534" s="41" t="str">
        <f t="shared" si="1"/>
        <v>PROX3</v>
      </c>
    </row>
    <row r="535" ht="15.75" customHeight="1">
      <c r="A535" s="10" t="s">
        <v>37</v>
      </c>
      <c r="B535" s="10" t="s">
        <v>119</v>
      </c>
      <c r="C535" s="41">
        <f t="array" ref="C535">IF(IFERROR(INDEX(CATALOG_POINTS,MATCH(A535,CATALOG_TASK,0)),"")="",IF(MAX(IF(IFERROR(FIND(CATALOG_BASE,A535),0)=1,CATALOG_POINTS,0))=0,DAILY_POST_POINTS,MAX(IF(IFERROR(FIND(CATALOG_BASE,A535),0)=1,CATALOG_POINTS,0))),IFERROR(INDEX(CATALOG_POINTS,MATCH(A535,CATALOG_TASK,0)),""))</f>
        <v>2</v>
      </c>
      <c r="D535" s="10" t="s">
        <v>444</v>
      </c>
      <c r="E535" s="41" t="str">
        <f t="shared" si="1"/>
        <v>PROX3</v>
      </c>
    </row>
    <row r="536" ht="15.75" customHeight="1">
      <c r="A536" s="10" t="s">
        <v>168</v>
      </c>
      <c r="B536" s="10" t="s">
        <v>121</v>
      </c>
      <c r="C536" s="41">
        <f t="array" ref="C536">IF(IFERROR(INDEX(CATALOG_POINTS,MATCH(A536,CATALOG_TASK,0)),"")="",IF(MAX(IF(IFERROR(FIND(CATALOG_BASE,A536),0)=1,CATALOG_POINTS,0))=0,DAILY_POST_POINTS,MAX(IF(IFERROR(FIND(CATALOG_BASE,A536),0)=1,CATALOG_POINTS,0))),IFERROR(INDEX(CATALOG_POINTS,MATCH(A536,CATALOG_TASK,0)),""))</f>
        <v>1</v>
      </c>
      <c r="D536" s="10" t="s">
        <v>444</v>
      </c>
      <c r="E536" s="41" t="str">
        <f t="shared" si="1"/>
        <v>PROX3</v>
      </c>
    </row>
    <row r="537" ht="15.75" customHeight="1">
      <c r="A537" s="10" t="s">
        <v>445</v>
      </c>
      <c r="B537" s="10" t="s">
        <v>131</v>
      </c>
      <c r="C537" s="41">
        <f t="array" ref="C537">IF(IFERROR(INDEX(CATALOG_POINTS,MATCH(A537,CATALOG_TASK,0)),"")="",IF(MAX(IF(IFERROR(FIND(CATALOG_BASE,A537),0)=1,CATALOG_POINTS,0))=0,DAILY_POST_POINTS,MAX(IF(IFERROR(FIND(CATALOG_BASE,A537),0)=1,CATALOG_POINTS,0))),IFERROR(INDEX(CATALOG_POINTS,MATCH(A537,CATALOG_TASK,0)),""))</f>
        <v>1</v>
      </c>
      <c r="D537" s="10" t="s">
        <v>445</v>
      </c>
      <c r="E537" s="41" t="str">
        <f t="shared" si="1"/>
        <v>PROX3</v>
      </c>
    </row>
    <row r="538" ht="15.75" customHeight="1">
      <c r="A538" s="10" t="s">
        <v>446</v>
      </c>
      <c r="B538" s="10" t="s">
        <v>128</v>
      </c>
      <c r="C538" s="41">
        <f t="array" ref="C538">IF(IFERROR(INDEX(CATALOG_POINTS,MATCH(A538,CATALOG_TASK,0)),"")="",IF(MAX(IF(IFERROR(FIND(CATALOG_BASE,A538),0)=1,CATALOG_POINTS,0))=0,DAILY_POST_POINTS,MAX(IF(IFERROR(FIND(CATALOG_BASE,A538),0)=1,CATALOG_POINTS,0))),IFERROR(INDEX(CATALOG_POINTS,MATCH(A538,CATALOG_TASK,0)),""))</f>
        <v>1</v>
      </c>
      <c r="D538" s="10" t="s">
        <v>446</v>
      </c>
      <c r="E538" s="41" t="str">
        <f t="shared" si="1"/>
        <v>PROX4</v>
      </c>
    </row>
    <row r="539" ht="15.75" customHeight="1">
      <c r="A539" s="10" t="s">
        <v>447</v>
      </c>
      <c r="B539" s="10" t="s">
        <v>128</v>
      </c>
      <c r="C539" s="41">
        <f t="array" ref="C539">IF(IFERROR(INDEX(CATALOG_POINTS,MATCH(A539,CATALOG_TASK,0)),"")="",IF(MAX(IF(IFERROR(FIND(CATALOG_BASE,A539),0)=1,CATALOG_POINTS,0))=0,DAILY_POST_POINTS,MAX(IF(IFERROR(FIND(CATALOG_BASE,A539),0)=1,CATALOG_POINTS,0))),IFERROR(INDEX(CATALOG_POINTS,MATCH(A539,CATALOG_TASK,0)),""))</f>
        <v>1</v>
      </c>
      <c r="D539" s="10" t="s">
        <v>447</v>
      </c>
      <c r="E539" s="41" t="str">
        <f t="shared" si="1"/>
        <v>PROX3</v>
      </c>
    </row>
    <row r="540" ht="15.75" customHeight="1">
      <c r="A540" s="10" t="s">
        <v>448</v>
      </c>
      <c r="B540" s="10" t="s">
        <v>128</v>
      </c>
      <c r="C540" s="41">
        <f t="array" ref="C540">IF(IFERROR(INDEX(CATALOG_POINTS,MATCH(A540,CATALOG_TASK,0)),"")="",IF(MAX(IF(IFERROR(FIND(CATALOG_BASE,A540),0)=1,CATALOG_POINTS,0))=0,DAILY_POST_POINTS,MAX(IF(IFERROR(FIND(CATALOG_BASE,A540),0)=1,CATALOG_POINTS,0))),IFERROR(INDEX(CATALOG_POINTS,MATCH(A540,CATALOG_TASK,0)),""))</f>
        <v>1</v>
      </c>
      <c r="D540" s="10" t="s">
        <v>448</v>
      </c>
      <c r="E540" s="41" t="str">
        <f t="shared" si="1"/>
        <v>PROX3</v>
      </c>
    </row>
    <row r="541" ht="15.75" customHeight="1">
      <c r="A541" s="10" t="s">
        <v>37</v>
      </c>
      <c r="B541" s="10" t="s">
        <v>124</v>
      </c>
      <c r="C541" s="41">
        <f t="array" ref="C541">IF(IFERROR(INDEX(CATALOG_POINTS,MATCH(A541,CATALOG_TASK,0)),"")="",IF(MAX(IF(IFERROR(FIND(CATALOG_BASE,A541),0)=1,CATALOG_POINTS,0))=0,DAILY_POST_POINTS,MAX(IF(IFERROR(FIND(CATALOG_BASE,A541),0)=1,CATALOG_POINTS,0))),IFERROR(INDEX(CATALOG_POINTS,MATCH(A541,CATALOG_TASK,0)),""))</f>
        <v>2</v>
      </c>
      <c r="D541" s="10" t="s">
        <v>448</v>
      </c>
      <c r="E541" s="41" t="str">
        <f t="shared" si="1"/>
        <v>PROX3</v>
      </c>
    </row>
    <row r="542" ht="15.75" customHeight="1">
      <c r="A542" s="10" t="s">
        <v>449</v>
      </c>
      <c r="B542" s="10" t="s">
        <v>132</v>
      </c>
      <c r="C542" s="41">
        <f t="array" ref="C542">IF(IFERROR(INDEX(CATALOG_POINTS,MATCH(A542,CATALOG_TASK,0)),"")="",IF(MAX(IF(IFERROR(FIND(CATALOG_BASE,A542),0)=1,CATALOG_POINTS,0))=0,DAILY_POST_POINTS,MAX(IF(IFERROR(FIND(CATALOG_BASE,A542),0)=1,CATALOG_POINTS,0))),IFERROR(INDEX(CATALOG_POINTS,MATCH(A542,CATALOG_TASK,0)),""))</f>
        <v>1</v>
      </c>
      <c r="D542" s="10" t="s">
        <v>449</v>
      </c>
      <c r="E542" s="41" t="str">
        <f t="shared" si="1"/>
        <v>E0</v>
      </c>
    </row>
    <row r="543" ht="15.75" customHeight="1">
      <c r="A543" s="10" t="s">
        <v>450</v>
      </c>
      <c r="B543" s="10" t="s">
        <v>124</v>
      </c>
      <c r="C543" s="41">
        <f t="array" ref="C543">IF(IFERROR(INDEX(CATALOG_POINTS,MATCH(A543,CATALOG_TASK,0)),"")="",IF(MAX(IF(IFERROR(FIND(CATALOG_BASE,A543),0)=1,CATALOG_POINTS,0))=0,DAILY_POST_POINTS,MAX(IF(IFERROR(FIND(CATALOG_BASE,A543),0)=1,CATALOG_POINTS,0))),IFERROR(INDEX(CATALOG_POINTS,MATCH(A543,CATALOG_TASK,0)),""))</f>
        <v>1</v>
      </c>
      <c r="D543" s="10" t="s">
        <v>450</v>
      </c>
      <c r="E543" s="41" t="str">
        <f t="shared" si="1"/>
        <v>PROX3</v>
      </c>
    </row>
    <row r="544" ht="15.75" customHeight="1">
      <c r="A544" s="10" t="s">
        <v>451</v>
      </c>
      <c r="B544" s="10" t="s">
        <v>136</v>
      </c>
      <c r="C544" s="41">
        <f t="array" ref="C544">IF(IFERROR(INDEX(CATALOG_POINTS,MATCH(A544,CATALOG_TASK,0)),"")="",IF(MAX(IF(IFERROR(FIND(CATALOG_BASE,A544),0)=1,CATALOG_POINTS,0))=0,DAILY_POST_POINTS,MAX(IF(IFERROR(FIND(CATALOG_BASE,A544),0)=1,CATALOG_POINTS,0))),IFERROR(INDEX(CATALOG_POINTS,MATCH(A544,CATALOG_TASK,0)),""))</f>
        <v>1</v>
      </c>
      <c r="D544" s="10" t="s">
        <v>452</v>
      </c>
      <c r="E544" s="41" t="str">
        <f t="shared" si="1"/>
        <v/>
      </c>
    </row>
    <row r="545" ht="15.75" customHeight="1">
      <c r="A545" s="10" t="s">
        <v>453</v>
      </c>
      <c r="B545" s="10" t="s">
        <v>129</v>
      </c>
      <c r="C545" s="41">
        <f t="array" ref="C545">IF(IFERROR(INDEX(CATALOG_POINTS,MATCH(A545,CATALOG_TASK,0)),"")="",IF(MAX(IF(IFERROR(FIND(CATALOG_BASE,A545),0)=1,CATALOG_POINTS,0))=0,DAILY_POST_POINTS,MAX(IF(IFERROR(FIND(CATALOG_BASE,A545),0)=1,CATALOG_POINTS,0))),IFERROR(INDEX(CATALOG_POINTS,MATCH(A545,CATALOG_TASK,0)),""))</f>
        <v>1</v>
      </c>
      <c r="D545" s="10" t="s">
        <v>453</v>
      </c>
      <c r="E545" s="41" t="str">
        <f t="shared" si="1"/>
        <v>PROX3</v>
      </c>
    </row>
    <row r="546" ht="15.75" customHeight="1">
      <c r="A546" s="10" t="s">
        <v>454</v>
      </c>
      <c r="B546" s="10" t="s">
        <v>126</v>
      </c>
      <c r="C546" s="41">
        <f t="array" ref="C546">IF(IFERROR(INDEX(CATALOG_POINTS,MATCH(A546,CATALOG_TASK,0)),"")="",IF(MAX(IF(IFERROR(FIND(CATALOG_BASE,A546),0)=1,CATALOG_POINTS,0))=0,DAILY_POST_POINTS,MAX(IF(IFERROR(FIND(CATALOG_BASE,A546),0)=1,CATALOG_POINTS,0))),IFERROR(INDEX(CATALOG_POINTS,MATCH(A546,CATALOG_TASK,0)),""))</f>
        <v>1</v>
      </c>
      <c r="D546" s="10" t="s">
        <v>454</v>
      </c>
      <c r="E546" s="41" t="str">
        <f t="shared" si="1"/>
        <v/>
      </c>
    </row>
    <row r="547" ht="15.75" customHeight="1">
      <c r="A547" s="10" t="s">
        <v>455</v>
      </c>
      <c r="B547" s="10" t="s">
        <v>125</v>
      </c>
      <c r="C547" s="41">
        <f t="array" ref="C547">IF(IFERROR(INDEX(CATALOG_POINTS,MATCH(A547,CATALOG_TASK,0)),"")="",IF(MAX(IF(IFERROR(FIND(CATALOG_BASE,A547),0)=1,CATALOG_POINTS,0))=0,DAILY_POST_POINTS,MAX(IF(IFERROR(FIND(CATALOG_BASE,A547),0)=1,CATALOG_POINTS,0))),IFERROR(INDEX(CATALOG_POINTS,MATCH(A547,CATALOG_TASK,0)),""))</f>
        <v>1</v>
      </c>
      <c r="D547" s="10" t="s">
        <v>455</v>
      </c>
      <c r="E547" s="41" t="str">
        <f t="shared" si="1"/>
        <v>PROX3</v>
      </c>
    </row>
    <row r="548" ht="15.75" customHeight="1">
      <c r="A548" s="10" t="s">
        <v>37</v>
      </c>
      <c r="B548" s="10" t="s">
        <v>120</v>
      </c>
      <c r="C548" s="41">
        <f t="array" ref="C548">IF(IFERROR(INDEX(CATALOG_POINTS,MATCH(A548,CATALOG_TASK,0)),"")="",IF(MAX(IF(IFERROR(FIND(CATALOG_BASE,A548),0)=1,CATALOG_POINTS,0))=0,DAILY_POST_POINTS,MAX(IF(IFERROR(FIND(CATALOG_BASE,A548),0)=1,CATALOG_POINTS,0))),IFERROR(INDEX(CATALOG_POINTS,MATCH(A548,CATALOG_TASK,0)),""))</f>
        <v>2</v>
      </c>
      <c r="D548" s="10" t="s">
        <v>455</v>
      </c>
      <c r="E548" s="41" t="str">
        <f t="shared" si="1"/>
        <v>PROX3</v>
      </c>
    </row>
    <row r="549" ht="15.75" customHeight="1">
      <c r="A549" s="10" t="s">
        <v>168</v>
      </c>
      <c r="B549" s="10" t="s">
        <v>120</v>
      </c>
      <c r="C549" s="41">
        <f t="array" ref="C549">IF(IFERROR(INDEX(CATALOG_POINTS,MATCH(A549,CATALOG_TASK,0)),"")="",IF(MAX(IF(IFERROR(FIND(CATALOG_BASE,A549),0)=1,CATALOG_POINTS,0))=0,DAILY_POST_POINTS,MAX(IF(IFERROR(FIND(CATALOG_BASE,A549),0)=1,CATALOG_POINTS,0))),IFERROR(INDEX(CATALOG_POINTS,MATCH(A549,CATALOG_TASK,0)),""))</f>
        <v>1</v>
      </c>
      <c r="D549" s="10" t="s">
        <v>455</v>
      </c>
      <c r="E549" s="41" t="str">
        <f t="shared" si="1"/>
        <v>PROX3</v>
      </c>
    </row>
    <row r="550" ht="15.75" customHeight="1">
      <c r="A550" s="10" t="s">
        <v>37</v>
      </c>
      <c r="B550" s="10" t="s">
        <v>119</v>
      </c>
      <c r="C550" s="41">
        <f t="array" ref="C550">IF(IFERROR(INDEX(CATALOG_POINTS,MATCH(A550,CATALOG_TASK,0)),"")="",IF(MAX(IF(IFERROR(FIND(CATALOG_BASE,A550),0)=1,CATALOG_POINTS,0))=0,DAILY_POST_POINTS,MAX(IF(IFERROR(FIND(CATALOG_BASE,A550),0)=1,CATALOG_POINTS,0))),IFERROR(INDEX(CATALOG_POINTS,MATCH(A550,CATALOG_TASK,0)),""))</f>
        <v>2</v>
      </c>
      <c r="D550" s="10" t="s">
        <v>456</v>
      </c>
      <c r="E550" s="41" t="str">
        <f t="shared" si="1"/>
        <v>PROX3</v>
      </c>
    </row>
    <row r="551" ht="15.75" customHeight="1">
      <c r="A551" s="10" t="s">
        <v>456</v>
      </c>
      <c r="B551" s="10" t="s">
        <v>125</v>
      </c>
      <c r="C551" s="41">
        <f t="array" ref="C551">IF(IFERROR(INDEX(CATALOG_POINTS,MATCH(A551,CATALOG_TASK,0)),"")="",IF(MAX(IF(IFERROR(FIND(CATALOG_BASE,A551),0)=1,CATALOG_POINTS,0))=0,DAILY_POST_POINTS,MAX(IF(IFERROR(FIND(CATALOG_BASE,A551),0)=1,CATALOG_POINTS,0))),IFERROR(INDEX(CATALOG_POINTS,MATCH(A551,CATALOG_TASK,0)),""))</f>
        <v>1</v>
      </c>
      <c r="D551" s="10" t="s">
        <v>456</v>
      </c>
      <c r="E551" s="41" t="str">
        <f t="shared" si="1"/>
        <v>PROX3</v>
      </c>
    </row>
    <row r="552" ht="15.75" customHeight="1">
      <c r="A552" s="10" t="s">
        <v>457</v>
      </c>
      <c r="B552" s="10" t="s">
        <v>129</v>
      </c>
      <c r="C552" s="41">
        <f t="array" ref="C552">IF(IFERROR(INDEX(CATALOG_POINTS,MATCH(A552,CATALOG_TASK,0)),"")="",IF(MAX(IF(IFERROR(FIND(CATALOG_BASE,A552),0)=1,CATALOG_POINTS,0))=0,DAILY_POST_POINTS,MAX(IF(IFERROR(FIND(CATALOG_BASE,A552),0)=1,CATALOG_POINTS,0))),IFERROR(INDEX(CATALOG_POINTS,MATCH(A552,CATALOG_TASK,0)),""))</f>
        <v>1</v>
      </c>
      <c r="D552" s="10" t="s">
        <v>457</v>
      </c>
      <c r="E552" s="41" t="str">
        <f t="shared" si="1"/>
        <v>PROX3</v>
      </c>
    </row>
    <row r="553" ht="15.75" customHeight="1">
      <c r="A553" s="10" t="s">
        <v>24</v>
      </c>
      <c r="B553" s="10" t="s">
        <v>117</v>
      </c>
      <c r="C553" s="41">
        <f t="array" ref="C553">IF(IFERROR(INDEX(CATALOG_POINTS,MATCH(A553,CATALOG_TASK,0)),"")="",IF(MAX(IF(IFERROR(FIND(CATALOG_BASE,A553),0)=1,CATALOG_POINTS,0))=0,DAILY_POST_POINTS,MAX(IF(IFERROR(FIND(CATALOG_BASE,A553),0)=1,CATALOG_POINTS,0))),IFERROR(INDEX(CATALOG_POINTS,MATCH(A553,CATALOG_TASK,0)),""))</f>
        <v>2</v>
      </c>
      <c r="D553" s="10" t="s">
        <v>458</v>
      </c>
      <c r="E553" s="41" t="str">
        <f t="shared" si="1"/>
        <v>PROX4</v>
      </c>
    </row>
    <row r="554" ht="15.75" customHeight="1">
      <c r="A554" s="10" t="s">
        <v>174</v>
      </c>
      <c r="B554" s="10" t="s">
        <v>127</v>
      </c>
      <c r="C554" s="41">
        <f t="array" ref="C554">IF(IFERROR(INDEX(CATALOG_POINTS,MATCH(A554,CATALOG_TASK,0)),"")="",IF(MAX(IF(IFERROR(FIND(CATALOG_BASE,A554),0)=1,CATALOG_POINTS,0))=0,DAILY_POST_POINTS,MAX(IF(IFERROR(FIND(CATALOG_BASE,A554),0)=1,CATALOG_POINTS,0))),IFERROR(INDEX(CATALOG_POINTS,MATCH(A554,CATALOG_TASK,0)),""))</f>
        <v>1</v>
      </c>
      <c r="D554" s="10" t="s">
        <v>458</v>
      </c>
      <c r="E554" s="41" t="str">
        <f t="shared" si="1"/>
        <v>PROX4</v>
      </c>
    </row>
    <row r="555" ht="15.75" customHeight="1">
      <c r="A555" s="10" t="s">
        <v>459</v>
      </c>
      <c r="B555" s="10" t="s">
        <v>131</v>
      </c>
      <c r="C555" s="41">
        <f t="array" ref="C555">IF(IFERROR(INDEX(CATALOG_POINTS,MATCH(A555,CATALOG_TASK,0)),"")="",IF(MAX(IF(IFERROR(FIND(CATALOG_BASE,A555),0)=1,CATALOG_POINTS,0))=0,DAILY_POST_POINTS,MAX(IF(IFERROR(FIND(CATALOG_BASE,A555),0)=1,CATALOG_POINTS,0))),IFERROR(INDEX(CATALOG_POINTS,MATCH(A555,CATALOG_TASK,0)),""))</f>
        <v>1</v>
      </c>
      <c r="D555" s="10" t="s">
        <v>459</v>
      </c>
      <c r="E555" s="41" t="str">
        <f t="shared" si="1"/>
        <v>PROX3</v>
      </c>
    </row>
    <row r="556" ht="15.75" customHeight="1">
      <c r="A556" s="10" t="s">
        <v>460</v>
      </c>
      <c r="B556" s="10" t="s">
        <v>120</v>
      </c>
      <c r="C556" s="41">
        <f t="array" ref="C556">IF(IFERROR(INDEX(CATALOG_POINTS,MATCH(A556,CATALOG_TASK,0)),"")="",IF(MAX(IF(IFERROR(FIND(CATALOG_BASE,A556),0)=1,CATALOG_POINTS,0))=0,DAILY_POST_POINTS,MAX(IF(IFERROR(FIND(CATALOG_BASE,A556),0)=1,CATALOG_POINTS,0))),IFERROR(INDEX(CATALOG_POINTS,MATCH(A556,CATALOG_TASK,0)),""))</f>
        <v>1</v>
      </c>
      <c r="D556" s="10" t="s">
        <v>460</v>
      </c>
      <c r="E556" s="41" t="str">
        <f t="shared" si="1"/>
        <v>PROX3</v>
      </c>
    </row>
    <row r="557" ht="15.75" customHeight="1">
      <c r="A557" s="10" t="s">
        <v>174</v>
      </c>
      <c r="B557" s="10" t="s">
        <v>123</v>
      </c>
      <c r="C557" s="41">
        <f t="array" ref="C557">IF(IFERROR(INDEX(CATALOG_POINTS,MATCH(A557,CATALOG_TASK,0)),"")="",IF(MAX(IF(IFERROR(FIND(CATALOG_BASE,A557),0)=1,CATALOG_POINTS,0))=0,DAILY_POST_POINTS,MAX(IF(IFERROR(FIND(CATALOG_BASE,A557),0)=1,CATALOG_POINTS,0))),IFERROR(INDEX(CATALOG_POINTS,MATCH(A557,CATALOG_TASK,0)),""))</f>
        <v>1</v>
      </c>
      <c r="D557" s="10" t="s">
        <v>460</v>
      </c>
      <c r="E557" s="41" t="str">
        <f t="shared" si="1"/>
        <v>PROX3</v>
      </c>
    </row>
    <row r="558" ht="15.75" customHeight="1">
      <c r="A558" s="10" t="s">
        <v>461</v>
      </c>
      <c r="B558" s="10" t="s">
        <v>134</v>
      </c>
      <c r="C558" s="41">
        <f t="array" ref="C558">IF(IFERROR(INDEX(CATALOG_POINTS,MATCH(A558,CATALOG_TASK,0)),"")="",IF(MAX(IF(IFERROR(FIND(CATALOG_BASE,A558),0)=1,CATALOG_POINTS,0))=0,DAILY_POST_POINTS,MAX(IF(IFERROR(FIND(CATALOG_BASE,A558),0)=1,CATALOG_POINTS,0))),IFERROR(INDEX(CATALOG_POINTS,MATCH(A558,CATALOG_TASK,0)),""))</f>
        <v>1</v>
      </c>
      <c r="D558" s="10" t="s">
        <v>461</v>
      </c>
      <c r="E558" s="41" t="str">
        <f t="shared" si="1"/>
        <v>PROX3</v>
      </c>
    </row>
    <row r="559" ht="15.75" customHeight="1">
      <c r="A559" s="10" t="s">
        <v>55</v>
      </c>
      <c r="B559" s="10" t="s">
        <v>151</v>
      </c>
      <c r="C559" s="41">
        <f t="array" ref="C559">IF(IFERROR(INDEX(CATALOG_POINTS,MATCH(A559,CATALOG_TASK,0)),"")="",IF(MAX(IF(IFERROR(FIND(CATALOG_BASE,A559),0)=1,CATALOG_POINTS,0))=0,DAILY_POST_POINTS,MAX(IF(IFERROR(FIND(CATALOG_BASE,A559),0)=1,CATALOG_POINTS,0))),IFERROR(INDEX(CATALOG_POINTS,MATCH(A559,CATALOG_TASK,0)),""))</f>
        <v>8</v>
      </c>
      <c r="D559" s="10" t="s">
        <v>462</v>
      </c>
      <c r="E559" s="41" t="str">
        <f t="shared" si="1"/>
        <v>PROX3</v>
      </c>
    </row>
    <row r="560" ht="15.75" customHeight="1">
      <c r="A560" s="10" t="s">
        <v>462</v>
      </c>
      <c r="B560" s="10" t="s">
        <v>129</v>
      </c>
      <c r="C560" s="41">
        <f t="array" ref="C560">IF(IFERROR(INDEX(CATALOG_POINTS,MATCH(A560,CATALOG_TASK,0)),"")="",IF(MAX(IF(IFERROR(FIND(CATALOG_BASE,A560),0)=1,CATALOG_POINTS,0))=0,DAILY_POST_POINTS,MAX(IF(IFERROR(FIND(CATALOG_BASE,A560),0)=1,CATALOG_POINTS,0))),IFERROR(INDEX(CATALOG_POINTS,MATCH(A560,CATALOG_TASK,0)),""))</f>
        <v>1</v>
      </c>
      <c r="D560" s="10" t="s">
        <v>462</v>
      </c>
      <c r="E560" s="41" t="str">
        <f t="shared" si="1"/>
        <v>PROX3</v>
      </c>
    </row>
    <row r="561" ht="15.75" customHeight="1">
      <c r="A561" s="10" t="s">
        <v>37</v>
      </c>
      <c r="B561" s="10" t="s">
        <v>122</v>
      </c>
      <c r="C561" s="41">
        <f t="array" ref="C561">IF(IFERROR(INDEX(CATALOG_POINTS,MATCH(A561,CATALOG_TASK,0)),"")="",IF(MAX(IF(IFERROR(FIND(CATALOG_BASE,A561),0)=1,CATALOG_POINTS,0))=0,DAILY_POST_POINTS,MAX(IF(IFERROR(FIND(CATALOG_BASE,A561),0)=1,CATALOG_POINTS,0))),IFERROR(INDEX(CATALOG_POINTS,MATCH(A561,CATALOG_TASK,0)),""))</f>
        <v>2</v>
      </c>
      <c r="D561" s="10" t="s">
        <v>462</v>
      </c>
      <c r="E561" s="41" t="str">
        <f t="shared" si="1"/>
        <v>PROX3</v>
      </c>
    </row>
    <row r="562" ht="15.75" customHeight="1">
      <c r="A562" s="10" t="s">
        <v>174</v>
      </c>
      <c r="B562" s="10" t="s">
        <v>128</v>
      </c>
      <c r="C562" s="41">
        <f t="array" ref="C562">IF(IFERROR(INDEX(CATALOG_POINTS,MATCH(A562,CATALOG_TASK,0)),"")="",IF(MAX(IF(IFERROR(FIND(CATALOG_BASE,A562),0)=1,CATALOG_POINTS,0))=0,DAILY_POST_POINTS,MAX(IF(IFERROR(FIND(CATALOG_BASE,A562),0)=1,CATALOG_POINTS,0))),IFERROR(INDEX(CATALOG_POINTS,MATCH(A562,CATALOG_TASK,0)),""))</f>
        <v>1</v>
      </c>
      <c r="D562" s="10" t="s">
        <v>463</v>
      </c>
      <c r="E562" s="41" t="str">
        <f t="shared" si="1"/>
        <v>PROX4</v>
      </c>
    </row>
    <row r="563" ht="15.75" customHeight="1">
      <c r="A563" s="10" t="s">
        <v>168</v>
      </c>
      <c r="B563" s="10" t="s">
        <v>127</v>
      </c>
      <c r="C563" s="41">
        <f t="array" ref="C563">IF(IFERROR(INDEX(CATALOG_POINTS,MATCH(A563,CATALOG_TASK,0)),"")="",IF(MAX(IF(IFERROR(FIND(CATALOG_BASE,A563),0)=1,CATALOG_POINTS,0))=0,DAILY_POST_POINTS,MAX(IF(IFERROR(FIND(CATALOG_BASE,A563),0)=1,CATALOG_POINTS,0))),IFERROR(INDEX(CATALOG_POINTS,MATCH(A563,CATALOG_TASK,0)),""))</f>
        <v>1</v>
      </c>
      <c r="D563" s="10" t="s">
        <v>463</v>
      </c>
      <c r="E563" s="41" t="str">
        <f t="shared" si="1"/>
        <v>PROX4</v>
      </c>
    </row>
    <row r="564" ht="15.75" customHeight="1">
      <c r="A564" s="10" t="s">
        <v>168</v>
      </c>
      <c r="B564" s="10" t="s">
        <v>128</v>
      </c>
      <c r="C564" s="41">
        <f t="array" ref="C564">IF(IFERROR(INDEX(CATALOG_POINTS,MATCH(A564,CATALOG_TASK,0)),"")="",IF(MAX(IF(IFERROR(FIND(CATALOG_BASE,A564),0)=1,CATALOG_POINTS,0))=0,DAILY_POST_POINTS,MAX(IF(IFERROR(FIND(CATALOG_BASE,A564),0)=1,CATALOG_POINTS,0))),IFERROR(INDEX(CATALOG_POINTS,MATCH(A564,CATALOG_TASK,0)),""))</f>
        <v>1</v>
      </c>
      <c r="D564" s="10" t="s">
        <v>463</v>
      </c>
      <c r="E564" s="41" t="str">
        <f t="shared" si="1"/>
        <v>PROX4</v>
      </c>
    </row>
    <row r="565" ht="15.75" customHeight="1">
      <c r="A565" s="10" t="s">
        <v>180</v>
      </c>
      <c r="B565" s="10" t="s">
        <v>138</v>
      </c>
      <c r="C565" s="41">
        <f t="array" ref="C565">IF(IFERROR(INDEX(CATALOG_POINTS,MATCH(A565,CATALOG_TASK,0)),"")="",IF(MAX(IF(IFERROR(FIND(CATALOG_BASE,A565),0)=1,CATALOG_POINTS,0))=0,DAILY_POST_POINTS,MAX(IF(IFERROR(FIND(CATALOG_BASE,A565),0)=1,CATALOG_POINTS,0))),IFERROR(INDEX(CATALOG_POINTS,MATCH(A565,CATALOG_TASK,0)),""))</f>
        <v>1</v>
      </c>
      <c r="D565" s="10" t="s">
        <v>463</v>
      </c>
      <c r="E565" s="41" t="str">
        <f t="shared" si="1"/>
        <v>PROX4</v>
      </c>
    </row>
    <row r="566" ht="15.75" customHeight="1">
      <c r="A566" s="10" t="s">
        <v>52</v>
      </c>
      <c r="B566" s="10" t="s">
        <v>140</v>
      </c>
      <c r="C566" s="41">
        <f t="array" ref="C566">IF(IFERROR(INDEX(CATALOG_POINTS,MATCH(A566,CATALOG_TASK,0)),"")="",IF(MAX(IF(IFERROR(FIND(CATALOG_BASE,A566),0)=1,CATALOG_POINTS,0))=0,DAILY_POST_POINTS,MAX(IF(IFERROR(FIND(CATALOG_BASE,A566),0)=1,CATALOG_POINTS,0))),IFERROR(INDEX(CATALOG_POINTS,MATCH(A566,CATALOG_TASK,0)),""))</f>
        <v>10</v>
      </c>
      <c r="D566" s="10" t="s">
        <v>464</v>
      </c>
      <c r="E566" s="41" t="str">
        <f t="shared" si="1"/>
        <v/>
      </c>
    </row>
    <row r="567" ht="15.75" customHeight="1">
      <c r="A567" s="10" t="s">
        <v>37</v>
      </c>
      <c r="B567" s="10" t="s">
        <v>125</v>
      </c>
      <c r="C567" s="41">
        <f t="array" ref="C567">IF(IFERROR(INDEX(CATALOG_POINTS,MATCH(A567,CATALOG_TASK,0)),"")="",IF(MAX(IF(IFERROR(FIND(CATALOG_BASE,A567),0)=1,CATALOG_POINTS,0))=0,DAILY_POST_POINTS,MAX(IF(IFERROR(FIND(CATALOG_BASE,A567),0)=1,CATALOG_POINTS,0))),IFERROR(INDEX(CATALOG_POINTS,MATCH(A567,CATALOG_TASK,0)),""))</f>
        <v>2</v>
      </c>
      <c r="D567" s="10" t="s">
        <v>464</v>
      </c>
      <c r="E567" s="41" t="str">
        <f t="shared" si="1"/>
        <v/>
      </c>
    </row>
    <row r="568" ht="15.75" customHeight="1">
      <c r="A568" s="10" t="s">
        <v>37</v>
      </c>
      <c r="B568" s="10" t="s">
        <v>121</v>
      </c>
      <c r="C568" s="41">
        <f t="array" ref="C568">IF(IFERROR(INDEX(CATALOG_POINTS,MATCH(A568,CATALOG_TASK,0)),"")="",IF(MAX(IF(IFERROR(FIND(CATALOG_BASE,A568),0)=1,CATALOG_POINTS,0))=0,DAILY_POST_POINTS,MAX(IF(IFERROR(FIND(CATALOG_BASE,A568),0)=1,CATALOG_POINTS,0))),IFERROR(INDEX(CATALOG_POINTS,MATCH(A568,CATALOG_TASK,0)),""))</f>
        <v>2</v>
      </c>
      <c r="D568" s="10" t="s">
        <v>465</v>
      </c>
      <c r="E568" s="41" t="str">
        <f t="shared" si="1"/>
        <v>PROX4</v>
      </c>
    </row>
    <row r="569" ht="15.75" customHeight="1">
      <c r="A569" s="10" t="s">
        <v>465</v>
      </c>
      <c r="B569" s="10" t="s">
        <v>117</v>
      </c>
      <c r="C569" s="41">
        <f t="array" ref="C569">IF(IFERROR(INDEX(CATALOG_POINTS,MATCH(A569,CATALOG_TASK,0)),"")="",IF(MAX(IF(IFERROR(FIND(CATALOG_BASE,A569),0)=1,CATALOG_POINTS,0))=0,DAILY_POST_POINTS,MAX(IF(IFERROR(FIND(CATALOG_BASE,A569),0)=1,CATALOG_POINTS,0))),IFERROR(INDEX(CATALOG_POINTS,MATCH(A569,CATALOG_TASK,0)),""))</f>
        <v>1</v>
      </c>
      <c r="D569" s="10" t="s">
        <v>465</v>
      </c>
      <c r="E569" s="41" t="str">
        <f t="shared" si="1"/>
        <v>PROX4</v>
      </c>
    </row>
    <row r="570" ht="15.75" customHeight="1">
      <c r="A570" s="10" t="s">
        <v>466</v>
      </c>
      <c r="B570" s="10" t="s">
        <v>126</v>
      </c>
      <c r="C570" s="41">
        <f t="array" ref="C570">IF(IFERROR(INDEX(CATALOG_POINTS,MATCH(A570,CATALOG_TASK,0)),"")="",IF(MAX(IF(IFERROR(FIND(CATALOG_BASE,A570),0)=1,CATALOG_POINTS,0))=0,DAILY_POST_POINTS,MAX(IF(IFERROR(FIND(CATALOG_BASE,A570),0)=1,CATALOG_POINTS,0))),IFERROR(INDEX(CATALOG_POINTS,MATCH(A570,CATALOG_TASK,0)),""))</f>
        <v>1</v>
      </c>
      <c r="D570" s="10" t="s">
        <v>466</v>
      </c>
      <c r="E570" s="41" t="str">
        <f t="shared" si="1"/>
        <v>PROX3</v>
      </c>
    </row>
    <row r="571" ht="15.75" customHeight="1">
      <c r="A571" s="10" t="s">
        <v>37</v>
      </c>
      <c r="B571" s="10" t="s">
        <v>122</v>
      </c>
      <c r="C571" s="41">
        <f t="array" ref="C571">IF(IFERROR(INDEX(CATALOG_POINTS,MATCH(A571,CATALOG_TASK,0)),"")="",IF(MAX(IF(IFERROR(FIND(CATALOG_BASE,A571),0)=1,CATALOG_POINTS,0))=0,DAILY_POST_POINTS,MAX(IF(IFERROR(FIND(CATALOG_BASE,A571),0)=1,CATALOG_POINTS,0))),IFERROR(INDEX(CATALOG_POINTS,MATCH(A571,CATALOG_TASK,0)),""))</f>
        <v>2</v>
      </c>
      <c r="D571" s="10" t="s">
        <v>467</v>
      </c>
      <c r="E571" s="41" t="str">
        <f t="shared" si="1"/>
        <v>PROX3</v>
      </c>
    </row>
    <row r="572" ht="15.75" customHeight="1">
      <c r="A572" s="10" t="s">
        <v>37</v>
      </c>
      <c r="B572" s="10" t="s">
        <v>126</v>
      </c>
      <c r="C572" s="41">
        <f t="array" ref="C572">IF(IFERROR(INDEX(CATALOG_POINTS,MATCH(A572,CATALOG_TASK,0)),"")="",IF(MAX(IF(IFERROR(FIND(CATALOG_BASE,A572),0)=1,CATALOG_POINTS,0))=0,DAILY_POST_POINTS,MAX(IF(IFERROR(FIND(CATALOG_BASE,A572),0)=1,CATALOG_POINTS,0))),IFERROR(INDEX(CATALOG_POINTS,MATCH(A572,CATALOG_TASK,0)),""))</f>
        <v>2</v>
      </c>
      <c r="D572" s="10" t="s">
        <v>467</v>
      </c>
      <c r="E572" s="41" t="str">
        <f t="shared" si="1"/>
        <v>PROX3</v>
      </c>
    </row>
    <row r="573" ht="15.75" customHeight="1">
      <c r="A573" s="10" t="s">
        <v>467</v>
      </c>
      <c r="B573" s="10" t="s">
        <v>125</v>
      </c>
      <c r="C573" s="41">
        <f t="array" ref="C573">IF(IFERROR(INDEX(CATALOG_POINTS,MATCH(A573,CATALOG_TASK,0)),"")="",IF(MAX(IF(IFERROR(FIND(CATALOG_BASE,A573),0)=1,CATALOG_POINTS,0))=0,DAILY_POST_POINTS,MAX(IF(IFERROR(FIND(CATALOG_BASE,A573),0)=1,CATALOG_POINTS,0))),IFERROR(INDEX(CATALOG_POINTS,MATCH(A573,CATALOG_TASK,0)),""))</f>
        <v>1</v>
      </c>
      <c r="D573" s="10" t="s">
        <v>467</v>
      </c>
      <c r="E573" s="41" t="str">
        <f t="shared" si="1"/>
        <v>PROX3</v>
      </c>
    </row>
    <row r="574" ht="15.75" customHeight="1">
      <c r="A574" s="10" t="s">
        <v>468</v>
      </c>
      <c r="B574" s="10" t="s">
        <v>131</v>
      </c>
      <c r="C574" s="41">
        <f t="array" ref="C574">IF(IFERROR(INDEX(CATALOG_POINTS,MATCH(A574,CATALOG_TASK,0)),"")="",IF(MAX(IF(IFERROR(FIND(CATALOG_BASE,A574),0)=1,CATALOG_POINTS,0))=0,DAILY_POST_POINTS,MAX(IF(IFERROR(FIND(CATALOG_BASE,A574),0)=1,CATALOG_POINTS,0))),IFERROR(INDEX(CATALOG_POINTS,MATCH(A574,CATALOG_TASK,0)),""))</f>
        <v>1</v>
      </c>
      <c r="D574" s="10" t="s">
        <v>468</v>
      </c>
      <c r="E574" s="41" t="str">
        <f t="shared" si="1"/>
        <v>PROX3</v>
      </c>
    </row>
    <row r="575" ht="15.75" customHeight="1">
      <c r="A575" s="10" t="s">
        <v>37</v>
      </c>
      <c r="B575" s="10" t="s">
        <v>120</v>
      </c>
      <c r="C575" s="41">
        <f t="array" ref="C575">IF(IFERROR(INDEX(CATALOG_POINTS,MATCH(A575,CATALOG_TASK,0)),"")="",IF(MAX(IF(IFERROR(FIND(CATALOG_BASE,A575),0)=1,CATALOG_POINTS,0))=0,DAILY_POST_POINTS,MAX(IF(IFERROR(FIND(CATALOG_BASE,A575),0)=1,CATALOG_POINTS,0))),IFERROR(INDEX(CATALOG_POINTS,MATCH(A575,CATALOG_TASK,0)),""))</f>
        <v>2</v>
      </c>
      <c r="D575" s="10" t="s">
        <v>469</v>
      </c>
      <c r="E575" s="41" t="str">
        <f t="shared" si="1"/>
        <v/>
      </c>
    </row>
    <row r="576" ht="15.75" customHeight="1">
      <c r="A576" s="10" t="s">
        <v>37</v>
      </c>
      <c r="B576" s="10" t="s">
        <v>122</v>
      </c>
      <c r="C576" s="41">
        <f t="array" ref="C576">IF(IFERROR(INDEX(CATALOG_POINTS,MATCH(A576,CATALOG_TASK,0)),"")="",IF(MAX(IF(IFERROR(FIND(CATALOG_BASE,A576),0)=1,CATALOG_POINTS,0))=0,DAILY_POST_POINTS,MAX(IF(IFERROR(FIND(CATALOG_BASE,A576),0)=1,CATALOG_POINTS,0))),IFERROR(INDEX(CATALOG_POINTS,MATCH(A576,CATALOG_TASK,0)),""))</f>
        <v>2</v>
      </c>
      <c r="D576" s="10" t="s">
        <v>469</v>
      </c>
      <c r="E576" s="41" t="str">
        <f t="shared" si="1"/>
        <v/>
      </c>
    </row>
    <row r="577" ht="15.75" customHeight="1">
      <c r="A577" s="10" t="s">
        <v>37</v>
      </c>
      <c r="B577" s="10" t="s">
        <v>120</v>
      </c>
      <c r="C577" s="41">
        <f t="array" ref="C577">IF(IFERROR(INDEX(CATALOG_POINTS,MATCH(A577,CATALOG_TASK,0)),"")="",IF(MAX(IF(IFERROR(FIND(CATALOG_BASE,A577),0)=1,CATALOG_POINTS,0))=0,DAILY_POST_POINTS,MAX(IF(IFERROR(FIND(CATALOG_BASE,A577),0)=1,CATALOG_POINTS,0))),IFERROR(INDEX(CATALOG_POINTS,MATCH(A577,CATALOG_TASK,0)),""))</f>
        <v>2</v>
      </c>
      <c r="D577" s="10" t="s">
        <v>469</v>
      </c>
      <c r="E577" s="41" t="str">
        <f t="shared" si="1"/>
        <v/>
      </c>
    </row>
    <row r="578" ht="15.75" customHeight="1">
      <c r="A578" s="10" t="s">
        <v>37</v>
      </c>
      <c r="B578" s="10" t="s">
        <v>120</v>
      </c>
      <c r="C578" s="41">
        <f t="array" ref="C578">IF(IFERROR(INDEX(CATALOG_POINTS,MATCH(A578,CATALOG_TASK,0)),"")="",IF(MAX(IF(IFERROR(FIND(CATALOG_BASE,A578),0)=1,CATALOG_POINTS,0))=0,DAILY_POST_POINTS,MAX(IF(IFERROR(FIND(CATALOG_BASE,A578),0)=1,CATALOG_POINTS,0))),IFERROR(INDEX(CATALOG_POINTS,MATCH(A578,CATALOG_TASK,0)),""))</f>
        <v>2</v>
      </c>
      <c r="D578" s="10" t="s">
        <v>469</v>
      </c>
      <c r="E578" s="41" t="str">
        <f t="shared" si="1"/>
        <v/>
      </c>
    </row>
    <row r="579" ht="15.75" customHeight="1">
      <c r="A579" s="10" t="s">
        <v>469</v>
      </c>
      <c r="B579" s="10" t="s">
        <v>133</v>
      </c>
      <c r="C579" s="41">
        <f t="array" ref="C579">IF(IFERROR(INDEX(CATALOG_POINTS,MATCH(A579,CATALOG_TASK,0)),"")="",IF(MAX(IF(IFERROR(FIND(CATALOG_BASE,A579),0)=1,CATALOG_POINTS,0))=0,DAILY_POST_POINTS,MAX(IF(IFERROR(FIND(CATALOG_BASE,A579),0)=1,CATALOG_POINTS,0))),IFERROR(INDEX(CATALOG_POINTS,MATCH(A579,CATALOG_TASK,0)),""))</f>
        <v>1</v>
      </c>
      <c r="D579" s="10" t="s">
        <v>469</v>
      </c>
      <c r="E579" s="41" t="str">
        <f t="shared" si="1"/>
        <v/>
      </c>
    </row>
    <row r="580" ht="15.75" customHeight="1">
      <c r="A580" s="10" t="s">
        <v>470</v>
      </c>
      <c r="B580" s="10" t="s">
        <v>121</v>
      </c>
      <c r="C580" s="41">
        <f t="array" ref="C580">IF(IFERROR(INDEX(CATALOG_POINTS,MATCH(A580,CATALOG_TASK,0)),"")="",IF(MAX(IF(IFERROR(FIND(CATALOG_BASE,A580),0)=1,CATALOG_POINTS,0))=0,DAILY_POST_POINTS,MAX(IF(IFERROR(FIND(CATALOG_BASE,A580),0)=1,CATALOG_POINTS,0))),IFERROR(INDEX(CATALOG_POINTS,MATCH(A580,CATALOG_TASK,0)),""))</f>
        <v>1</v>
      </c>
      <c r="D580" s="10" t="s">
        <v>470</v>
      </c>
      <c r="E580" s="41" t="str">
        <f t="shared" si="1"/>
        <v>PROX3</v>
      </c>
    </row>
    <row r="581" ht="15.75" customHeight="1">
      <c r="A581" s="10" t="s">
        <v>471</v>
      </c>
      <c r="B581" s="10" t="s">
        <v>133</v>
      </c>
      <c r="C581" s="41">
        <f t="array" ref="C581">IF(IFERROR(INDEX(CATALOG_POINTS,MATCH(A581,CATALOG_TASK,0)),"")="",IF(MAX(IF(IFERROR(FIND(CATALOG_BASE,A581),0)=1,CATALOG_POINTS,0))=0,DAILY_POST_POINTS,MAX(IF(IFERROR(FIND(CATALOG_BASE,A581),0)=1,CATALOG_POINTS,0))),IFERROR(INDEX(CATALOG_POINTS,MATCH(A581,CATALOG_TASK,0)),""))</f>
        <v>1</v>
      </c>
      <c r="D581" s="10" t="s">
        <v>471</v>
      </c>
      <c r="E581" s="41" t="str">
        <f t="shared" si="1"/>
        <v>E0</v>
      </c>
    </row>
    <row r="582" ht="15.75" customHeight="1">
      <c r="A582" s="10" t="s">
        <v>37</v>
      </c>
      <c r="B582" s="10" t="s">
        <v>120</v>
      </c>
      <c r="C582" s="41">
        <f t="array" ref="C582">IF(IFERROR(INDEX(CATALOG_POINTS,MATCH(A582,CATALOG_TASK,0)),"")="",IF(MAX(IF(IFERROR(FIND(CATALOG_BASE,A582),0)=1,CATALOG_POINTS,0))=0,DAILY_POST_POINTS,MAX(IF(IFERROR(FIND(CATALOG_BASE,A582),0)=1,CATALOG_POINTS,0))),IFERROR(INDEX(CATALOG_POINTS,MATCH(A582,CATALOG_TASK,0)),""))</f>
        <v>2</v>
      </c>
      <c r="D582" s="10" t="s">
        <v>472</v>
      </c>
      <c r="E582" s="41" t="str">
        <f t="shared" si="1"/>
        <v>PROX4</v>
      </c>
    </row>
    <row r="583" ht="15.75" customHeight="1">
      <c r="A583" s="10" t="s">
        <v>37</v>
      </c>
      <c r="B583" s="10" t="s">
        <v>125</v>
      </c>
      <c r="C583" s="41">
        <f t="array" ref="C583">IF(IFERROR(INDEX(CATALOG_POINTS,MATCH(A583,CATALOG_TASK,0)),"")="",IF(MAX(IF(IFERROR(FIND(CATALOG_BASE,A583),0)=1,CATALOG_POINTS,0))=0,DAILY_POST_POINTS,MAX(IF(IFERROR(FIND(CATALOG_BASE,A583),0)=1,CATALOG_POINTS,0))),IFERROR(INDEX(CATALOG_POINTS,MATCH(A583,CATALOG_TASK,0)),""))</f>
        <v>2</v>
      </c>
      <c r="D583" s="10" t="s">
        <v>472</v>
      </c>
      <c r="E583" s="41" t="str">
        <f t="shared" si="1"/>
        <v>PROX4</v>
      </c>
    </row>
    <row r="584" ht="15.75" customHeight="1">
      <c r="A584" s="10" t="s">
        <v>37</v>
      </c>
      <c r="B584" s="10" t="s">
        <v>126</v>
      </c>
      <c r="C584" s="41">
        <f t="array" ref="C584">IF(IFERROR(INDEX(CATALOG_POINTS,MATCH(A584,CATALOG_TASK,0)),"")="",IF(MAX(IF(IFERROR(FIND(CATALOG_BASE,A584),0)=1,CATALOG_POINTS,0))=0,DAILY_POST_POINTS,MAX(IF(IFERROR(FIND(CATALOG_BASE,A584),0)=1,CATALOG_POINTS,0))),IFERROR(INDEX(CATALOG_POINTS,MATCH(A584,CATALOG_TASK,0)),""))</f>
        <v>2</v>
      </c>
      <c r="D584" s="10" t="s">
        <v>472</v>
      </c>
      <c r="E584" s="41" t="str">
        <f t="shared" si="1"/>
        <v>PROX4</v>
      </c>
    </row>
    <row r="585" ht="15.75" customHeight="1">
      <c r="A585" s="10" t="s">
        <v>177</v>
      </c>
      <c r="B585" s="10" t="s">
        <v>141</v>
      </c>
      <c r="C585" s="41">
        <f t="array" ref="C585">IF(IFERROR(INDEX(CATALOG_POINTS,MATCH(A585,CATALOG_TASK,0)),"")="",IF(MAX(IF(IFERROR(FIND(CATALOG_BASE,A585),0)=1,CATALOG_POINTS,0))=0,DAILY_POST_POINTS,MAX(IF(IFERROR(FIND(CATALOG_BASE,A585),0)=1,CATALOG_POINTS,0))),IFERROR(INDEX(CATALOG_POINTS,MATCH(A585,CATALOG_TASK,0)),""))</f>
        <v>6</v>
      </c>
      <c r="D585" s="10" t="s">
        <v>472</v>
      </c>
      <c r="E585" s="41" t="str">
        <f t="shared" si="1"/>
        <v>PROX4</v>
      </c>
    </row>
    <row r="586" ht="15.75" customHeight="1">
      <c r="A586" s="10" t="s">
        <v>177</v>
      </c>
      <c r="B586" s="10" t="s">
        <v>140</v>
      </c>
      <c r="C586" s="41">
        <f t="array" ref="C586">IF(IFERROR(INDEX(CATALOG_POINTS,MATCH(A586,CATALOG_TASK,0)),"")="",IF(MAX(IF(IFERROR(FIND(CATALOG_BASE,A586),0)=1,CATALOG_POINTS,0))=0,DAILY_POST_POINTS,MAX(IF(IFERROR(FIND(CATALOG_BASE,A586),0)=1,CATALOG_POINTS,0))),IFERROR(INDEX(CATALOG_POINTS,MATCH(A586,CATALOG_TASK,0)),""))</f>
        <v>6</v>
      </c>
      <c r="D586" s="10" t="s">
        <v>472</v>
      </c>
      <c r="E586" s="41" t="str">
        <f t="shared" si="1"/>
        <v>PROX4</v>
      </c>
    </row>
    <row r="587" ht="15.75" customHeight="1">
      <c r="A587" s="10" t="s">
        <v>168</v>
      </c>
      <c r="B587" s="10" t="s">
        <v>149</v>
      </c>
      <c r="C587" s="41">
        <f t="array" ref="C587">IF(IFERROR(INDEX(CATALOG_POINTS,MATCH(A587,CATALOG_TASK,0)),"")="",IF(MAX(IF(IFERROR(FIND(CATALOG_BASE,A587),0)=1,CATALOG_POINTS,0))=0,DAILY_POST_POINTS,MAX(IF(IFERROR(FIND(CATALOG_BASE,A587),0)=1,CATALOG_POINTS,0))),IFERROR(INDEX(CATALOG_POINTS,MATCH(A587,CATALOG_TASK,0)),""))</f>
        <v>1</v>
      </c>
      <c r="D587" s="10" t="s">
        <v>472</v>
      </c>
      <c r="E587" s="41" t="str">
        <f t="shared" si="1"/>
        <v>PROX4</v>
      </c>
    </row>
    <row r="588" ht="15.75" customHeight="1">
      <c r="A588" s="10" t="s">
        <v>168</v>
      </c>
      <c r="B588" s="10" t="s">
        <v>117</v>
      </c>
      <c r="C588" s="41">
        <f t="array" ref="C588">IF(IFERROR(INDEX(CATALOG_POINTS,MATCH(A588,CATALOG_TASK,0)),"")="",IF(MAX(IF(IFERROR(FIND(CATALOG_BASE,A588),0)=1,CATALOG_POINTS,0))=0,DAILY_POST_POINTS,MAX(IF(IFERROR(FIND(CATALOG_BASE,A588),0)=1,CATALOG_POINTS,0))),IFERROR(INDEX(CATALOG_POINTS,MATCH(A588,CATALOG_TASK,0)),""))</f>
        <v>1</v>
      </c>
      <c r="D588" s="10" t="s">
        <v>472</v>
      </c>
      <c r="E588" s="41" t="str">
        <f t="shared" si="1"/>
        <v>PROX4</v>
      </c>
    </row>
    <row r="589" ht="15.75" customHeight="1">
      <c r="A589" s="10" t="s">
        <v>380</v>
      </c>
      <c r="B589" s="10" t="s">
        <v>140</v>
      </c>
      <c r="C589" s="41">
        <f t="array" ref="C589">IF(IFERROR(INDEX(CATALOG_POINTS,MATCH(A589,CATALOG_TASK,0)),"")="",IF(MAX(IF(IFERROR(FIND(CATALOG_BASE,A589),0)=1,CATALOG_POINTS,0))=0,DAILY_POST_POINTS,MAX(IF(IFERROR(FIND(CATALOG_BASE,A589),0)=1,CATALOG_POINTS,0))),IFERROR(INDEX(CATALOG_POINTS,MATCH(A589,CATALOG_TASK,0)),""))</f>
        <v>1</v>
      </c>
      <c r="D589" s="10" t="s">
        <v>472</v>
      </c>
      <c r="E589" s="41" t="str">
        <f t="shared" si="1"/>
        <v>PROX4</v>
      </c>
    </row>
    <row r="590" ht="15.75" customHeight="1">
      <c r="A590" s="10" t="s">
        <v>37</v>
      </c>
      <c r="B590" s="10" t="s">
        <v>124</v>
      </c>
      <c r="C590" s="41">
        <f t="array" ref="C590">IF(IFERROR(INDEX(CATALOG_POINTS,MATCH(A590,CATALOG_TASK,0)),"")="",IF(MAX(IF(IFERROR(FIND(CATALOG_BASE,A590),0)=1,CATALOG_POINTS,0))=0,DAILY_POST_POINTS,MAX(IF(IFERROR(FIND(CATALOG_BASE,A590),0)=1,CATALOG_POINTS,0))),IFERROR(INDEX(CATALOG_POINTS,MATCH(A590,CATALOG_TASK,0)),""))</f>
        <v>2</v>
      </c>
      <c r="D590" s="10" t="s">
        <v>472</v>
      </c>
      <c r="E590" s="41" t="str">
        <f t="shared" si="1"/>
        <v>PROX4</v>
      </c>
    </row>
    <row r="591" ht="15.75" customHeight="1">
      <c r="A591" s="10" t="s">
        <v>37</v>
      </c>
      <c r="B591" s="10" t="s">
        <v>120</v>
      </c>
      <c r="C591" s="41">
        <f t="array" ref="C591">IF(IFERROR(INDEX(CATALOG_POINTS,MATCH(A591,CATALOG_TASK,0)),"")="",IF(MAX(IF(IFERROR(FIND(CATALOG_BASE,A591),0)=1,CATALOG_POINTS,0))=0,DAILY_POST_POINTS,MAX(IF(IFERROR(FIND(CATALOG_BASE,A591),0)=1,CATALOG_POINTS,0))),IFERROR(INDEX(CATALOG_POINTS,MATCH(A591,CATALOG_TASK,0)),""))</f>
        <v>2</v>
      </c>
      <c r="D591" s="10" t="s">
        <v>472</v>
      </c>
      <c r="E591" s="41" t="str">
        <f t="shared" si="1"/>
        <v>PROX4</v>
      </c>
    </row>
    <row r="592" ht="15.75" customHeight="1">
      <c r="A592" s="10" t="s">
        <v>472</v>
      </c>
      <c r="B592" s="10" t="s">
        <v>120</v>
      </c>
      <c r="C592" s="41">
        <f t="array" ref="C592">IF(IFERROR(INDEX(CATALOG_POINTS,MATCH(A592,CATALOG_TASK,0)),"")="",IF(MAX(IF(IFERROR(FIND(CATALOG_BASE,A592),0)=1,CATALOG_POINTS,0))=0,DAILY_POST_POINTS,MAX(IF(IFERROR(FIND(CATALOG_BASE,A592),0)=1,CATALOG_POINTS,0))),IFERROR(INDEX(CATALOG_POINTS,MATCH(A592,CATALOG_TASK,0)),""))</f>
        <v>1</v>
      </c>
      <c r="D592" s="10" t="s">
        <v>472</v>
      </c>
      <c r="E592" s="41" t="str">
        <f t="shared" si="1"/>
        <v>PROX4</v>
      </c>
    </row>
    <row r="593" ht="15.75" customHeight="1">
      <c r="A593" s="10" t="s">
        <v>37</v>
      </c>
      <c r="B593" s="10" t="s">
        <v>120</v>
      </c>
      <c r="C593" s="41">
        <f t="array" ref="C593">IF(IFERROR(INDEX(CATALOG_POINTS,MATCH(A593,CATALOG_TASK,0)),"")="",IF(MAX(IF(IFERROR(FIND(CATALOG_BASE,A593),0)=1,CATALOG_POINTS,0))=0,DAILY_POST_POINTS,MAX(IF(IFERROR(FIND(CATALOG_BASE,A593),0)=1,CATALOG_POINTS,0))),IFERROR(INDEX(CATALOG_POINTS,MATCH(A593,CATALOG_TASK,0)),""))</f>
        <v>2</v>
      </c>
      <c r="D593" s="10" t="s">
        <v>472</v>
      </c>
      <c r="E593" s="41" t="str">
        <f t="shared" si="1"/>
        <v>PROX4</v>
      </c>
    </row>
    <row r="594" ht="15.75" customHeight="1">
      <c r="A594" s="10" t="s">
        <v>37</v>
      </c>
      <c r="B594" s="10" t="s">
        <v>117</v>
      </c>
      <c r="C594" s="41">
        <f t="array" ref="C594">IF(IFERROR(INDEX(CATALOG_POINTS,MATCH(A594,CATALOG_TASK,0)),"")="",IF(MAX(IF(IFERROR(FIND(CATALOG_BASE,A594),0)=1,CATALOG_POINTS,0))=0,DAILY_POST_POINTS,MAX(IF(IFERROR(FIND(CATALOG_BASE,A594),0)=1,CATALOG_POINTS,0))),IFERROR(INDEX(CATALOG_POINTS,MATCH(A594,CATALOG_TASK,0)),""))</f>
        <v>2</v>
      </c>
      <c r="D594" s="10" t="s">
        <v>472</v>
      </c>
      <c r="E594" s="41" t="str">
        <f t="shared" si="1"/>
        <v>PROX4</v>
      </c>
    </row>
    <row r="595" ht="15.75" customHeight="1">
      <c r="A595" s="10" t="s">
        <v>380</v>
      </c>
      <c r="B595" s="10" t="s">
        <v>141</v>
      </c>
      <c r="C595" s="41">
        <f t="array" ref="C595">IF(IFERROR(INDEX(CATALOG_POINTS,MATCH(A595,CATALOG_TASK,0)),"")="",IF(MAX(IF(IFERROR(FIND(CATALOG_BASE,A595),0)=1,CATALOG_POINTS,0))=0,DAILY_POST_POINTS,MAX(IF(IFERROR(FIND(CATALOG_BASE,A595),0)=1,CATALOG_POINTS,0))),IFERROR(INDEX(CATALOG_POINTS,MATCH(A595,CATALOG_TASK,0)),""))</f>
        <v>1</v>
      </c>
      <c r="D595" s="10" t="s">
        <v>472</v>
      </c>
      <c r="E595" s="41" t="str">
        <f t="shared" si="1"/>
        <v>PROX4</v>
      </c>
    </row>
    <row r="596" ht="15.75" customHeight="1">
      <c r="A596" s="10" t="s">
        <v>473</v>
      </c>
      <c r="B596" s="10" t="s">
        <v>131</v>
      </c>
      <c r="C596" s="41">
        <f t="array" ref="C596">IF(IFERROR(INDEX(CATALOG_POINTS,MATCH(A596,CATALOG_TASK,0)),"")="",IF(MAX(IF(IFERROR(FIND(CATALOG_BASE,A596),0)=1,CATALOG_POINTS,0))=0,DAILY_POST_POINTS,MAX(IF(IFERROR(FIND(CATALOG_BASE,A596),0)=1,CATALOG_POINTS,0))),IFERROR(INDEX(CATALOG_POINTS,MATCH(A596,CATALOG_TASK,0)),""))</f>
        <v>1</v>
      </c>
      <c r="D596" s="10" t="s">
        <v>473</v>
      </c>
      <c r="E596" s="41" t="str">
        <f t="shared" si="1"/>
        <v>PROX3</v>
      </c>
    </row>
    <row r="597" ht="15.75" customHeight="1">
      <c r="A597" s="10" t="s">
        <v>37</v>
      </c>
      <c r="B597" s="10" t="s">
        <v>126</v>
      </c>
      <c r="C597" s="41">
        <f t="array" ref="C597">IF(IFERROR(INDEX(CATALOG_POINTS,MATCH(A597,CATALOG_TASK,0)),"")="",IF(MAX(IF(IFERROR(FIND(CATALOG_BASE,A597),0)=1,CATALOG_POINTS,0))=0,DAILY_POST_POINTS,MAX(IF(IFERROR(FIND(CATALOG_BASE,A597),0)=1,CATALOG_POINTS,0))),IFERROR(INDEX(CATALOG_POINTS,MATCH(A597,CATALOG_TASK,0)),""))</f>
        <v>2</v>
      </c>
      <c r="D597" s="10" t="s">
        <v>474</v>
      </c>
      <c r="E597" s="41" t="str">
        <f t="shared" si="1"/>
        <v>PROX3</v>
      </c>
    </row>
    <row r="598" ht="15.75" customHeight="1">
      <c r="A598" s="10" t="s">
        <v>474</v>
      </c>
      <c r="B598" s="10" t="s">
        <v>135</v>
      </c>
      <c r="C598" s="41">
        <f t="array" ref="C598">IF(IFERROR(INDEX(CATALOG_POINTS,MATCH(A598,CATALOG_TASK,0)),"")="",IF(MAX(IF(IFERROR(FIND(CATALOG_BASE,A598),0)=1,CATALOG_POINTS,0))=0,DAILY_POST_POINTS,MAX(IF(IFERROR(FIND(CATALOG_BASE,A598),0)=1,CATALOG_POINTS,0))),IFERROR(INDEX(CATALOG_POINTS,MATCH(A598,CATALOG_TASK,0)),""))</f>
        <v>1</v>
      </c>
      <c r="D598" s="10" t="s">
        <v>474</v>
      </c>
      <c r="E598" s="41" t="str">
        <f t="shared" si="1"/>
        <v>PROX3</v>
      </c>
    </row>
    <row r="599" ht="15.75" customHeight="1">
      <c r="A599" s="10" t="s">
        <v>475</v>
      </c>
      <c r="B599" s="10" t="s">
        <v>123</v>
      </c>
      <c r="C599" s="41">
        <f t="array" ref="C599">IF(IFERROR(INDEX(CATALOG_POINTS,MATCH(A599,CATALOG_TASK,0)),"")="",IF(MAX(IF(IFERROR(FIND(CATALOG_BASE,A599),0)=1,CATALOG_POINTS,0))=0,DAILY_POST_POINTS,MAX(IF(IFERROR(FIND(CATALOG_BASE,A599),0)=1,CATALOG_POINTS,0))),IFERROR(INDEX(CATALOG_POINTS,MATCH(A599,CATALOG_TASK,0)),""))</f>
        <v>1</v>
      </c>
      <c r="D599" s="10" t="s">
        <v>475</v>
      </c>
      <c r="E599" s="41" t="str">
        <f t="shared" si="1"/>
        <v>PROX3</v>
      </c>
    </row>
    <row r="600" ht="15.75" customHeight="1">
      <c r="A600" s="10" t="s">
        <v>37</v>
      </c>
      <c r="B600" s="10" t="s">
        <v>124</v>
      </c>
      <c r="C600" s="41">
        <f t="array" ref="C600">IF(IFERROR(INDEX(CATALOG_POINTS,MATCH(A600,CATALOG_TASK,0)),"")="",IF(MAX(IF(IFERROR(FIND(CATALOG_BASE,A600),0)=1,CATALOG_POINTS,0))=0,DAILY_POST_POINTS,MAX(IF(IFERROR(FIND(CATALOG_BASE,A600),0)=1,CATALOG_POINTS,0))),IFERROR(INDEX(CATALOG_POINTS,MATCH(A600,CATALOG_TASK,0)),""))</f>
        <v>2</v>
      </c>
      <c r="D600" s="10" t="s">
        <v>475</v>
      </c>
      <c r="E600" s="41" t="str">
        <f t="shared" si="1"/>
        <v>PROX3</v>
      </c>
    </row>
    <row r="601" ht="15.75" customHeight="1">
      <c r="A601" s="10" t="s">
        <v>476</v>
      </c>
      <c r="B601" s="10" t="s">
        <v>124</v>
      </c>
      <c r="C601" s="41">
        <f t="array" ref="C601">IF(IFERROR(INDEX(CATALOG_POINTS,MATCH(A601,CATALOG_TASK,0)),"")="",IF(MAX(IF(IFERROR(FIND(CATALOG_BASE,A601),0)=1,CATALOG_POINTS,0))=0,DAILY_POST_POINTS,MAX(IF(IFERROR(FIND(CATALOG_BASE,A601),0)=1,CATALOG_POINTS,0))),IFERROR(INDEX(CATALOG_POINTS,MATCH(A601,CATALOG_TASK,0)),""))</f>
        <v>1</v>
      </c>
      <c r="D601" s="10" t="s">
        <v>476</v>
      </c>
      <c r="E601" s="41" t="str">
        <f t="shared" si="1"/>
        <v>PROX4</v>
      </c>
    </row>
    <row r="602" ht="15.75" customHeight="1">
      <c r="A602" s="10" t="s">
        <v>37</v>
      </c>
      <c r="B602" s="10" t="s">
        <v>127</v>
      </c>
      <c r="C602" s="41">
        <f t="array" ref="C602">IF(IFERROR(INDEX(CATALOG_POINTS,MATCH(A602,CATALOG_TASK,0)),"")="",IF(MAX(IF(IFERROR(FIND(CATALOG_BASE,A602),0)=1,CATALOG_POINTS,0))=0,DAILY_POST_POINTS,MAX(IF(IFERROR(FIND(CATALOG_BASE,A602),0)=1,CATALOG_POINTS,0))),IFERROR(INDEX(CATALOG_POINTS,MATCH(A602,CATALOG_TASK,0)),""))</f>
        <v>2</v>
      </c>
      <c r="D602" s="10" t="s">
        <v>477</v>
      </c>
      <c r="E602" s="41" t="str">
        <f t="shared" si="1"/>
        <v>PROX4</v>
      </c>
    </row>
    <row r="603" ht="15.75" customHeight="1">
      <c r="A603" s="10" t="s">
        <v>37</v>
      </c>
      <c r="B603" s="10" t="s">
        <v>122</v>
      </c>
      <c r="C603" s="41">
        <f t="array" ref="C603">IF(IFERROR(INDEX(CATALOG_POINTS,MATCH(A603,CATALOG_TASK,0)),"")="",IF(MAX(IF(IFERROR(FIND(CATALOG_BASE,A603),0)=1,CATALOG_POINTS,0))=0,DAILY_POST_POINTS,MAX(IF(IFERROR(FIND(CATALOG_BASE,A603),0)=1,CATALOG_POINTS,0))),IFERROR(INDEX(CATALOG_POINTS,MATCH(A603,CATALOG_TASK,0)),""))</f>
        <v>2</v>
      </c>
      <c r="D603" s="10" t="s">
        <v>477</v>
      </c>
      <c r="E603" s="41" t="str">
        <f t="shared" si="1"/>
        <v>PROX4</v>
      </c>
    </row>
    <row r="604" ht="15.75" customHeight="1">
      <c r="A604" s="10" t="s">
        <v>37</v>
      </c>
      <c r="B604" s="10" t="s">
        <v>127</v>
      </c>
      <c r="C604" s="41">
        <f t="array" ref="C604">IF(IFERROR(INDEX(CATALOG_POINTS,MATCH(A604,CATALOG_TASK,0)),"")="",IF(MAX(IF(IFERROR(FIND(CATALOG_BASE,A604),0)=1,CATALOG_POINTS,0))=0,DAILY_POST_POINTS,MAX(IF(IFERROR(FIND(CATALOG_BASE,A604),0)=1,CATALOG_POINTS,0))),IFERROR(INDEX(CATALOG_POINTS,MATCH(A604,CATALOG_TASK,0)),""))</f>
        <v>2</v>
      </c>
      <c r="D604" s="10" t="s">
        <v>477</v>
      </c>
      <c r="E604" s="41" t="str">
        <f t="shared" si="1"/>
        <v>PROX4</v>
      </c>
    </row>
    <row r="605" ht="15.75" customHeight="1">
      <c r="A605" s="10" t="s">
        <v>37</v>
      </c>
      <c r="B605" s="10" t="s">
        <v>122</v>
      </c>
      <c r="C605" s="41">
        <f t="array" ref="C605">IF(IFERROR(INDEX(CATALOG_POINTS,MATCH(A605,CATALOG_TASK,0)),"")="",IF(MAX(IF(IFERROR(FIND(CATALOG_BASE,A605),0)=1,CATALOG_POINTS,0))=0,DAILY_POST_POINTS,MAX(IF(IFERROR(FIND(CATALOG_BASE,A605),0)=1,CATALOG_POINTS,0))),IFERROR(INDEX(CATALOG_POINTS,MATCH(A605,CATALOG_TASK,0)),""))</f>
        <v>2</v>
      </c>
      <c r="D605" s="10" t="s">
        <v>477</v>
      </c>
      <c r="E605" s="41" t="str">
        <f t="shared" si="1"/>
        <v>PROX4</v>
      </c>
    </row>
    <row r="606" ht="15.75" customHeight="1">
      <c r="A606" s="10" t="s">
        <v>37</v>
      </c>
      <c r="B606" s="10" t="s">
        <v>120</v>
      </c>
      <c r="C606" s="41">
        <f t="array" ref="C606">IF(IFERROR(INDEX(CATALOG_POINTS,MATCH(A606,CATALOG_TASK,0)),"")="",IF(MAX(IF(IFERROR(FIND(CATALOG_BASE,A606),0)=1,CATALOG_POINTS,0))=0,DAILY_POST_POINTS,MAX(IF(IFERROR(FIND(CATALOG_BASE,A606),0)=1,CATALOG_POINTS,0))),IFERROR(INDEX(CATALOG_POINTS,MATCH(A606,CATALOG_TASK,0)),""))</f>
        <v>2</v>
      </c>
      <c r="D606" s="10" t="s">
        <v>477</v>
      </c>
      <c r="E606" s="41" t="str">
        <f t="shared" si="1"/>
        <v>PROX4</v>
      </c>
    </row>
    <row r="607" ht="15.75" customHeight="1">
      <c r="A607" s="10" t="s">
        <v>37</v>
      </c>
      <c r="B607" s="10" t="s">
        <v>117</v>
      </c>
      <c r="C607" s="41">
        <f t="array" ref="C607">IF(IFERROR(INDEX(CATALOG_POINTS,MATCH(A607,CATALOG_TASK,0)),"")="",IF(MAX(IF(IFERROR(FIND(CATALOG_BASE,A607),0)=1,CATALOG_POINTS,0))=0,DAILY_POST_POINTS,MAX(IF(IFERROR(FIND(CATALOG_BASE,A607),0)=1,CATALOG_POINTS,0))),IFERROR(INDEX(CATALOG_POINTS,MATCH(A607,CATALOG_TASK,0)),""))</f>
        <v>2</v>
      </c>
      <c r="D607" s="10" t="s">
        <v>477</v>
      </c>
      <c r="E607" s="41" t="str">
        <f t="shared" si="1"/>
        <v>PROX4</v>
      </c>
    </row>
    <row r="608" ht="15.75" customHeight="1">
      <c r="A608" s="10" t="s">
        <v>37</v>
      </c>
      <c r="B608" s="10" t="s">
        <v>123</v>
      </c>
      <c r="C608" s="41">
        <f t="array" ref="C608">IF(IFERROR(INDEX(CATALOG_POINTS,MATCH(A608,CATALOG_TASK,0)),"")="",IF(MAX(IF(IFERROR(FIND(CATALOG_BASE,A608),0)=1,CATALOG_POINTS,0))=0,DAILY_POST_POINTS,MAX(IF(IFERROR(FIND(CATALOG_BASE,A608),0)=1,CATALOG_POINTS,0))),IFERROR(INDEX(CATALOG_POINTS,MATCH(A608,CATALOG_TASK,0)),""))</f>
        <v>2</v>
      </c>
      <c r="D608" s="10" t="s">
        <v>477</v>
      </c>
      <c r="E608" s="41" t="str">
        <f t="shared" si="1"/>
        <v>PROX4</v>
      </c>
    </row>
    <row r="609" ht="15.75" customHeight="1">
      <c r="A609" s="10" t="s">
        <v>37</v>
      </c>
      <c r="B609" s="10" t="s">
        <v>128</v>
      </c>
      <c r="C609" s="41">
        <f t="array" ref="C609">IF(IFERROR(INDEX(CATALOG_POINTS,MATCH(A609,CATALOG_TASK,0)),"")="",IF(MAX(IF(IFERROR(FIND(CATALOG_BASE,A609),0)=1,CATALOG_POINTS,0))=0,DAILY_POST_POINTS,MAX(IF(IFERROR(FIND(CATALOG_BASE,A609),0)=1,CATALOG_POINTS,0))),IFERROR(INDEX(CATALOG_POINTS,MATCH(A609,CATALOG_TASK,0)),""))</f>
        <v>2</v>
      </c>
      <c r="D609" s="10" t="s">
        <v>478</v>
      </c>
      <c r="E609" s="41" t="str">
        <f t="shared" si="1"/>
        <v/>
      </c>
    </row>
    <row r="610" ht="15.75" customHeight="1">
      <c r="A610" s="10" t="s">
        <v>478</v>
      </c>
      <c r="B610" s="10" t="s">
        <v>133</v>
      </c>
      <c r="C610" s="41">
        <f t="array" ref="C610">IF(IFERROR(INDEX(CATALOG_POINTS,MATCH(A610,CATALOG_TASK,0)),"")="",IF(MAX(IF(IFERROR(FIND(CATALOG_BASE,A610),0)=1,CATALOG_POINTS,0))=0,DAILY_POST_POINTS,MAX(IF(IFERROR(FIND(CATALOG_BASE,A610),0)=1,CATALOG_POINTS,0))),IFERROR(INDEX(CATALOG_POINTS,MATCH(A610,CATALOG_TASK,0)),""))</f>
        <v>1</v>
      </c>
      <c r="D610" s="10" t="s">
        <v>478</v>
      </c>
      <c r="E610" s="41" t="str">
        <f t="shared" si="1"/>
        <v/>
      </c>
    </row>
    <row r="611" ht="15.75" customHeight="1">
      <c r="A611" s="10" t="s">
        <v>479</v>
      </c>
      <c r="B611" s="10" t="s">
        <v>129</v>
      </c>
      <c r="C611" s="41">
        <f t="array" ref="C611">IF(IFERROR(INDEX(CATALOG_POINTS,MATCH(A611,CATALOG_TASK,0)),"")="",IF(MAX(IF(IFERROR(FIND(CATALOG_BASE,A611),0)=1,CATALOG_POINTS,0))=0,DAILY_POST_POINTS,MAX(IF(IFERROR(FIND(CATALOG_BASE,A611),0)=1,CATALOG_POINTS,0))),IFERROR(INDEX(CATALOG_POINTS,MATCH(A611,CATALOG_TASK,0)),""))</f>
        <v>1</v>
      </c>
      <c r="D611" s="10" t="s">
        <v>479</v>
      </c>
      <c r="E611" s="41" t="str">
        <f t="shared" si="1"/>
        <v>E0</v>
      </c>
    </row>
    <row r="612" ht="15.75" customHeight="1">
      <c r="A612" s="10" t="s">
        <v>480</v>
      </c>
      <c r="B612" s="10" t="s">
        <v>133</v>
      </c>
      <c r="C612" s="41">
        <f t="array" ref="C612">IF(IFERROR(INDEX(CATALOG_POINTS,MATCH(A612,CATALOG_TASK,0)),"")="",IF(MAX(IF(IFERROR(FIND(CATALOG_BASE,A612),0)=1,CATALOG_POINTS,0))=0,DAILY_POST_POINTS,MAX(IF(IFERROR(FIND(CATALOG_BASE,A612),0)=1,CATALOG_POINTS,0))),IFERROR(INDEX(CATALOG_POINTS,MATCH(A612,CATALOG_TASK,0)),""))</f>
        <v>1</v>
      </c>
      <c r="D612" s="10" t="s">
        <v>480</v>
      </c>
      <c r="E612" s="41" t="str">
        <f t="shared" si="1"/>
        <v>PROX4</v>
      </c>
    </row>
    <row r="613" ht="15.75" customHeight="1">
      <c r="A613" s="10" t="s">
        <v>481</v>
      </c>
      <c r="B613" s="10" t="s">
        <v>134</v>
      </c>
      <c r="C613" s="41">
        <f t="array" ref="C613">IF(IFERROR(INDEX(CATALOG_POINTS,MATCH(A613,CATALOG_TASK,0)),"")="",IF(MAX(IF(IFERROR(FIND(CATALOG_BASE,A613),0)=1,CATALOG_POINTS,0))=0,DAILY_POST_POINTS,MAX(IF(IFERROR(FIND(CATALOG_BASE,A613),0)=1,CATALOG_POINTS,0))),IFERROR(INDEX(CATALOG_POINTS,MATCH(A613,CATALOG_TASK,0)),""))</f>
        <v>1</v>
      </c>
      <c r="D613" s="10" t="s">
        <v>481</v>
      </c>
      <c r="E613" s="41" t="str">
        <f t="shared" si="1"/>
        <v>PROX3</v>
      </c>
    </row>
    <row r="614" ht="15.75" customHeight="1">
      <c r="A614" s="10" t="s">
        <v>482</v>
      </c>
      <c r="B614" s="10" t="s">
        <v>135</v>
      </c>
      <c r="C614" s="41">
        <f t="array" ref="C614">IF(IFERROR(INDEX(CATALOG_POINTS,MATCH(A614,CATALOG_TASK,0)),"")="",IF(MAX(IF(IFERROR(FIND(CATALOG_BASE,A614),0)=1,CATALOG_POINTS,0))=0,DAILY_POST_POINTS,MAX(IF(IFERROR(FIND(CATALOG_BASE,A614),0)=1,CATALOG_POINTS,0))),IFERROR(INDEX(CATALOG_POINTS,MATCH(A614,CATALOG_TASK,0)),""))</f>
        <v>1</v>
      </c>
      <c r="D614" s="10" t="s">
        <v>482</v>
      </c>
      <c r="E614" s="41" t="str">
        <f t="shared" si="1"/>
        <v>PROX4</v>
      </c>
    </row>
    <row r="615" ht="15.75" customHeight="1">
      <c r="A615" s="10" t="s">
        <v>483</v>
      </c>
      <c r="B615" s="10" t="s">
        <v>135</v>
      </c>
      <c r="C615" s="41">
        <f t="array" ref="C615">IF(IFERROR(INDEX(CATALOG_POINTS,MATCH(A615,CATALOG_TASK,0)),"")="",IF(MAX(IF(IFERROR(FIND(CATALOG_BASE,A615),0)=1,CATALOG_POINTS,0))=0,DAILY_POST_POINTS,MAX(IF(IFERROR(FIND(CATALOG_BASE,A615),0)=1,CATALOG_POINTS,0))),IFERROR(INDEX(CATALOG_POINTS,MATCH(A615,CATALOG_TASK,0)),""))</f>
        <v>1</v>
      </c>
      <c r="D615" s="10" t="s">
        <v>483</v>
      </c>
      <c r="E615" s="41" t="str">
        <f t="shared" si="1"/>
        <v>PROX3</v>
      </c>
    </row>
    <row r="616" ht="15.75" customHeight="1">
      <c r="A616" s="10" t="s">
        <v>484</v>
      </c>
      <c r="B616" s="10" t="s">
        <v>125</v>
      </c>
      <c r="C616" s="41">
        <f t="array" ref="C616">IF(IFERROR(INDEX(CATALOG_POINTS,MATCH(A616,CATALOG_TASK,0)),"")="",IF(MAX(IF(IFERROR(FIND(CATALOG_BASE,A616),0)=1,CATALOG_POINTS,0))=0,DAILY_POST_POINTS,MAX(IF(IFERROR(FIND(CATALOG_BASE,A616),0)=1,CATALOG_POINTS,0))),IFERROR(INDEX(CATALOG_POINTS,MATCH(A616,CATALOG_TASK,0)),""))</f>
        <v>1</v>
      </c>
      <c r="D616" s="10" t="s">
        <v>484</v>
      </c>
      <c r="E616" s="41" t="str">
        <f t="shared" si="1"/>
        <v>PROX3</v>
      </c>
    </row>
    <row r="617" ht="15.75" customHeight="1">
      <c r="A617" s="10" t="s">
        <v>485</v>
      </c>
      <c r="B617" s="10" t="s">
        <v>134</v>
      </c>
      <c r="C617" s="41">
        <f t="array" ref="C617">IF(IFERROR(INDEX(CATALOG_POINTS,MATCH(A617,CATALOG_TASK,0)),"")="",IF(MAX(IF(IFERROR(FIND(CATALOG_BASE,A617),0)=1,CATALOG_POINTS,0))=0,DAILY_POST_POINTS,MAX(IF(IFERROR(FIND(CATALOG_BASE,A617),0)=1,CATALOG_POINTS,0))),IFERROR(INDEX(CATALOG_POINTS,MATCH(A617,CATALOG_TASK,0)),""))</f>
        <v>1</v>
      </c>
      <c r="D617" s="10" t="s">
        <v>485</v>
      </c>
      <c r="E617" s="41" t="str">
        <f t="shared" si="1"/>
        <v>PROX3</v>
      </c>
    </row>
    <row r="618" ht="15.75" customHeight="1">
      <c r="A618" s="10" t="s">
        <v>37</v>
      </c>
      <c r="B618" s="10" t="s">
        <v>120</v>
      </c>
      <c r="C618" s="41">
        <f t="array" ref="C618">IF(IFERROR(INDEX(CATALOG_POINTS,MATCH(A618,CATALOG_TASK,0)),"")="",IF(MAX(IF(IFERROR(FIND(CATALOG_BASE,A618),0)=1,CATALOG_POINTS,0))=0,DAILY_POST_POINTS,MAX(IF(IFERROR(FIND(CATALOG_BASE,A618),0)=1,CATALOG_POINTS,0))),IFERROR(INDEX(CATALOG_POINTS,MATCH(A618,CATALOG_TASK,0)),""))</f>
        <v>2</v>
      </c>
      <c r="D618" s="10" t="s">
        <v>485</v>
      </c>
      <c r="E618" s="41" t="str">
        <f t="shared" si="1"/>
        <v>PROX3</v>
      </c>
    </row>
    <row r="619" ht="15.75" customHeight="1">
      <c r="A619" s="10" t="s">
        <v>486</v>
      </c>
      <c r="B619" s="10" t="s">
        <v>132</v>
      </c>
      <c r="C619" s="41">
        <f t="array" ref="C619">IF(IFERROR(INDEX(CATALOG_POINTS,MATCH(A619,CATALOG_TASK,0)),"")="",IF(MAX(IF(IFERROR(FIND(CATALOG_BASE,A619),0)=1,CATALOG_POINTS,0))=0,DAILY_POST_POINTS,MAX(IF(IFERROR(FIND(CATALOG_BASE,A619),0)=1,CATALOG_POINTS,0))),IFERROR(INDEX(CATALOG_POINTS,MATCH(A619,CATALOG_TASK,0)),""))</f>
        <v>1</v>
      </c>
      <c r="D619" s="10" t="s">
        <v>486</v>
      </c>
      <c r="E619" s="41" t="str">
        <f t="shared" si="1"/>
        <v>PROX3</v>
      </c>
    </row>
    <row r="620" ht="15.75" customHeight="1">
      <c r="A620" s="10" t="s">
        <v>487</v>
      </c>
      <c r="B620" s="10" t="s">
        <v>120</v>
      </c>
      <c r="C620" s="41">
        <f t="array" ref="C620">IF(IFERROR(INDEX(CATALOG_POINTS,MATCH(A620,CATALOG_TASK,0)),"")="",IF(MAX(IF(IFERROR(FIND(CATALOG_BASE,A620),0)=1,CATALOG_POINTS,0))=0,DAILY_POST_POINTS,MAX(IF(IFERROR(FIND(CATALOG_BASE,A620),0)=1,CATALOG_POINTS,0))),IFERROR(INDEX(CATALOG_POINTS,MATCH(A620,CATALOG_TASK,0)),""))</f>
        <v>1</v>
      </c>
      <c r="D620" s="10" t="s">
        <v>487</v>
      </c>
      <c r="E620" s="41" t="str">
        <f t="shared" si="1"/>
        <v>PROX3</v>
      </c>
    </row>
    <row r="621" ht="15.75" customHeight="1">
      <c r="A621" s="10" t="s">
        <v>37</v>
      </c>
      <c r="B621" s="10" t="s">
        <v>120</v>
      </c>
      <c r="C621" s="41">
        <f t="array" ref="C621">IF(IFERROR(INDEX(CATALOG_POINTS,MATCH(A621,CATALOG_TASK,0)),"")="",IF(MAX(IF(IFERROR(FIND(CATALOG_BASE,A621),0)=1,CATALOG_POINTS,0))=0,DAILY_POST_POINTS,MAX(IF(IFERROR(FIND(CATALOG_BASE,A621),0)=1,CATALOG_POINTS,0))),IFERROR(INDEX(CATALOG_POINTS,MATCH(A621,CATALOG_TASK,0)),""))</f>
        <v>2</v>
      </c>
      <c r="D621" s="10" t="s">
        <v>487</v>
      </c>
      <c r="E621" s="41" t="str">
        <f t="shared" si="1"/>
        <v>PROX3</v>
      </c>
    </row>
    <row r="622" ht="15.75" customHeight="1">
      <c r="A622" s="10" t="s">
        <v>37</v>
      </c>
      <c r="B622" s="10" t="s">
        <v>120</v>
      </c>
      <c r="C622" s="41">
        <f t="array" ref="C622">IF(IFERROR(INDEX(CATALOG_POINTS,MATCH(A622,CATALOG_TASK,0)),"")="",IF(MAX(IF(IFERROR(FIND(CATALOG_BASE,A622),0)=1,CATALOG_POINTS,0))=0,DAILY_POST_POINTS,MAX(IF(IFERROR(FIND(CATALOG_BASE,A622),0)=1,CATALOG_POINTS,0))),IFERROR(INDEX(CATALOG_POINTS,MATCH(A622,CATALOG_TASK,0)),""))</f>
        <v>2</v>
      </c>
      <c r="D622" s="10" t="s">
        <v>487</v>
      </c>
      <c r="E622" s="41" t="str">
        <f t="shared" si="1"/>
        <v>PROX3</v>
      </c>
    </row>
    <row r="623" ht="15.75" customHeight="1">
      <c r="A623" s="10" t="s">
        <v>488</v>
      </c>
      <c r="B623" s="10" t="s">
        <v>120</v>
      </c>
      <c r="C623" s="41">
        <f t="array" ref="C623">IF(IFERROR(INDEX(CATALOG_POINTS,MATCH(A623,CATALOG_TASK,0)),"")="",IF(MAX(IF(IFERROR(FIND(CATALOG_BASE,A623),0)=1,CATALOG_POINTS,0))=0,DAILY_POST_POINTS,MAX(IF(IFERROR(FIND(CATALOG_BASE,A623),0)=1,CATALOG_POINTS,0))),IFERROR(INDEX(CATALOG_POINTS,MATCH(A623,CATALOG_TASK,0)),""))</f>
        <v>1</v>
      </c>
      <c r="D623" s="10" t="s">
        <v>488</v>
      </c>
      <c r="E623" s="41" t="str">
        <f t="shared" si="1"/>
        <v>PROX3</v>
      </c>
    </row>
    <row r="624" ht="15.75" customHeight="1">
      <c r="A624" s="10" t="s">
        <v>489</v>
      </c>
      <c r="B624" s="10" t="s">
        <v>125</v>
      </c>
      <c r="C624" s="41">
        <f t="array" ref="C624">IF(IFERROR(INDEX(CATALOG_POINTS,MATCH(A624,CATALOG_TASK,0)),"")="",IF(MAX(IF(IFERROR(FIND(CATALOG_BASE,A624),0)=1,CATALOG_POINTS,0))=0,DAILY_POST_POINTS,MAX(IF(IFERROR(FIND(CATALOG_BASE,A624),0)=1,CATALOG_POINTS,0))),IFERROR(INDEX(CATALOG_POINTS,MATCH(A624,CATALOG_TASK,0)),""))</f>
        <v>1</v>
      </c>
      <c r="D624" s="10" t="s">
        <v>489</v>
      </c>
      <c r="E624" s="41" t="str">
        <f t="shared" si="1"/>
        <v>PROX3</v>
      </c>
    </row>
    <row r="625" ht="15.75" customHeight="1">
      <c r="A625" s="10" t="s">
        <v>490</v>
      </c>
      <c r="B625" s="10" t="s">
        <v>121</v>
      </c>
      <c r="C625" s="41">
        <f t="array" ref="C625">IF(IFERROR(INDEX(CATALOG_POINTS,MATCH(A625,CATALOG_TASK,0)),"")="",IF(MAX(IF(IFERROR(FIND(CATALOG_BASE,A625),0)=1,CATALOG_POINTS,0))=0,DAILY_POST_POINTS,MAX(IF(IFERROR(FIND(CATALOG_BASE,A625),0)=1,CATALOG_POINTS,0))),IFERROR(INDEX(CATALOG_POINTS,MATCH(A625,CATALOG_TASK,0)),""))</f>
        <v>1</v>
      </c>
      <c r="D625" s="10" t="s">
        <v>490</v>
      </c>
      <c r="E625" s="41" t="str">
        <f t="shared" si="1"/>
        <v>PROX4</v>
      </c>
    </row>
    <row r="626" ht="15.75" customHeight="1">
      <c r="A626" s="10" t="s">
        <v>491</v>
      </c>
      <c r="B626" s="10" t="s">
        <v>134</v>
      </c>
      <c r="C626" s="41">
        <f t="array" ref="C626">IF(IFERROR(INDEX(CATALOG_POINTS,MATCH(A626,CATALOG_TASK,0)),"")="",IF(MAX(IF(IFERROR(FIND(CATALOG_BASE,A626),0)=1,CATALOG_POINTS,0))=0,DAILY_POST_POINTS,MAX(IF(IFERROR(FIND(CATALOG_BASE,A626),0)=1,CATALOG_POINTS,0))),IFERROR(INDEX(CATALOG_POINTS,MATCH(A626,CATALOG_TASK,0)),""))</f>
        <v>1</v>
      </c>
      <c r="D626" s="10" t="s">
        <v>491</v>
      </c>
      <c r="E626" s="41" t="str">
        <f t="shared" si="1"/>
        <v>SE1</v>
      </c>
    </row>
    <row r="627" ht="15.75" customHeight="1">
      <c r="A627" s="10" t="s">
        <v>492</v>
      </c>
      <c r="B627" s="10" t="s">
        <v>129</v>
      </c>
      <c r="C627" s="41">
        <f t="array" ref="C627">IF(IFERROR(INDEX(CATALOG_POINTS,MATCH(A627,CATALOG_TASK,0)),"")="",IF(MAX(IF(IFERROR(FIND(CATALOG_BASE,A627),0)=1,CATALOG_POINTS,0))=0,DAILY_POST_POINTS,MAX(IF(IFERROR(FIND(CATALOG_BASE,A627),0)=1,CATALOG_POINTS,0))),IFERROR(INDEX(CATALOG_POINTS,MATCH(A627,CATALOG_TASK,0)),""))</f>
        <v>1</v>
      </c>
      <c r="D627" s="10" t="s">
        <v>492</v>
      </c>
      <c r="E627" s="41" t="str">
        <f t="shared" si="1"/>
        <v>PROX3</v>
      </c>
    </row>
    <row r="628" ht="15.75" customHeight="1">
      <c r="A628" s="10" t="s">
        <v>493</v>
      </c>
      <c r="B628" s="10" t="s">
        <v>123</v>
      </c>
      <c r="C628" s="41">
        <f t="array" ref="C628">IF(IFERROR(INDEX(CATALOG_POINTS,MATCH(A628,CATALOG_TASK,0)),"")="",IF(MAX(IF(IFERROR(FIND(CATALOG_BASE,A628),0)=1,CATALOG_POINTS,0))=0,DAILY_POST_POINTS,MAX(IF(IFERROR(FIND(CATALOG_BASE,A628),0)=1,CATALOG_POINTS,0))),IFERROR(INDEX(CATALOG_POINTS,MATCH(A628,CATALOG_TASK,0)),""))</f>
        <v>1</v>
      </c>
      <c r="D628" s="10" t="s">
        <v>493</v>
      </c>
      <c r="E628" s="41" t="str">
        <f t="shared" si="1"/>
        <v>E0</v>
      </c>
    </row>
    <row r="629" ht="15.75" customHeight="1">
      <c r="A629" s="10" t="s">
        <v>494</v>
      </c>
      <c r="B629" s="10" t="s">
        <v>117</v>
      </c>
      <c r="C629" s="41">
        <f t="array" ref="C629">IF(IFERROR(INDEX(CATALOG_POINTS,MATCH(A629,CATALOG_TASK,0)),"")="",IF(MAX(IF(IFERROR(FIND(CATALOG_BASE,A629),0)=1,CATALOG_POINTS,0))=0,DAILY_POST_POINTS,MAX(IF(IFERROR(FIND(CATALOG_BASE,A629),0)=1,CATALOG_POINTS,0))),IFERROR(INDEX(CATALOG_POINTS,MATCH(A629,CATALOG_TASK,0)),""))</f>
        <v>1</v>
      </c>
      <c r="D629" s="10" t="s">
        <v>494</v>
      </c>
      <c r="E629" s="41" t="str">
        <f t="shared" si="1"/>
        <v>PROX3</v>
      </c>
    </row>
    <row r="630" ht="15.75" customHeight="1">
      <c r="A630" s="10" t="s">
        <v>495</v>
      </c>
      <c r="B630" s="10" t="s">
        <v>127</v>
      </c>
      <c r="C630" s="41">
        <f t="array" ref="C630">IF(IFERROR(INDEX(CATALOG_POINTS,MATCH(A630,CATALOG_TASK,0)),"")="",IF(MAX(IF(IFERROR(FIND(CATALOG_BASE,A630),0)=1,CATALOG_POINTS,0))=0,DAILY_POST_POINTS,MAX(IF(IFERROR(FIND(CATALOG_BASE,A630),0)=1,CATALOG_POINTS,0))),IFERROR(INDEX(CATALOG_POINTS,MATCH(A630,CATALOG_TASK,0)),""))</f>
        <v>1</v>
      </c>
      <c r="D630" s="10" t="s">
        <v>495</v>
      </c>
      <c r="E630" s="41" t="str">
        <f t="shared" si="1"/>
        <v>PROX3</v>
      </c>
    </row>
    <row r="631" ht="15.75" customHeight="1">
      <c r="A631" s="10" t="s">
        <v>496</v>
      </c>
      <c r="B631" s="10" t="s">
        <v>136</v>
      </c>
      <c r="C631" s="41">
        <f t="array" ref="C631">IF(IFERROR(INDEX(CATALOG_POINTS,MATCH(A631,CATALOG_TASK,0)),"")="",IF(MAX(IF(IFERROR(FIND(CATALOG_BASE,A631),0)=1,CATALOG_POINTS,0))=0,DAILY_POST_POINTS,MAX(IF(IFERROR(FIND(CATALOG_BASE,A631),0)=1,CATALOG_POINTS,0))),IFERROR(INDEX(CATALOG_POINTS,MATCH(A631,CATALOG_TASK,0)),""))</f>
        <v>1</v>
      </c>
      <c r="D631" s="10" t="s">
        <v>496</v>
      </c>
      <c r="E631" s="41" t="str">
        <f t="shared" si="1"/>
        <v>PROX3</v>
      </c>
    </row>
    <row r="632" ht="15.75" customHeight="1">
      <c r="A632" s="10" t="s">
        <v>37</v>
      </c>
      <c r="B632" s="10" t="s">
        <v>120</v>
      </c>
      <c r="C632" s="41">
        <f t="array" ref="C632">IF(IFERROR(INDEX(CATALOG_POINTS,MATCH(A632,CATALOG_TASK,0)),"")="",IF(MAX(IF(IFERROR(FIND(CATALOG_BASE,A632),0)=1,CATALOG_POINTS,0))=0,DAILY_POST_POINTS,MAX(IF(IFERROR(FIND(CATALOG_BASE,A632),0)=1,CATALOG_POINTS,0))),IFERROR(INDEX(CATALOG_POINTS,MATCH(A632,CATALOG_TASK,0)),""))</f>
        <v>2</v>
      </c>
      <c r="D632" s="10" t="s">
        <v>497</v>
      </c>
      <c r="E632" s="41" t="str">
        <f t="shared" si="1"/>
        <v>PROX3</v>
      </c>
    </row>
    <row r="633" ht="15.75" customHeight="1">
      <c r="A633" s="10" t="s">
        <v>497</v>
      </c>
      <c r="B633" s="10" t="s">
        <v>131</v>
      </c>
      <c r="C633" s="41">
        <f t="array" ref="C633">IF(IFERROR(INDEX(CATALOG_POINTS,MATCH(A633,CATALOG_TASK,0)),"")="",IF(MAX(IF(IFERROR(FIND(CATALOG_BASE,A633),0)=1,CATALOG_POINTS,0))=0,DAILY_POST_POINTS,MAX(IF(IFERROR(FIND(CATALOG_BASE,A633),0)=1,CATALOG_POINTS,0))),IFERROR(INDEX(CATALOG_POINTS,MATCH(A633,CATALOG_TASK,0)),""))</f>
        <v>1</v>
      </c>
      <c r="D633" s="10" t="s">
        <v>497</v>
      </c>
      <c r="E633" s="41" t="str">
        <f t="shared" si="1"/>
        <v>PROX3</v>
      </c>
    </row>
    <row r="634" ht="15.75" customHeight="1">
      <c r="A634" s="10" t="s">
        <v>37</v>
      </c>
      <c r="B634" s="10" t="s">
        <v>122</v>
      </c>
      <c r="C634" s="41">
        <f t="array" ref="C634">IF(IFERROR(INDEX(CATALOG_POINTS,MATCH(A634,CATALOG_TASK,0)),"")="",IF(MAX(IF(IFERROR(FIND(CATALOG_BASE,A634),0)=1,CATALOG_POINTS,0))=0,DAILY_POST_POINTS,MAX(IF(IFERROR(FIND(CATALOG_BASE,A634),0)=1,CATALOG_POINTS,0))),IFERROR(INDEX(CATALOG_POINTS,MATCH(A634,CATALOG_TASK,0)),""))</f>
        <v>2</v>
      </c>
      <c r="D634" s="10" t="s">
        <v>497</v>
      </c>
      <c r="E634" s="41" t="str">
        <f t="shared" si="1"/>
        <v>PROX3</v>
      </c>
    </row>
    <row r="635" ht="15.75" customHeight="1">
      <c r="A635" s="10" t="s">
        <v>498</v>
      </c>
      <c r="B635" s="10" t="s">
        <v>123</v>
      </c>
      <c r="C635" s="41">
        <f t="array" ref="C635">IF(IFERROR(INDEX(CATALOG_POINTS,MATCH(A635,CATALOG_TASK,0)),"")="",IF(MAX(IF(IFERROR(FIND(CATALOG_BASE,A635),0)=1,CATALOG_POINTS,0))=0,DAILY_POST_POINTS,MAX(IF(IFERROR(FIND(CATALOG_BASE,A635),0)=1,CATALOG_POINTS,0))),IFERROR(INDEX(CATALOG_POINTS,MATCH(A635,CATALOG_TASK,0)),""))</f>
        <v>1</v>
      </c>
      <c r="D635" s="10" t="s">
        <v>498</v>
      </c>
      <c r="E635" s="41" t="str">
        <f t="shared" si="1"/>
        <v>E0</v>
      </c>
    </row>
    <row r="636" ht="15.75" customHeight="1">
      <c r="A636" s="10" t="s">
        <v>499</v>
      </c>
      <c r="B636" s="10" t="s">
        <v>117</v>
      </c>
      <c r="C636" s="41">
        <f t="array" ref="C636">IF(IFERROR(INDEX(CATALOG_POINTS,MATCH(A636,CATALOG_TASK,0)),"")="",IF(MAX(IF(IFERROR(FIND(CATALOG_BASE,A636),0)=1,CATALOG_POINTS,0))=0,DAILY_POST_POINTS,MAX(IF(IFERROR(FIND(CATALOG_BASE,A636),0)=1,CATALOG_POINTS,0))),IFERROR(INDEX(CATALOG_POINTS,MATCH(A636,CATALOG_TASK,0)),""))</f>
        <v>1</v>
      </c>
      <c r="D636" s="10" t="s">
        <v>499</v>
      </c>
      <c r="E636" s="41" t="str">
        <f t="shared" si="1"/>
        <v>PROX3</v>
      </c>
    </row>
    <row r="637" ht="15.75" customHeight="1">
      <c r="A637" s="10" t="s">
        <v>500</v>
      </c>
      <c r="B637" s="10" t="s">
        <v>117</v>
      </c>
      <c r="C637" s="41">
        <f t="array" ref="C637">IF(IFERROR(INDEX(CATALOG_POINTS,MATCH(A637,CATALOG_TASK,0)),"")="",IF(MAX(IF(IFERROR(FIND(CATALOG_BASE,A637),0)=1,CATALOG_POINTS,0))=0,DAILY_POST_POINTS,MAX(IF(IFERROR(FIND(CATALOG_BASE,A637),0)=1,CATALOG_POINTS,0))),IFERROR(INDEX(CATALOG_POINTS,MATCH(A637,CATALOG_TASK,0)),""))</f>
        <v>1</v>
      </c>
      <c r="D637" s="10" t="s">
        <v>499</v>
      </c>
      <c r="E637" s="41" t="str">
        <f t="shared" si="1"/>
        <v>PROX3</v>
      </c>
    </row>
    <row r="638" ht="15.75" customHeight="1">
      <c r="A638" s="10" t="s">
        <v>168</v>
      </c>
      <c r="B638" s="10" t="s">
        <v>120</v>
      </c>
      <c r="C638" s="41">
        <f t="array" ref="C638">IF(IFERROR(INDEX(CATALOG_POINTS,MATCH(A638,CATALOG_TASK,0)),"")="",IF(MAX(IF(IFERROR(FIND(CATALOG_BASE,A638),0)=1,CATALOG_POINTS,0))=0,DAILY_POST_POINTS,MAX(IF(IFERROR(FIND(CATALOG_BASE,A638),0)=1,CATALOG_POINTS,0))),IFERROR(INDEX(CATALOG_POINTS,MATCH(A638,CATALOG_TASK,0)),""))</f>
        <v>1</v>
      </c>
      <c r="D638" s="10" t="s">
        <v>501</v>
      </c>
      <c r="E638" s="41" t="str">
        <f t="shared" si="1"/>
        <v>PROX3</v>
      </c>
    </row>
    <row r="639" ht="15.75" customHeight="1">
      <c r="A639" s="10" t="s">
        <v>34</v>
      </c>
      <c r="B639" s="10" t="s">
        <v>125</v>
      </c>
      <c r="C639" s="41">
        <f t="array" ref="C639">IF(IFERROR(INDEX(CATALOG_POINTS,MATCH(A639,CATALOG_TASK,0)),"")="",IF(MAX(IF(IFERROR(FIND(CATALOG_BASE,A639),0)=1,CATALOG_POINTS,0))=0,DAILY_POST_POINTS,MAX(IF(IFERROR(FIND(CATALOG_BASE,A639),0)=1,CATALOG_POINTS,0))),IFERROR(INDEX(CATALOG_POINTS,MATCH(A639,CATALOG_TASK,0)),""))</f>
        <v>2</v>
      </c>
      <c r="D639" s="10" t="s">
        <v>501</v>
      </c>
      <c r="E639" s="41" t="str">
        <f t="shared" si="1"/>
        <v>PROX3</v>
      </c>
    </row>
    <row r="640" ht="15.75" customHeight="1">
      <c r="A640" s="10" t="s">
        <v>37</v>
      </c>
      <c r="B640" s="10" t="s">
        <v>120</v>
      </c>
      <c r="C640" s="41">
        <f t="array" ref="C640">IF(IFERROR(INDEX(CATALOG_POINTS,MATCH(A640,CATALOG_TASK,0)),"")="",IF(MAX(IF(IFERROR(FIND(CATALOG_BASE,A640),0)=1,CATALOG_POINTS,0))=0,DAILY_POST_POINTS,MAX(IF(IFERROR(FIND(CATALOG_BASE,A640),0)=1,CATALOG_POINTS,0))),IFERROR(INDEX(CATALOG_POINTS,MATCH(A640,CATALOG_TASK,0)),""))</f>
        <v>2</v>
      </c>
      <c r="D640" s="10" t="s">
        <v>501</v>
      </c>
      <c r="E640" s="41" t="str">
        <f t="shared" si="1"/>
        <v>PROX3</v>
      </c>
    </row>
    <row r="641" ht="15.75" customHeight="1">
      <c r="A641" s="10" t="s">
        <v>52</v>
      </c>
      <c r="B641" s="10" t="s">
        <v>141</v>
      </c>
      <c r="C641" s="41">
        <f t="array" ref="C641">IF(IFERROR(INDEX(CATALOG_POINTS,MATCH(A641,CATALOG_TASK,0)),"")="",IF(MAX(IF(IFERROR(FIND(CATALOG_BASE,A641),0)=1,CATALOG_POINTS,0))=0,DAILY_POST_POINTS,MAX(IF(IFERROR(FIND(CATALOG_BASE,A641),0)=1,CATALOG_POINTS,0))),IFERROR(INDEX(CATALOG_POINTS,MATCH(A641,CATALOG_TASK,0)),""))</f>
        <v>10</v>
      </c>
      <c r="D641" s="10" t="s">
        <v>501</v>
      </c>
      <c r="E641" s="41" t="str">
        <f t="shared" si="1"/>
        <v>PROX3</v>
      </c>
    </row>
    <row r="642" ht="15.75" customHeight="1">
      <c r="A642" s="10" t="s">
        <v>168</v>
      </c>
      <c r="B642" s="10" t="s">
        <v>149</v>
      </c>
      <c r="C642" s="41">
        <f t="array" ref="C642">IF(IFERROR(INDEX(CATALOG_POINTS,MATCH(A642,CATALOG_TASK,0)),"")="",IF(MAX(IF(IFERROR(FIND(CATALOG_BASE,A642),0)=1,CATALOG_POINTS,0))=0,DAILY_POST_POINTS,MAX(IF(IFERROR(FIND(CATALOG_BASE,A642),0)=1,CATALOG_POINTS,0))),IFERROR(INDEX(CATALOG_POINTS,MATCH(A642,CATALOG_TASK,0)),""))</f>
        <v>1</v>
      </c>
      <c r="D642" s="10" t="s">
        <v>501</v>
      </c>
      <c r="E642" s="41" t="str">
        <f t="shared" si="1"/>
        <v>PROX3</v>
      </c>
    </row>
    <row r="643" ht="15.75" customHeight="1">
      <c r="A643" s="10" t="s">
        <v>37</v>
      </c>
      <c r="B643" s="10" t="s">
        <v>128</v>
      </c>
      <c r="C643" s="41">
        <f t="array" ref="C643">IF(IFERROR(INDEX(CATALOG_POINTS,MATCH(A643,CATALOG_TASK,0)),"")="",IF(MAX(IF(IFERROR(FIND(CATALOG_BASE,A643),0)=1,CATALOG_POINTS,0))=0,DAILY_POST_POINTS,MAX(IF(IFERROR(FIND(CATALOG_BASE,A643),0)=1,CATALOG_POINTS,0))),IFERROR(INDEX(CATALOG_POINTS,MATCH(A643,CATALOG_TASK,0)),""))</f>
        <v>2</v>
      </c>
      <c r="D643" s="10" t="s">
        <v>501</v>
      </c>
      <c r="E643" s="41" t="str">
        <f t="shared" si="1"/>
        <v>PROX3</v>
      </c>
    </row>
    <row r="644" ht="15.75" customHeight="1">
      <c r="A644" s="10" t="s">
        <v>168</v>
      </c>
      <c r="B644" s="10" t="s">
        <v>125</v>
      </c>
      <c r="C644" s="41">
        <f t="array" ref="C644">IF(IFERROR(INDEX(CATALOG_POINTS,MATCH(A644,CATALOG_TASK,0)),"")="",IF(MAX(IF(IFERROR(FIND(CATALOG_BASE,A644),0)=1,CATALOG_POINTS,0))=0,DAILY_POST_POINTS,MAX(IF(IFERROR(FIND(CATALOG_BASE,A644),0)=1,CATALOG_POINTS,0))),IFERROR(INDEX(CATALOG_POINTS,MATCH(A644,CATALOG_TASK,0)),""))</f>
        <v>1</v>
      </c>
      <c r="D644" s="10" t="s">
        <v>501</v>
      </c>
      <c r="E644" s="41" t="str">
        <f t="shared" si="1"/>
        <v>PROX3</v>
      </c>
    </row>
    <row r="645" ht="15.75" customHeight="1">
      <c r="A645" s="10" t="s">
        <v>37</v>
      </c>
      <c r="B645" s="10" t="s">
        <v>117</v>
      </c>
      <c r="C645" s="41">
        <f t="array" ref="C645">IF(IFERROR(INDEX(CATALOG_POINTS,MATCH(A645,CATALOG_TASK,0)),"")="",IF(MAX(IF(IFERROR(FIND(CATALOG_BASE,A645),0)=1,CATALOG_POINTS,0))=0,DAILY_POST_POINTS,MAX(IF(IFERROR(FIND(CATALOG_BASE,A645),0)=1,CATALOG_POINTS,0))),IFERROR(INDEX(CATALOG_POINTS,MATCH(A645,CATALOG_TASK,0)),""))</f>
        <v>2</v>
      </c>
      <c r="D645" s="10" t="s">
        <v>501</v>
      </c>
      <c r="E645" s="41" t="str">
        <f t="shared" si="1"/>
        <v>PROX3</v>
      </c>
    </row>
    <row r="646" ht="15.75" customHeight="1">
      <c r="A646" s="10" t="s">
        <v>501</v>
      </c>
      <c r="B646" s="10" t="s">
        <v>127</v>
      </c>
      <c r="C646" s="41">
        <f t="array" ref="C646">IF(IFERROR(INDEX(CATALOG_POINTS,MATCH(A646,CATALOG_TASK,0)),"")="",IF(MAX(IF(IFERROR(FIND(CATALOG_BASE,A646),0)=1,CATALOG_POINTS,0))=0,DAILY_POST_POINTS,MAX(IF(IFERROR(FIND(CATALOG_BASE,A646),0)=1,CATALOG_POINTS,0))),IFERROR(INDEX(CATALOG_POINTS,MATCH(A646,CATALOG_TASK,0)),""))</f>
        <v>1</v>
      </c>
      <c r="D646" s="10" t="s">
        <v>501</v>
      </c>
      <c r="E646" s="41" t="str">
        <f t="shared" si="1"/>
        <v>PROX3</v>
      </c>
    </row>
    <row r="647" ht="15.75" customHeight="1">
      <c r="A647" s="10" t="s">
        <v>37</v>
      </c>
      <c r="B647" s="10" t="s">
        <v>123</v>
      </c>
      <c r="C647" s="41">
        <f t="array" ref="C647">IF(IFERROR(INDEX(CATALOG_POINTS,MATCH(A647,CATALOG_TASK,0)),"")="",IF(MAX(IF(IFERROR(FIND(CATALOG_BASE,A647),0)=1,CATALOG_POINTS,0))=0,DAILY_POST_POINTS,MAX(IF(IFERROR(FIND(CATALOG_BASE,A647),0)=1,CATALOG_POINTS,0))),IFERROR(INDEX(CATALOG_POINTS,MATCH(A647,CATALOG_TASK,0)),""))</f>
        <v>2</v>
      </c>
      <c r="D647" s="10" t="s">
        <v>501</v>
      </c>
      <c r="E647" s="41" t="str">
        <f t="shared" si="1"/>
        <v>PROX3</v>
      </c>
    </row>
    <row r="648" ht="15.75" customHeight="1">
      <c r="A648" s="10" t="s">
        <v>502</v>
      </c>
      <c r="B648" s="10" t="s">
        <v>126</v>
      </c>
      <c r="C648" s="41">
        <f t="array" ref="C648">IF(IFERROR(INDEX(CATALOG_POINTS,MATCH(A648,CATALOG_TASK,0)),"")="",IF(MAX(IF(IFERROR(FIND(CATALOG_BASE,A648),0)=1,CATALOG_POINTS,0))=0,DAILY_POST_POINTS,MAX(IF(IFERROR(FIND(CATALOG_BASE,A648),0)=1,CATALOG_POINTS,0))),IFERROR(INDEX(CATALOG_POINTS,MATCH(A648,CATALOG_TASK,0)),""))</f>
        <v>1</v>
      </c>
      <c r="D648" s="10" t="s">
        <v>502</v>
      </c>
      <c r="E648" s="41" t="str">
        <f t="shared" si="1"/>
        <v>PROX4</v>
      </c>
    </row>
    <row r="649" ht="15.75" customHeight="1">
      <c r="A649" s="10" t="s">
        <v>503</v>
      </c>
      <c r="B649" s="10" t="s">
        <v>125</v>
      </c>
      <c r="C649" s="41">
        <f t="array" ref="C649">IF(IFERROR(INDEX(CATALOG_POINTS,MATCH(A649,CATALOG_TASK,0)),"")="",IF(MAX(IF(IFERROR(FIND(CATALOG_BASE,A649),0)=1,CATALOG_POINTS,0))=0,DAILY_POST_POINTS,MAX(IF(IFERROR(FIND(CATALOG_BASE,A649),0)=1,CATALOG_POINTS,0))),IFERROR(INDEX(CATALOG_POINTS,MATCH(A649,CATALOG_TASK,0)),""))</f>
        <v>1</v>
      </c>
      <c r="D649" s="10" t="s">
        <v>503</v>
      </c>
      <c r="E649" s="41" t="str">
        <f t="shared" si="1"/>
        <v>PROX3</v>
      </c>
    </row>
    <row r="650" ht="15.75" customHeight="1">
      <c r="A650" s="10" t="s">
        <v>504</v>
      </c>
      <c r="B650" s="10" t="s">
        <v>119</v>
      </c>
      <c r="C650" s="41">
        <f t="array" ref="C650">IF(IFERROR(INDEX(CATALOG_POINTS,MATCH(A650,CATALOG_TASK,0)),"")="",IF(MAX(IF(IFERROR(FIND(CATALOG_BASE,A650),0)=1,CATALOG_POINTS,0))=0,DAILY_POST_POINTS,MAX(IF(IFERROR(FIND(CATALOG_BASE,A650),0)=1,CATALOG_POINTS,0))),IFERROR(INDEX(CATALOG_POINTS,MATCH(A650,CATALOG_TASK,0)),""))</f>
        <v>1</v>
      </c>
      <c r="D650" s="10" t="s">
        <v>504</v>
      </c>
      <c r="E650" s="41" t="str">
        <f t="shared" si="1"/>
        <v>PROX3</v>
      </c>
    </row>
    <row r="651" ht="15.75" customHeight="1">
      <c r="A651" s="10" t="s">
        <v>505</v>
      </c>
      <c r="B651" s="10" t="s">
        <v>125</v>
      </c>
      <c r="C651" s="41">
        <f t="array" ref="C651">IF(IFERROR(INDEX(CATALOG_POINTS,MATCH(A651,CATALOG_TASK,0)),"")="",IF(MAX(IF(IFERROR(FIND(CATALOG_BASE,A651),0)=1,CATALOG_POINTS,0))=0,DAILY_POST_POINTS,MAX(IF(IFERROR(FIND(CATALOG_BASE,A651),0)=1,CATALOG_POINTS,0))),IFERROR(INDEX(CATALOG_POINTS,MATCH(A651,CATALOG_TASK,0)),""))</f>
        <v>1</v>
      </c>
      <c r="D651" s="10" t="s">
        <v>505</v>
      </c>
      <c r="E651" s="41" t="str">
        <f t="shared" si="1"/>
        <v>PROX3</v>
      </c>
    </row>
    <row r="652" ht="15.75" customHeight="1">
      <c r="A652" s="10" t="s">
        <v>37</v>
      </c>
      <c r="B652" s="10" t="s">
        <v>128</v>
      </c>
      <c r="C652" s="41">
        <f t="array" ref="C652">IF(IFERROR(INDEX(CATALOG_POINTS,MATCH(A652,CATALOG_TASK,0)),"")="",IF(MAX(IF(IFERROR(FIND(CATALOG_BASE,A652),0)=1,CATALOG_POINTS,0))=0,DAILY_POST_POINTS,MAX(IF(IFERROR(FIND(CATALOG_BASE,A652),0)=1,CATALOG_POINTS,0))),IFERROR(INDEX(CATALOG_POINTS,MATCH(A652,CATALOG_TASK,0)),""))</f>
        <v>2</v>
      </c>
      <c r="D652" s="10" t="s">
        <v>506</v>
      </c>
      <c r="E652" s="41" t="str">
        <f t="shared" si="1"/>
        <v>PROX5</v>
      </c>
    </row>
    <row r="653" ht="15.75" customHeight="1">
      <c r="A653" s="10" t="s">
        <v>506</v>
      </c>
      <c r="B653" s="10" t="s">
        <v>132</v>
      </c>
      <c r="C653" s="41">
        <f t="array" ref="C653">IF(IFERROR(INDEX(CATALOG_POINTS,MATCH(A653,CATALOG_TASK,0)),"")="",IF(MAX(IF(IFERROR(FIND(CATALOG_BASE,A653),0)=1,CATALOG_POINTS,0))=0,DAILY_POST_POINTS,MAX(IF(IFERROR(FIND(CATALOG_BASE,A653),0)=1,CATALOG_POINTS,0))),IFERROR(INDEX(CATALOG_POINTS,MATCH(A653,CATALOG_TASK,0)),""))</f>
        <v>1</v>
      </c>
      <c r="D653" s="10" t="s">
        <v>506</v>
      </c>
      <c r="E653" s="41" t="str">
        <f t="shared" si="1"/>
        <v>PROX5</v>
      </c>
    </row>
    <row r="654" ht="15.75" customHeight="1">
      <c r="A654" s="10" t="s">
        <v>37</v>
      </c>
      <c r="B654" s="10" t="s">
        <v>122</v>
      </c>
      <c r="C654" s="41">
        <f t="array" ref="C654">IF(IFERROR(INDEX(CATALOG_POINTS,MATCH(A654,CATALOG_TASK,0)),"")="",IF(MAX(IF(IFERROR(FIND(CATALOG_BASE,A654),0)=1,CATALOG_POINTS,0))=0,DAILY_POST_POINTS,MAX(IF(IFERROR(FIND(CATALOG_BASE,A654),0)=1,CATALOG_POINTS,0))),IFERROR(INDEX(CATALOG_POINTS,MATCH(A654,CATALOG_TASK,0)),""))</f>
        <v>2</v>
      </c>
      <c r="D654" s="10" t="s">
        <v>507</v>
      </c>
      <c r="E654" s="41" t="str">
        <f t="shared" si="1"/>
        <v>PROX4</v>
      </c>
    </row>
    <row r="655" ht="15.75" customHeight="1">
      <c r="A655" s="10" t="s">
        <v>168</v>
      </c>
      <c r="B655" s="10" t="s">
        <v>120</v>
      </c>
      <c r="C655" s="41">
        <f t="array" ref="C655">IF(IFERROR(INDEX(CATALOG_POINTS,MATCH(A655,CATALOG_TASK,0)),"")="",IF(MAX(IF(IFERROR(FIND(CATALOG_BASE,A655),0)=1,CATALOG_POINTS,0))=0,DAILY_POST_POINTS,MAX(IF(IFERROR(FIND(CATALOG_BASE,A655),0)=1,CATALOG_POINTS,0))),IFERROR(INDEX(CATALOG_POINTS,MATCH(A655,CATALOG_TASK,0)),""))</f>
        <v>1</v>
      </c>
      <c r="D655" s="10" t="s">
        <v>507</v>
      </c>
      <c r="E655" s="41" t="str">
        <f t="shared" si="1"/>
        <v>PROX4</v>
      </c>
    </row>
    <row r="656" ht="15.75" customHeight="1">
      <c r="A656" s="10" t="s">
        <v>37</v>
      </c>
      <c r="B656" s="10" t="s">
        <v>123</v>
      </c>
      <c r="C656" s="41">
        <f t="array" ref="C656">IF(IFERROR(INDEX(CATALOG_POINTS,MATCH(A656,CATALOG_TASK,0)),"")="",IF(MAX(IF(IFERROR(FIND(CATALOG_BASE,A656),0)=1,CATALOG_POINTS,0))=0,DAILY_POST_POINTS,MAX(IF(IFERROR(FIND(CATALOG_BASE,A656),0)=1,CATALOG_POINTS,0))),IFERROR(INDEX(CATALOG_POINTS,MATCH(A656,CATALOG_TASK,0)),""))</f>
        <v>2</v>
      </c>
      <c r="D656" s="10" t="s">
        <v>507</v>
      </c>
      <c r="E656" s="41" t="str">
        <f t="shared" si="1"/>
        <v>PROX4</v>
      </c>
    </row>
    <row r="657" ht="15.75" customHeight="1">
      <c r="A657" s="10" t="s">
        <v>37</v>
      </c>
      <c r="B657" s="10" t="s">
        <v>122</v>
      </c>
      <c r="C657" s="41">
        <f t="array" ref="C657">IF(IFERROR(INDEX(CATALOG_POINTS,MATCH(A657,CATALOG_TASK,0)),"")="",IF(MAX(IF(IFERROR(FIND(CATALOG_BASE,A657),0)=1,CATALOG_POINTS,0))=0,DAILY_POST_POINTS,MAX(IF(IFERROR(FIND(CATALOG_BASE,A657),0)=1,CATALOG_POINTS,0))),IFERROR(INDEX(CATALOG_POINTS,MATCH(A657,CATALOG_TASK,0)),""))</f>
        <v>2</v>
      </c>
      <c r="D657" s="10" t="s">
        <v>507</v>
      </c>
      <c r="E657" s="41" t="str">
        <f t="shared" si="1"/>
        <v>PROX4</v>
      </c>
    </row>
    <row r="658" ht="15.75" customHeight="1">
      <c r="A658" s="10" t="s">
        <v>37</v>
      </c>
      <c r="B658" s="10" t="s">
        <v>119</v>
      </c>
      <c r="C658" s="41">
        <f t="array" ref="C658">IF(IFERROR(INDEX(CATALOG_POINTS,MATCH(A658,CATALOG_TASK,0)),"")="",IF(MAX(IF(IFERROR(FIND(CATALOG_BASE,A658),0)=1,CATALOG_POINTS,0))=0,DAILY_POST_POINTS,MAX(IF(IFERROR(FIND(CATALOG_BASE,A658),0)=1,CATALOG_POINTS,0))),IFERROR(INDEX(CATALOG_POINTS,MATCH(A658,CATALOG_TASK,0)),""))</f>
        <v>2</v>
      </c>
      <c r="D658" s="10" t="s">
        <v>507</v>
      </c>
      <c r="E658" s="41" t="str">
        <f t="shared" si="1"/>
        <v>PROX4</v>
      </c>
    </row>
    <row r="659" ht="15.75" customHeight="1">
      <c r="A659" s="10" t="s">
        <v>168</v>
      </c>
      <c r="B659" s="10" t="s">
        <v>122</v>
      </c>
      <c r="C659" s="41">
        <f t="array" ref="C659">IF(IFERROR(INDEX(CATALOG_POINTS,MATCH(A659,CATALOG_TASK,0)),"")="",IF(MAX(IF(IFERROR(FIND(CATALOG_BASE,A659),0)=1,CATALOG_POINTS,0))=0,DAILY_POST_POINTS,MAX(IF(IFERROR(FIND(CATALOG_BASE,A659),0)=1,CATALOG_POINTS,0))),IFERROR(INDEX(CATALOG_POINTS,MATCH(A659,CATALOG_TASK,0)),""))</f>
        <v>1</v>
      </c>
      <c r="D659" s="10" t="s">
        <v>507</v>
      </c>
      <c r="E659" s="41" t="str">
        <f t="shared" si="1"/>
        <v>PROX4</v>
      </c>
    </row>
    <row r="660" ht="15.75" customHeight="1">
      <c r="A660" s="10" t="s">
        <v>168</v>
      </c>
      <c r="B660" s="10" t="s">
        <v>117</v>
      </c>
      <c r="C660" s="41">
        <f t="array" ref="C660">IF(IFERROR(INDEX(CATALOG_POINTS,MATCH(A660,CATALOG_TASK,0)),"")="",IF(MAX(IF(IFERROR(FIND(CATALOG_BASE,A660),0)=1,CATALOG_POINTS,0))=0,DAILY_POST_POINTS,MAX(IF(IFERROR(FIND(CATALOG_BASE,A660),0)=1,CATALOG_POINTS,0))),IFERROR(INDEX(CATALOG_POINTS,MATCH(A660,CATALOG_TASK,0)),""))</f>
        <v>1</v>
      </c>
      <c r="D660" s="10" t="s">
        <v>507</v>
      </c>
      <c r="E660" s="41" t="str">
        <f t="shared" si="1"/>
        <v>PROX4</v>
      </c>
    </row>
    <row r="661" ht="15.75" customHeight="1">
      <c r="A661" s="10" t="s">
        <v>168</v>
      </c>
      <c r="B661" s="10" t="s">
        <v>120</v>
      </c>
      <c r="C661" s="41">
        <f t="array" ref="C661">IF(IFERROR(INDEX(CATALOG_POINTS,MATCH(A661,CATALOG_TASK,0)),"")="",IF(MAX(IF(IFERROR(FIND(CATALOG_BASE,A661),0)=1,CATALOG_POINTS,0))=0,DAILY_POST_POINTS,MAX(IF(IFERROR(FIND(CATALOG_BASE,A661),0)=1,CATALOG_POINTS,0))),IFERROR(INDEX(CATALOG_POINTS,MATCH(A661,CATALOG_TASK,0)),""))</f>
        <v>1</v>
      </c>
      <c r="D661" s="10" t="s">
        <v>507</v>
      </c>
      <c r="E661" s="41" t="str">
        <f t="shared" si="1"/>
        <v>PROX4</v>
      </c>
    </row>
    <row r="662" ht="15.75" customHeight="1">
      <c r="A662" s="10" t="s">
        <v>37</v>
      </c>
      <c r="B662" s="10" t="s">
        <v>122</v>
      </c>
      <c r="C662" s="41">
        <f t="array" ref="C662">IF(IFERROR(INDEX(CATALOG_POINTS,MATCH(A662,CATALOG_TASK,0)),"")="",IF(MAX(IF(IFERROR(FIND(CATALOG_BASE,A662),0)=1,CATALOG_POINTS,0))=0,DAILY_POST_POINTS,MAX(IF(IFERROR(FIND(CATALOG_BASE,A662),0)=1,CATALOG_POINTS,0))),IFERROR(INDEX(CATALOG_POINTS,MATCH(A662,CATALOG_TASK,0)),""))</f>
        <v>2</v>
      </c>
      <c r="D662" s="10" t="s">
        <v>507</v>
      </c>
      <c r="E662" s="41" t="str">
        <f t="shared" si="1"/>
        <v>PROX4</v>
      </c>
    </row>
    <row r="663" ht="15.75" customHeight="1">
      <c r="A663" s="10" t="s">
        <v>168</v>
      </c>
      <c r="B663" s="10" t="s">
        <v>122</v>
      </c>
      <c r="C663" s="41">
        <f t="array" ref="C663">IF(IFERROR(INDEX(CATALOG_POINTS,MATCH(A663,CATALOG_TASK,0)),"")="",IF(MAX(IF(IFERROR(FIND(CATALOG_BASE,A663),0)=1,CATALOG_POINTS,0))=0,DAILY_POST_POINTS,MAX(IF(IFERROR(FIND(CATALOG_BASE,A663),0)=1,CATALOG_POINTS,0))),IFERROR(INDEX(CATALOG_POINTS,MATCH(A663,CATALOG_TASK,0)),""))</f>
        <v>1</v>
      </c>
      <c r="D663" s="10" t="s">
        <v>507</v>
      </c>
      <c r="E663" s="41" t="str">
        <f t="shared" si="1"/>
        <v>PROX4</v>
      </c>
    </row>
    <row r="664" ht="15.75" customHeight="1">
      <c r="A664" s="10" t="s">
        <v>37</v>
      </c>
      <c r="B664" s="10" t="s">
        <v>120</v>
      </c>
      <c r="C664" s="41">
        <f t="array" ref="C664">IF(IFERROR(INDEX(CATALOG_POINTS,MATCH(A664,CATALOG_TASK,0)),"")="",IF(MAX(IF(IFERROR(FIND(CATALOG_BASE,A664),0)=1,CATALOG_POINTS,0))=0,DAILY_POST_POINTS,MAX(IF(IFERROR(FIND(CATALOG_BASE,A664),0)=1,CATALOG_POINTS,0))),IFERROR(INDEX(CATALOG_POINTS,MATCH(A664,CATALOG_TASK,0)),""))</f>
        <v>2</v>
      </c>
      <c r="D664" s="10" t="s">
        <v>507</v>
      </c>
      <c r="E664" s="41" t="str">
        <f t="shared" si="1"/>
        <v>PROX4</v>
      </c>
    </row>
    <row r="665" ht="15.75" customHeight="1">
      <c r="A665" s="10" t="s">
        <v>37</v>
      </c>
      <c r="B665" s="10" t="s">
        <v>117</v>
      </c>
      <c r="C665" s="41">
        <f t="array" ref="C665">IF(IFERROR(INDEX(CATALOG_POINTS,MATCH(A665,CATALOG_TASK,0)),"")="",IF(MAX(IF(IFERROR(FIND(CATALOG_BASE,A665),0)=1,CATALOG_POINTS,0))=0,DAILY_POST_POINTS,MAX(IF(IFERROR(FIND(CATALOG_BASE,A665),0)=1,CATALOG_POINTS,0))),IFERROR(INDEX(CATALOG_POINTS,MATCH(A665,CATALOG_TASK,0)),""))</f>
        <v>2</v>
      </c>
      <c r="D665" s="10" t="s">
        <v>507</v>
      </c>
      <c r="E665" s="41" t="str">
        <f t="shared" si="1"/>
        <v>PROX4</v>
      </c>
    </row>
    <row r="666" ht="15.75" customHeight="1">
      <c r="A666" s="10" t="s">
        <v>37</v>
      </c>
      <c r="B666" s="10" t="s">
        <v>120</v>
      </c>
      <c r="C666" s="41">
        <f t="array" ref="C666">IF(IFERROR(INDEX(CATALOG_POINTS,MATCH(A666,CATALOG_TASK,0)),"")="",IF(MAX(IF(IFERROR(FIND(CATALOG_BASE,A666),0)=1,CATALOG_POINTS,0))=0,DAILY_POST_POINTS,MAX(IF(IFERROR(FIND(CATALOG_BASE,A666),0)=1,CATALOG_POINTS,0))),IFERROR(INDEX(CATALOG_POINTS,MATCH(A666,CATALOG_TASK,0)),""))</f>
        <v>2</v>
      </c>
      <c r="D666" s="10" t="s">
        <v>507</v>
      </c>
      <c r="E666" s="41" t="str">
        <f t="shared" si="1"/>
        <v>PROX4</v>
      </c>
    </row>
    <row r="667" ht="15.75" customHeight="1">
      <c r="A667" s="10" t="s">
        <v>507</v>
      </c>
      <c r="B667" s="10" t="s">
        <v>128</v>
      </c>
      <c r="C667" s="41">
        <f t="array" ref="C667">IF(IFERROR(INDEX(CATALOG_POINTS,MATCH(A667,CATALOG_TASK,0)),"")="",IF(MAX(IF(IFERROR(FIND(CATALOG_BASE,A667),0)=1,CATALOG_POINTS,0))=0,DAILY_POST_POINTS,MAX(IF(IFERROR(FIND(CATALOG_BASE,A667),0)=1,CATALOG_POINTS,0))),IFERROR(INDEX(CATALOG_POINTS,MATCH(A667,CATALOG_TASK,0)),""))</f>
        <v>1</v>
      </c>
      <c r="D667" s="10" t="s">
        <v>507</v>
      </c>
      <c r="E667" s="41" t="str">
        <f t="shared" si="1"/>
        <v>PROX4</v>
      </c>
    </row>
    <row r="668" ht="15.75" customHeight="1">
      <c r="A668" s="10" t="s">
        <v>508</v>
      </c>
      <c r="B668" s="10" t="s">
        <v>135</v>
      </c>
      <c r="C668" s="41">
        <f t="array" ref="C668">IF(IFERROR(INDEX(CATALOG_POINTS,MATCH(A668,CATALOG_TASK,0)),"")="",IF(MAX(IF(IFERROR(FIND(CATALOG_BASE,A668),0)=1,CATALOG_POINTS,0))=0,DAILY_POST_POINTS,MAX(IF(IFERROR(FIND(CATALOG_BASE,A668),0)=1,CATALOG_POINTS,0))),IFERROR(INDEX(CATALOG_POINTS,MATCH(A668,CATALOG_TASK,0)),""))</f>
        <v>1</v>
      </c>
      <c r="D668" s="10" t="s">
        <v>508</v>
      </c>
      <c r="E668" s="41" t="str">
        <f t="shared" si="1"/>
        <v>PROX3</v>
      </c>
    </row>
    <row r="669" ht="15.75" customHeight="1">
      <c r="A669" s="10" t="s">
        <v>509</v>
      </c>
      <c r="B669" s="10" t="s">
        <v>125</v>
      </c>
      <c r="C669" s="41">
        <f t="array" ref="C669">IF(IFERROR(INDEX(CATALOG_POINTS,MATCH(A669,CATALOG_TASK,0)),"")="",IF(MAX(IF(IFERROR(FIND(CATALOG_BASE,A669),0)=1,CATALOG_POINTS,0))=0,DAILY_POST_POINTS,MAX(IF(IFERROR(FIND(CATALOG_BASE,A669),0)=1,CATALOG_POINTS,0))),IFERROR(INDEX(CATALOG_POINTS,MATCH(A669,CATALOG_TASK,0)),""))</f>
        <v>1</v>
      </c>
      <c r="D669" s="10" t="s">
        <v>509</v>
      </c>
      <c r="E669" s="41" t="str">
        <f t="shared" si="1"/>
        <v>E0</v>
      </c>
    </row>
    <row r="670" ht="15.75" customHeight="1">
      <c r="A670" s="10" t="s">
        <v>510</v>
      </c>
      <c r="B670" s="10" t="s">
        <v>127</v>
      </c>
      <c r="C670" s="41">
        <f t="array" ref="C670">IF(IFERROR(INDEX(CATALOG_POINTS,MATCH(A670,CATALOG_TASK,0)),"")="",IF(MAX(IF(IFERROR(FIND(CATALOG_BASE,A670),0)=1,CATALOG_POINTS,0))=0,DAILY_POST_POINTS,MAX(IF(IFERROR(FIND(CATALOG_BASE,A670),0)=1,CATALOG_POINTS,0))),IFERROR(INDEX(CATALOG_POINTS,MATCH(A670,CATALOG_TASK,0)),""))</f>
        <v>1</v>
      </c>
      <c r="D670" s="10" t="s">
        <v>510</v>
      </c>
      <c r="E670" s="41" t="str">
        <f t="shared" si="1"/>
        <v>PROX3</v>
      </c>
    </row>
    <row r="671" ht="15.75" customHeight="1">
      <c r="A671" s="10" t="s">
        <v>37</v>
      </c>
      <c r="B671" s="10" t="s">
        <v>119</v>
      </c>
      <c r="C671" s="41">
        <f t="array" ref="C671">IF(IFERROR(INDEX(CATALOG_POINTS,MATCH(A671,CATALOG_TASK,0)),"")="",IF(MAX(IF(IFERROR(FIND(CATALOG_BASE,A671),0)=1,CATALOG_POINTS,0))=0,DAILY_POST_POINTS,MAX(IF(IFERROR(FIND(CATALOG_BASE,A671),0)=1,CATALOG_POINTS,0))),IFERROR(INDEX(CATALOG_POINTS,MATCH(A671,CATALOG_TASK,0)),""))</f>
        <v>2</v>
      </c>
      <c r="D671" s="10" t="s">
        <v>511</v>
      </c>
      <c r="E671" s="41" t="str">
        <f t="shared" si="1"/>
        <v>PROX3</v>
      </c>
    </row>
    <row r="672" ht="15.75" customHeight="1">
      <c r="A672" s="10" t="s">
        <v>511</v>
      </c>
      <c r="B672" s="10" t="s">
        <v>119</v>
      </c>
      <c r="C672" s="41">
        <f t="array" ref="C672">IF(IFERROR(INDEX(CATALOG_POINTS,MATCH(A672,CATALOG_TASK,0)),"")="",IF(MAX(IF(IFERROR(FIND(CATALOG_BASE,A672),0)=1,CATALOG_POINTS,0))=0,DAILY_POST_POINTS,MAX(IF(IFERROR(FIND(CATALOG_BASE,A672),0)=1,CATALOG_POINTS,0))),IFERROR(INDEX(CATALOG_POINTS,MATCH(A672,CATALOG_TASK,0)),""))</f>
        <v>1</v>
      </c>
      <c r="D672" s="10" t="s">
        <v>511</v>
      </c>
      <c r="E672" s="41" t="str">
        <f t="shared" si="1"/>
        <v>PROX3</v>
      </c>
    </row>
    <row r="673" ht="15.75" customHeight="1">
      <c r="A673" s="10" t="s">
        <v>37</v>
      </c>
      <c r="B673" s="10" t="s">
        <v>121</v>
      </c>
      <c r="C673" s="41">
        <f t="array" ref="C673">IF(IFERROR(INDEX(CATALOG_POINTS,MATCH(A673,CATALOG_TASK,0)),"")="",IF(MAX(IF(IFERROR(FIND(CATALOG_BASE,A673),0)=1,CATALOG_POINTS,0))=0,DAILY_POST_POINTS,MAX(IF(IFERROR(FIND(CATALOG_BASE,A673),0)=1,CATALOG_POINTS,0))),IFERROR(INDEX(CATALOG_POINTS,MATCH(A673,CATALOG_TASK,0)),""))</f>
        <v>2</v>
      </c>
      <c r="D673" s="10" t="s">
        <v>512</v>
      </c>
      <c r="E673" s="41" t="str">
        <f t="shared" si="1"/>
        <v>E0</v>
      </c>
    </row>
    <row r="674" ht="15.75" customHeight="1">
      <c r="A674" s="10" t="s">
        <v>512</v>
      </c>
      <c r="B674" s="10" t="s">
        <v>135</v>
      </c>
      <c r="C674" s="41">
        <f t="array" ref="C674">IF(IFERROR(INDEX(CATALOG_POINTS,MATCH(A674,CATALOG_TASK,0)),"")="",IF(MAX(IF(IFERROR(FIND(CATALOG_BASE,A674),0)=1,CATALOG_POINTS,0))=0,DAILY_POST_POINTS,MAX(IF(IFERROR(FIND(CATALOG_BASE,A674),0)=1,CATALOG_POINTS,0))),IFERROR(INDEX(CATALOG_POINTS,MATCH(A674,CATALOG_TASK,0)),""))</f>
        <v>1</v>
      </c>
      <c r="D674" s="10" t="s">
        <v>512</v>
      </c>
      <c r="E674" s="41" t="str">
        <f t="shared" si="1"/>
        <v>E0</v>
      </c>
    </row>
    <row r="675" ht="15.75" customHeight="1">
      <c r="A675" s="10" t="s">
        <v>513</v>
      </c>
      <c r="B675" s="10" t="s">
        <v>126</v>
      </c>
      <c r="C675" s="41">
        <f t="array" ref="C675">IF(IFERROR(INDEX(CATALOG_POINTS,MATCH(A675,CATALOG_TASK,0)),"")="",IF(MAX(IF(IFERROR(FIND(CATALOG_BASE,A675),0)=1,CATALOG_POINTS,0))=0,DAILY_POST_POINTS,MAX(IF(IFERROR(FIND(CATALOG_BASE,A675),0)=1,CATALOG_POINTS,0))),IFERROR(INDEX(CATALOG_POINTS,MATCH(A675,CATALOG_TASK,0)),""))</f>
        <v>1</v>
      </c>
      <c r="D675" s="10" t="s">
        <v>513</v>
      </c>
      <c r="E675" s="41" t="str">
        <f t="shared" si="1"/>
        <v>PROX4</v>
      </c>
    </row>
    <row r="676" ht="15.75" customHeight="1">
      <c r="A676" s="10" t="s">
        <v>369</v>
      </c>
      <c r="B676" s="10" t="s">
        <v>125</v>
      </c>
      <c r="C676" s="41">
        <f t="array" ref="C676">IF(IFERROR(INDEX(CATALOG_POINTS,MATCH(A676,CATALOG_TASK,0)),"")="",IF(MAX(IF(IFERROR(FIND(CATALOG_BASE,A676),0)=1,CATALOG_POINTS,0))=0,DAILY_POST_POINTS,MAX(IF(IFERROR(FIND(CATALOG_BASE,A676),0)=1,CATALOG_POINTS,0))),IFERROR(INDEX(CATALOG_POINTS,MATCH(A676,CATALOG_TASK,0)),""))</f>
        <v>1</v>
      </c>
      <c r="D676" s="10" t="s">
        <v>514</v>
      </c>
      <c r="E676" s="41" t="str">
        <f t="shared" si="1"/>
        <v>PROX3</v>
      </c>
    </row>
    <row r="677" ht="15.75" customHeight="1">
      <c r="A677" s="10" t="s">
        <v>514</v>
      </c>
      <c r="B677" s="10" t="s">
        <v>127</v>
      </c>
      <c r="C677" s="41">
        <f t="array" ref="C677">IF(IFERROR(INDEX(CATALOG_POINTS,MATCH(A677,CATALOG_TASK,0)),"")="",IF(MAX(IF(IFERROR(FIND(CATALOG_BASE,A677),0)=1,CATALOG_POINTS,0))=0,DAILY_POST_POINTS,MAX(IF(IFERROR(FIND(CATALOG_BASE,A677),0)=1,CATALOG_POINTS,0))),IFERROR(INDEX(CATALOG_POINTS,MATCH(A677,CATALOG_TASK,0)),""))</f>
        <v>1</v>
      </c>
      <c r="D677" s="10" t="s">
        <v>514</v>
      </c>
      <c r="E677" s="41" t="str">
        <f t="shared" si="1"/>
        <v>PROX3</v>
      </c>
    </row>
    <row r="678" ht="15.75" customHeight="1">
      <c r="A678" s="10" t="s">
        <v>515</v>
      </c>
      <c r="B678" s="10" t="s">
        <v>127</v>
      </c>
      <c r="C678" s="41">
        <f t="array" ref="C678">IF(IFERROR(INDEX(CATALOG_POINTS,MATCH(A678,CATALOG_TASK,0)),"")="",IF(MAX(IF(IFERROR(FIND(CATALOG_BASE,A678),0)=1,CATALOG_POINTS,0))=0,DAILY_POST_POINTS,MAX(IF(IFERROR(FIND(CATALOG_BASE,A678),0)=1,CATALOG_POINTS,0))),IFERROR(INDEX(CATALOG_POINTS,MATCH(A678,CATALOG_TASK,0)),""))</f>
        <v>1</v>
      </c>
      <c r="D678" s="10" t="s">
        <v>514</v>
      </c>
      <c r="E678" s="41" t="str">
        <f t="shared" si="1"/>
        <v>PROX3</v>
      </c>
    </row>
    <row r="679" ht="15.75" customHeight="1">
      <c r="A679" s="10" t="s">
        <v>516</v>
      </c>
      <c r="B679" s="10" t="s">
        <v>127</v>
      </c>
      <c r="C679" s="41">
        <f t="array" ref="C679">IF(IFERROR(INDEX(CATALOG_POINTS,MATCH(A679,CATALOG_TASK,0)),"")="",IF(MAX(IF(IFERROR(FIND(CATALOG_BASE,A679),0)=1,CATALOG_POINTS,0))=0,DAILY_POST_POINTS,MAX(IF(IFERROR(FIND(CATALOG_BASE,A679),0)=1,CATALOG_POINTS,0))),IFERROR(INDEX(CATALOG_POINTS,MATCH(A679,CATALOG_TASK,0)),""))</f>
        <v>1</v>
      </c>
      <c r="D679" s="10" t="s">
        <v>516</v>
      </c>
      <c r="E679" s="41" t="str">
        <f t="shared" si="1"/>
        <v>PROX3</v>
      </c>
    </row>
    <row r="680" ht="15.75" customHeight="1">
      <c r="A680" s="10" t="s">
        <v>517</v>
      </c>
      <c r="B680" s="10" t="s">
        <v>134</v>
      </c>
      <c r="C680" s="41">
        <f t="array" ref="C680">IF(IFERROR(INDEX(CATALOG_POINTS,MATCH(A680,CATALOG_TASK,0)),"")="",IF(MAX(IF(IFERROR(FIND(CATALOG_BASE,A680),0)=1,CATALOG_POINTS,0))=0,DAILY_POST_POINTS,MAX(IF(IFERROR(FIND(CATALOG_BASE,A680),0)=1,CATALOG_POINTS,0))),IFERROR(INDEX(CATALOG_POINTS,MATCH(A680,CATALOG_TASK,0)),""))</f>
        <v>1</v>
      </c>
      <c r="D680" s="10" t="s">
        <v>517</v>
      </c>
      <c r="E680" s="41" t="str">
        <f t="shared" si="1"/>
        <v>PROX3</v>
      </c>
    </row>
    <row r="681" ht="15.75" customHeight="1">
      <c r="A681" s="10" t="s">
        <v>179</v>
      </c>
      <c r="B681" s="10" t="s">
        <v>141</v>
      </c>
      <c r="C681" s="41">
        <f t="array" ref="C681">IF(IFERROR(INDEX(CATALOG_POINTS,MATCH(A681,CATALOG_TASK,0)),"")="",IF(MAX(IF(IFERROR(FIND(CATALOG_BASE,A681),0)=1,CATALOG_POINTS,0))=0,DAILY_POST_POINTS,MAX(IF(IFERROR(FIND(CATALOG_BASE,A681),0)=1,CATALOG_POINTS,0))),IFERROR(INDEX(CATALOG_POINTS,MATCH(A681,CATALOG_TASK,0)),""))</f>
        <v>1</v>
      </c>
      <c r="D681" s="10" t="s">
        <v>517</v>
      </c>
      <c r="E681" s="41" t="str">
        <f t="shared" si="1"/>
        <v>PROX3</v>
      </c>
    </row>
    <row r="682" ht="15.75" customHeight="1">
      <c r="A682" s="10" t="s">
        <v>518</v>
      </c>
      <c r="B682" s="10" t="s">
        <v>133</v>
      </c>
      <c r="C682" s="41">
        <f t="array" ref="C682">IF(IFERROR(INDEX(CATALOG_POINTS,MATCH(A682,CATALOG_TASK,0)),"")="",IF(MAX(IF(IFERROR(FIND(CATALOG_BASE,A682),0)=1,CATALOG_POINTS,0))=0,DAILY_POST_POINTS,MAX(IF(IFERROR(FIND(CATALOG_BASE,A682),0)=1,CATALOG_POINTS,0))),IFERROR(INDEX(CATALOG_POINTS,MATCH(A682,CATALOG_TASK,0)),""))</f>
        <v>1</v>
      </c>
      <c r="D682" s="10" t="s">
        <v>518</v>
      </c>
      <c r="E682" s="41" t="str">
        <f t="shared" si="1"/>
        <v>PROX3</v>
      </c>
    </row>
    <row r="683" ht="15.75" customHeight="1">
      <c r="A683" s="10" t="s">
        <v>37</v>
      </c>
      <c r="B683" s="10" t="s">
        <v>121</v>
      </c>
      <c r="C683" s="41">
        <f t="array" ref="C683">IF(IFERROR(INDEX(CATALOG_POINTS,MATCH(A683,CATALOG_TASK,0)),"")="",IF(MAX(IF(IFERROR(FIND(CATALOG_BASE,A683),0)=1,CATALOG_POINTS,0))=0,DAILY_POST_POINTS,MAX(IF(IFERROR(FIND(CATALOG_BASE,A683),0)=1,CATALOG_POINTS,0))),IFERROR(INDEX(CATALOG_POINTS,MATCH(A683,CATALOG_TASK,0)),""))</f>
        <v>2</v>
      </c>
      <c r="D683" s="10" t="s">
        <v>519</v>
      </c>
      <c r="E683" s="41" t="str">
        <f t="shared" si="1"/>
        <v>PROX3</v>
      </c>
    </row>
    <row r="684" ht="15.75" customHeight="1">
      <c r="A684" s="10" t="s">
        <v>519</v>
      </c>
      <c r="B684" s="10" t="s">
        <v>121</v>
      </c>
      <c r="C684" s="41">
        <f t="array" ref="C684">IF(IFERROR(INDEX(CATALOG_POINTS,MATCH(A684,CATALOG_TASK,0)),"")="",IF(MAX(IF(IFERROR(FIND(CATALOG_BASE,A684),0)=1,CATALOG_POINTS,0))=0,DAILY_POST_POINTS,MAX(IF(IFERROR(FIND(CATALOG_BASE,A684),0)=1,CATALOG_POINTS,0))),IFERROR(INDEX(CATALOG_POINTS,MATCH(A684,CATALOG_TASK,0)),""))</f>
        <v>1</v>
      </c>
      <c r="D684" s="10" t="s">
        <v>519</v>
      </c>
      <c r="E684" s="41" t="str">
        <f t="shared" si="1"/>
        <v>PROX3</v>
      </c>
    </row>
    <row r="685" ht="15.75" customHeight="1">
      <c r="A685" s="10" t="s">
        <v>520</v>
      </c>
      <c r="B685" s="10" t="s">
        <v>134</v>
      </c>
      <c r="C685" s="41">
        <f t="array" ref="C685">IF(IFERROR(INDEX(CATALOG_POINTS,MATCH(A685,CATALOG_TASK,0)),"")="",IF(MAX(IF(IFERROR(FIND(CATALOG_BASE,A685),0)=1,CATALOG_POINTS,0))=0,DAILY_POST_POINTS,MAX(IF(IFERROR(FIND(CATALOG_BASE,A685),0)=1,CATALOG_POINTS,0))),IFERROR(INDEX(CATALOG_POINTS,MATCH(A685,CATALOG_TASK,0)),""))</f>
        <v>1</v>
      </c>
      <c r="D685" s="10" t="s">
        <v>520</v>
      </c>
      <c r="E685" s="41" t="str">
        <f t="shared" si="1"/>
        <v>PROX3</v>
      </c>
    </row>
    <row r="686" ht="15.75" customHeight="1">
      <c r="A686" s="10" t="s">
        <v>521</v>
      </c>
      <c r="B686" s="10" t="s">
        <v>125</v>
      </c>
      <c r="C686" s="41">
        <f t="array" ref="C686">IF(IFERROR(INDEX(CATALOG_POINTS,MATCH(A686,CATALOG_TASK,0)),"")="",IF(MAX(IF(IFERROR(FIND(CATALOG_BASE,A686),0)=1,CATALOG_POINTS,0))=0,DAILY_POST_POINTS,MAX(IF(IFERROR(FIND(CATALOG_BASE,A686),0)=1,CATALOG_POINTS,0))),IFERROR(INDEX(CATALOG_POINTS,MATCH(A686,CATALOG_TASK,0)),""))</f>
        <v>1</v>
      </c>
      <c r="D686" s="10" t="s">
        <v>521</v>
      </c>
      <c r="E686" s="41" t="str">
        <f t="shared" si="1"/>
        <v>PROX3</v>
      </c>
    </row>
    <row r="687" ht="15.75" customHeight="1">
      <c r="A687" s="10" t="s">
        <v>37</v>
      </c>
      <c r="B687" s="10" t="s">
        <v>123</v>
      </c>
      <c r="C687" s="41">
        <f t="array" ref="C687">IF(IFERROR(INDEX(CATALOG_POINTS,MATCH(A687,CATALOG_TASK,0)),"")="",IF(MAX(IF(IFERROR(FIND(CATALOG_BASE,A687),0)=1,CATALOG_POINTS,0))=0,DAILY_POST_POINTS,MAX(IF(IFERROR(FIND(CATALOG_BASE,A687),0)=1,CATALOG_POINTS,0))),IFERROR(INDEX(CATALOG_POINTS,MATCH(A687,CATALOG_TASK,0)),""))</f>
        <v>2</v>
      </c>
      <c r="D687" s="10" t="s">
        <v>521</v>
      </c>
      <c r="E687" s="41" t="str">
        <f t="shared" si="1"/>
        <v>PROX3</v>
      </c>
    </row>
    <row r="688" ht="15.75" customHeight="1">
      <c r="A688" s="10" t="s">
        <v>522</v>
      </c>
      <c r="B688" s="10" t="s">
        <v>136</v>
      </c>
      <c r="C688" s="41">
        <f t="array" ref="C688">IF(IFERROR(INDEX(CATALOG_POINTS,MATCH(A688,CATALOG_TASK,0)),"")="",IF(MAX(IF(IFERROR(FIND(CATALOG_BASE,A688),0)=1,CATALOG_POINTS,0))=0,DAILY_POST_POINTS,MAX(IF(IFERROR(FIND(CATALOG_BASE,A688),0)=1,CATALOG_POINTS,0))),IFERROR(INDEX(CATALOG_POINTS,MATCH(A688,CATALOG_TASK,0)),""))</f>
        <v>1</v>
      </c>
      <c r="D688" s="10" t="s">
        <v>522</v>
      </c>
      <c r="E688" s="41" t="str">
        <f t="shared" si="1"/>
        <v>PROX3</v>
      </c>
    </row>
    <row r="689" ht="15.75" customHeight="1">
      <c r="A689" s="10" t="s">
        <v>523</v>
      </c>
      <c r="B689" s="10" t="s">
        <v>134</v>
      </c>
      <c r="C689" s="41">
        <f t="array" ref="C689">IF(IFERROR(INDEX(CATALOG_POINTS,MATCH(A689,CATALOG_TASK,0)),"")="",IF(MAX(IF(IFERROR(FIND(CATALOG_BASE,A689),0)=1,CATALOG_POINTS,0))=0,DAILY_POST_POINTS,MAX(IF(IFERROR(FIND(CATALOG_BASE,A689),0)=1,CATALOG_POINTS,0))),IFERROR(INDEX(CATALOG_POINTS,MATCH(A689,CATALOG_TASK,0)),""))</f>
        <v>1</v>
      </c>
      <c r="D689" s="10" t="s">
        <v>523</v>
      </c>
      <c r="E689" s="41" t="str">
        <f t="shared" si="1"/>
        <v/>
      </c>
    </row>
    <row r="690" ht="15.75" customHeight="1">
      <c r="A690" s="10" t="s">
        <v>524</v>
      </c>
      <c r="B690" s="10" t="s">
        <v>124</v>
      </c>
      <c r="C690" s="41">
        <f t="array" ref="C690">IF(IFERROR(INDEX(CATALOG_POINTS,MATCH(A690,CATALOG_TASK,0)),"")="",IF(MAX(IF(IFERROR(FIND(CATALOG_BASE,A690),0)=1,CATALOG_POINTS,0))=0,DAILY_POST_POINTS,MAX(IF(IFERROR(FIND(CATALOG_BASE,A690),0)=1,CATALOG_POINTS,0))),IFERROR(INDEX(CATALOG_POINTS,MATCH(A690,CATALOG_TASK,0)),""))</f>
        <v>1</v>
      </c>
      <c r="D690" s="10" t="s">
        <v>524</v>
      </c>
      <c r="E690" s="41" t="str">
        <f t="shared" si="1"/>
        <v>PROX3</v>
      </c>
    </row>
    <row r="691" ht="15.75" customHeight="1">
      <c r="A691" s="10" t="s">
        <v>24</v>
      </c>
      <c r="B691" s="10" t="s">
        <v>117</v>
      </c>
      <c r="C691" s="41">
        <f t="array" ref="C691">IF(IFERROR(INDEX(CATALOG_POINTS,MATCH(A691,CATALOG_TASK,0)),"")="",IF(MAX(IF(IFERROR(FIND(CATALOG_BASE,A691),0)=1,CATALOG_POINTS,0))=0,DAILY_POST_POINTS,MAX(IF(IFERROR(FIND(CATALOG_BASE,A691),0)=1,CATALOG_POINTS,0))),IFERROR(INDEX(CATALOG_POINTS,MATCH(A691,CATALOG_TASK,0)),""))</f>
        <v>2</v>
      </c>
      <c r="D691" s="10" t="s">
        <v>524</v>
      </c>
      <c r="E691" s="41" t="str">
        <f t="shared" si="1"/>
        <v>PROX3</v>
      </c>
    </row>
    <row r="692" ht="15.75" customHeight="1">
      <c r="A692" s="10" t="s">
        <v>174</v>
      </c>
      <c r="B692" s="10" t="s">
        <v>128</v>
      </c>
      <c r="C692" s="41">
        <f t="array" ref="C692">IF(IFERROR(INDEX(CATALOG_POINTS,MATCH(A692,CATALOG_TASK,0)),"")="",IF(MAX(IF(IFERROR(FIND(CATALOG_BASE,A692),0)=1,CATALOG_POINTS,0))=0,DAILY_POST_POINTS,MAX(IF(IFERROR(FIND(CATALOG_BASE,A692),0)=1,CATALOG_POINTS,0))),IFERROR(INDEX(CATALOG_POINTS,MATCH(A692,CATALOG_TASK,0)),""))</f>
        <v>1</v>
      </c>
      <c r="D692" s="10" t="s">
        <v>524</v>
      </c>
      <c r="E692" s="41" t="str">
        <f t="shared" si="1"/>
        <v>PROX3</v>
      </c>
    </row>
    <row r="693" ht="15.75" customHeight="1">
      <c r="A693" s="10" t="s">
        <v>178</v>
      </c>
      <c r="B693" s="10" t="s">
        <v>149</v>
      </c>
      <c r="C693" s="41">
        <f t="array" ref="C693">IF(IFERROR(INDEX(CATALOG_POINTS,MATCH(A693,CATALOG_TASK,0)),"")="",IF(MAX(IF(IFERROR(FIND(CATALOG_BASE,A693),0)=1,CATALOG_POINTS,0))=0,DAILY_POST_POINTS,MAX(IF(IFERROR(FIND(CATALOG_BASE,A693),0)=1,CATALOG_POINTS,0))),IFERROR(INDEX(CATALOG_POINTS,MATCH(A693,CATALOG_TASK,0)),""))</f>
        <v>1</v>
      </c>
      <c r="D693" s="10" t="s">
        <v>524</v>
      </c>
      <c r="E693" s="41" t="str">
        <f t="shared" si="1"/>
        <v>PROX3</v>
      </c>
    </row>
    <row r="694" ht="15.75" customHeight="1">
      <c r="A694" s="10" t="s">
        <v>37</v>
      </c>
      <c r="B694" s="10" t="s">
        <v>127</v>
      </c>
      <c r="C694" s="41">
        <f t="array" ref="C694">IF(IFERROR(INDEX(CATALOG_POINTS,MATCH(A694,CATALOG_TASK,0)),"")="",IF(MAX(IF(IFERROR(FIND(CATALOG_BASE,A694),0)=1,CATALOG_POINTS,0))=0,DAILY_POST_POINTS,MAX(IF(IFERROR(FIND(CATALOG_BASE,A694),0)=1,CATALOG_POINTS,0))),IFERROR(INDEX(CATALOG_POINTS,MATCH(A694,CATALOG_TASK,0)),""))</f>
        <v>2</v>
      </c>
      <c r="D694" s="10" t="s">
        <v>524</v>
      </c>
      <c r="E694" s="41" t="str">
        <f t="shared" si="1"/>
        <v>PROX3</v>
      </c>
    </row>
    <row r="695" ht="15.75" customHeight="1">
      <c r="A695" s="10" t="s">
        <v>37</v>
      </c>
      <c r="B695" s="10" t="s">
        <v>127</v>
      </c>
      <c r="C695" s="41">
        <f t="array" ref="C695">IF(IFERROR(INDEX(CATALOG_POINTS,MATCH(A695,CATALOG_TASK,0)),"")="",IF(MAX(IF(IFERROR(FIND(CATALOG_BASE,A695),0)=1,CATALOG_POINTS,0))=0,DAILY_POST_POINTS,MAX(IF(IFERROR(FIND(CATALOG_BASE,A695),0)=1,CATALOG_POINTS,0))),IFERROR(INDEX(CATALOG_POINTS,MATCH(A695,CATALOG_TASK,0)),""))</f>
        <v>2</v>
      </c>
      <c r="D695" s="10" t="s">
        <v>524</v>
      </c>
      <c r="E695" s="41" t="str">
        <f t="shared" si="1"/>
        <v>PROX3</v>
      </c>
    </row>
    <row r="696" ht="15.75" customHeight="1">
      <c r="A696" s="10" t="s">
        <v>37</v>
      </c>
      <c r="B696" s="10" t="s">
        <v>119</v>
      </c>
      <c r="C696" s="41">
        <f t="array" ref="C696">IF(IFERROR(INDEX(CATALOG_POINTS,MATCH(A696,CATALOG_TASK,0)),"")="",IF(MAX(IF(IFERROR(FIND(CATALOG_BASE,A696),0)=1,CATALOG_POINTS,0))=0,DAILY_POST_POINTS,MAX(IF(IFERROR(FIND(CATALOG_BASE,A696),0)=1,CATALOG_POINTS,0))),IFERROR(INDEX(CATALOG_POINTS,MATCH(A696,CATALOG_TASK,0)),""))</f>
        <v>2</v>
      </c>
      <c r="D696" s="10" t="s">
        <v>524</v>
      </c>
      <c r="E696" s="41" t="str">
        <f t="shared" si="1"/>
        <v>PROX3</v>
      </c>
    </row>
    <row r="697" ht="15.75" customHeight="1">
      <c r="A697" s="10" t="s">
        <v>168</v>
      </c>
      <c r="B697" s="10" t="s">
        <v>128</v>
      </c>
      <c r="C697" s="41">
        <f t="array" ref="C697">IF(IFERROR(INDEX(CATALOG_POINTS,MATCH(A697,CATALOG_TASK,0)),"")="",IF(MAX(IF(IFERROR(FIND(CATALOG_BASE,A697),0)=1,CATALOG_POINTS,0))=0,DAILY_POST_POINTS,MAX(IF(IFERROR(FIND(CATALOG_BASE,A697),0)=1,CATALOG_POINTS,0))),IFERROR(INDEX(CATALOG_POINTS,MATCH(A697,CATALOG_TASK,0)),""))</f>
        <v>1</v>
      </c>
      <c r="D697" s="10" t="s">
        <v>524</v>
      </c>
      <c r="E697" s="41" t="str">
        <f t="shared" si="1"/>
        <v>PROX3</v>
      </c>
    </row>
    <row r="698" ht="15.75" customHeight="1">
      <c r="A698" s="10" t="s">
        <v>37</v>
      </c>
      <c r="B698" s="10" t="s">
        <v>119</v>
      </c>
      <c r="C698" s="41">
        <f t="array" ref="C698">IF(IFERROR(INDEX(CATALOG_POINTS,MATCH(A698,CATALOG_TASK,0)),"")="",IF(MAX(IF(IFERROR(FIND(CATALOG_BASE,A698),0)=1,CATALOG_POINTS,0))=0,DAILY_POST_POINTS,MAX(IF(IFERROR(FIND(CATALOG_BASE,A698),0)=1,CATALOG_POINTS,0))),IFERROR(INDEX(CATALOG_POINTS,MATCH(A698,CATALOG_TASK,0)),""))</f>
        <v>2</v>
      </c>
      <c r="D698" s="10" t="s">
        <v>524</v>
      </c>
      <c r="E698" s="41" t="str">
        <f t="shared" si="1"/>
        <v>PROX3</v>
      </c>
    </row>
    <row r="699" ht="15.75" customHeight="1">
      <c r="A699" s="10" t="s">
        <v>525</v>
      </c>
      <c r="B699" s="10" t="s">
        <v>119</v>
      </c>
      <c r="C699" s="41">
        <f t="array" ref="C699">IF(IFERROR(INDEX(CATALOG_POINTS,MATCH(A699,CATALOG_TASK,0)),"")="",IF(MAX(IF(IFERROR(FIND(CATALOG_BASE,A699),0)=1,CATALOG_POINTS,0))=0,DAILY_POST_POINTS,MAX(IF(IFERROR(FIND(CATALOG_BASE,A699),0)=1,CATALOG_POINTS,0))),IFERROR(INDEX(CATALOG_POINTS,MATCH(A699,CATALOG_TASK,0)),""))</f>
        <v>1</v>
      </c>
      <c r="D699" s="10" t="s">
        <v>525</v>
      </c>
      <c r="E699" s="41" t="str">
        <f t="shared" si="1"/>
        <v>PROX4</v>
      </c>
    </row>
    <row r="700" ht="15.75" customHeight="1">
      <c r="A700" s="10" t="s">
        <v>526</v>
      </c>
      <c r="B700" s="10" t="s">
        <v>134</v>
      </c>
      <c r="C700" s="41">
        <f t="array" ref="C700">IF(IFERROR(INDEX(CATALOG_POINTS,MATCH(A700,CATALOG_TASK,0)),"")="",IF(MAX(IF(IFERROR(FIND(CATALOG_BASE,A700),0)=1,CATALOG_POINTS,0))=0,DAILY_POST_POINTS,MAX(IF(IFERROR(FIND(CATALOG_BASE,A700),0)=1,CATALOG_POINTS,0))),IFERROR(INDEX(CATALOG_POINTS,MATCH(A700,CATALOG_TASK,0)),""))</f>
        <v>1</v>
      </c>
      <c r="D700" s="10" t="s">
        <v>526</v>
      </c>
      <c r="E700" s="41" t="str">
        <f t="shared" si="1"/>
        <v>PROX3</v>
      </c>
    </row>
    <row r="701" ht="15.75" customHeight="1">
      <c r="A701" s="10" t="s">
        <v>527</v>
      </c>
      <c r="B701" s="10" t="s">
        <v>117</v>
      </c>
      <c r="C701" s="41">
        <f t="array" ref="C701">IF(IFERROR(INDEX(CATALOG_POINTS,MATCH(A701,CATALOG_TASK,0)),"")="",IF(MAX(IF(IFERROR(FIND(CATALOG_BASE,A701),0)=1,CATALOG_POINTS,0))=0,DAILY_POST_POINTS,MAX(IF(IFERROR(FIND(CATALOG_BASE,A701),0)=1,CATALOG_POINTS,0))),IFERROR(INDEX(CATALOG_POINTS,MATCH(A701,CATALOG_TASK,0)),""))</f>
        <v>1</v>
      </c>
      <c r="D701" s="10" t="s">
        <v>527</v>
      </c>
      <c r="E701" s="41" t="str">
        <f t="shared" si="1"/>
        <v>PROX3</v>
      </c>
    </row>
    <row r="702" ht="15.75" customHeight="1">
      <c r="A702" s="10" t="s">
        <v>528</v>
      </c>
      <c r="B702" s="10" t="s">
        <v>120</v>
      </c>
      <c r="C702" s="41">
        <f t="array" ref="C702">IF(IFERROR(INDEX(CATALOG_POINTS,MATCH(A702,CATALOG_TASK,0)),"")="",IF(MAX(IF(IFERROR(FIND(CATALOG_BASE,A702),0)=1,CATALOG_POINTS,0))=0,DAILY_POST_POINTS,MAX(IF(IFERROR(FIND(CATALOG_BASE,A702),0)=1,CATALOG_POINTS,0))),IFERROR(INDEX(CATALOG_POINTS,MATCH(A702,CATALOG_TASK,0)),""))</f>
        <v>1</v>
      </c>
      <c r="D702" s="10" t="s">
        <v>528</v>
      </c>
      <c r="E702" s="41" t="str">
        <f t="shared" si="1"/>
        <v>PROX3</v>
      </c>
    </row>
    <row r="703" ht="15.75" customHeight="1">
      <c r="A703" s="10" t="s">
        <v>34</v>
      </c>
      <c r="B703" s="10" t="s">
        <v>127</v>
      </c>
      <c r="C703" s="41">
        <f t="array" ref="C703">IF(IFERROR(INDEX(CATALOG_POINTS,MATCH(A703,CATALOG_TASK,0)),"")="",IF(MAX(IF(IFERROR(FIND(CATALOG_BASE,A703),0)=1,CATALOG_POINTS,0))=0,DAILY_POST_POINTS,MAX(IF(IFERROR(FIND(CATALOG_BASE,A703),0)=1,CATALOG_POINTS,0))),IFERROR(INDEX(CATALOG_POINTS,MATCH(A703,CATALOG_TASK,0)),""))</f>
        <v>2</v>
      </c>
      <c r="D703" s="10" t="s">
        <v>528</v>
      </c>
      <c r="E703" s="41" t="str">
        <f t="shared" si="1"/>
        <v>PROX3</v>
      </c>
    </row>
    <row r="704" ht="15.75" customHeight="1">
      <c r="A704" s="10" t="s">
        <v>529</v>
      </c>
      <c r="B704" s="10" t="s">
        <v>127</v>
      </c>
      <c r="C704" s="41">
        <f t="array" ref="C704">IF(IFERROR(INDEX(CATALOG_POINTS,MATCH(A704,CATALOG_TASK,0)),"")="",IF(MAX(IF(IFERROR(FIND(CATALOG_BASE,A704),0)=1,CATALOG_POINTS,0))=0,DAILY_POST_POINTS,MAX(IF(IFERROR(FIND(CATALOG_BASE,A704),0)=1,CATALOG_POINTS,0))),IFERROR(INDEX(CATALOG_POINTS,MATCH(A704,CATALOG_TASK,0)),""))</f>
        <v>1</v>
      </c>
      <c r="D704" s="10" t="s">
        <v>529</v>
      </c>
      <c r="E704" s="41" t="str">
        <f t="shared" si="1"/>
        <v>PROX3</v>
      </c>
    </row>
    <row r="705" ht="15.75" customHeight="1">
      <c r="A705" s="10" t="s">
        <v>37</v>
      </c>
      <c r="B705" s="10" t="s">
        <v>119</v>
      </c>
      <c r="C705" s="41">
        <f t="array" ref="C705">IF(IFERROR(INDEX(CATALOG_POINTS,MATCH(A705,CATALOG_TASK,0)),"")="",IF(MAX(IF(IFERROR(FIND(CATALOG_BASE,A705),0)=1,CATALOG_POINTS,0))=0,DAILY_POST_POINTS,MAX(IF(IFERROR(FIND(CATALOG_BASE,A705),0)=1,CATALOG_POINTS,0))),IFERROR(INDEX(CATALOG_POINTS,MATCH(A705,CATALOG_TASK,0)),""))</f>
        <v>2</v>
      </c>
      <c r="D705" s="10" t="s">
        <v>530</v>
      </c>
      <c r="E705" s="41" t="str">
        <f t="shared" si="1"/>
        <v>PROX3</v>
      </c>
    </row>
    <row r="706" ht="15.75" customHeight="1">
      <c r="A706" s="10" t="s">
        <v>530</v>
      </c>
      <c r="B706" s="10" t="s">
        <v>134</v>
      </c>
      <c r="C706" s="41">
        <f t="array" ref="C706">IF(IFERROR(INDEX(CATALOG_POINTS,MATCH(A706,CATALOG_TASK,0)),"")="",IF(MAX(IF(IFERROR(FIND(CATALOG_BASE,A706),0)=1,CATALOG_POINTS,0))=0,DAILY_POST_POINTS,MAX(IF(IFERROR(FIND(CATALOG_BASE,A706),0)=1,CATALOG_POINTS,0))),IFERROR(INDEX(CATALOG_POINTS,MATCH(A706,CATALOG_TASK,0)),""))</f>
        <v>1</v>
      </c>
      <c r="D706" s="10" t="s">
        <v>530</v>
      </c>
      <c r="E706" s="41" t="str">
        <f t="shared" si="1"/>
        <v>PROX3</v>
      </c>
    </row>
    <row r="707" ht="15.75" customHeight="1">
      <c r="A707" s="10" t="s">
        <v>531</v>
      </c>
      <c r="B707" s="10" t="s">
        <v>129</v>
      </c>
      <c r="C707" s="41">
        <f t="array" ref="C707">IF(IFERROR(INDEX(CATALOG_POINTS,MATCH(A707,CATALOG_TASK,0)),"")="",IF(MAX(IF(IFERROR(FIND(CATALOG_BASE,A707),0)=1,CATALOG_POINTS,0))=0,DAILY_POST_POINTS,MAX(IF(IFERROR(FIND(CATALOG_BASE,A707),0)=1,CATALOG_POINTS,0))),IFERROR(INDEX(CATALOG_POINTS,MATCH(A707,CATALOG_TASK,0)),""))</f>
        <v>1</v>
      </c>
      <c r="D707" s="10" t="s">
        <v>531</v>
      </c>
      <c r="E707" s="41" t="str">
        <f t="shared" si="1"/>
        <v>PROX3</v>
      </c>
    </row>
    <row r="708" ht="15.75" customHeight="1">
      <c r="A708" s="10" t="s">
        <v>532</v>
      </c>
      <c r="B708" s="10" t="s">
        <v>137</v>
      </c>
      <c r="C708" s="41">
        <f t="array" ref="C708">IF(IFERROR(INDEX(CATALOG_POINTS,MATCH(A708,CATALOG_TASK,0)),"")="",IF(MAX(IF(IFERROR(FIND(CATALOG_BASE,A708),0)=1,CATALOG_POINTS,0))=0,DAILY_POST_POINTS,MAX(IF(IFERROR(FIND(CATALOG_BASE,A708),0)=1,CATALOG_POINTS,0))),IFERROR(INDEX(CATALOG_POINTS,MATCH(A708,CATALOG_TASK,0)),""))</f>
        <v>1</v>
      </c>
      <c r="D708" s="10" t="s">
        <v>532</v>
      </c>
      <c r="E708" s="41" t="str">
        <f t="shared" si="1"/>
        <v>E0</v>
      </c>
    </row>
    <row r="709" ht="15.75" customHeight="1">
      <c r="A709" s="10" t="s">
        <v>37</v>
      </c>
      <c r="B709" s="10" t="s">
        <v>117</v>
      </c>
      <c r="C709" s="41">
        <f t="array" ref="C709">IF(IFERROR(INDEX(CATALOG_POINTS,MATCH(A709,CATALOG_TASK,0)),"")="",IF(MAX(IF(IFERROR(FIND(CATALOG_BASE,A709),0)=1,CATALOG_POINTS,0))=0,DAILY_POST_POINTS,MAX(IF(IFERROR(FIND(CATALOG_BASE,A709),0)=1,CATALOG_POINTS,0))),IFERROR(INDEX(CATALOG_POINTS,MATCH(A709,CATALOG_TASK,0)),""))</f>
        <v>2</v>
      </c>
      <c r="D709" s="10" t="s">
        <v>532</v>
      </c>
      <c r="E709" s="41" t="str">
        <f t="shared" si="1"/>
        <v>E0</v>
      </c>
    </row>
    <row r="710" ht="15.75" customHeight="1">
      <c r="A710" s="10" t="s">
        <v>533</v>
      </c>
      <c r="B710" s="10" t="s">
        <v>125</v>
      </c>
      <c r="C710" s="41">
        <f t="array" ref="C710">IF(IFERROR(INDEX(CATALOG_POINTS,MATCH(A710,CATALOG_TASK,0)),"")="",IF(MAX(IF(IFERROR(FIND(CATALOG_BASE,A710),0)=1,CATALOG_POINTS,0))=0,DAILY_POST_POINTS,MAX(IF(IFERROR(FIND(CATALOG_BASE,A710),0)=1,CATALOG_POINTS,0))),IFERROR(INDEX(CATALOG_POINTS,MATCH(A710,CATALOG_TASK,0)),""))</f>
        <v>1</v>
      </c>
      <c r="D710" s="10" t="s">
        <v>533</v>
      </c>
      <c r="E710" s="41" t="str">
        <f t="shared" si="1"/>
        <v>PROX3</v>
      </c>
    </row>
    <row r="711" ht="15.75" customHeight="1">
      <c r="A711" s="10" t="s">
        <v>534</v>
      </c>
      <c r="B711" s="10" t="s">
        <v>122</v>
      </c>
      <c r="C711" s="41">
        <f t="array" ref="C711">IF(IFERROR(INDEX(CATALOG_POINTS,MATCH(A711,CATALOG_TASK,0)),"")="",IF(MAX(IF(IFERROR(FIND(CATALOG_BASE,A711),0)=1,CATALOG_POINTS,0))=0,DAILY_POST_POINTS,MAX(IF(IFERROR(FIND(CATALOG_BASE,A711),0)=1,CATALOG_POINTS,0))),IFERROR(INDEX(CATALOG_POINTS,MATCH(A711,CATALOG_TASK,0)),""))</f>
        <v>1</v>
      </c>
      <c r="D711" s="10" t="s">
        <v>534</v>
      </c>
      <c r="E711" s="41" t="str">
        <f t="shared" si="1"/>
        <v>PROX3</v>
      </c>
    </row>
    <row r="712" ht="15.75" customHeight="1">
      <c r="A712" s="10" t="s">
        <v>535</v>
      </c>
      <c r="B712" s="10" t="s">
        <v>122</v>
      </c>
      <c r="C712" s="41">
        <f t="array" ref="C712">IF(IFERROR(INDEX(CATALOG_POINTS,MATCH(A712,CATALOG_TASK,0)),"")="",IF(MAX(IF(IFERROR(FIND(CATALOG_BASE,A712),0)=1,CATALOG_POINTS,0))=0,DAILY_POST_POINTS,MAX(IF(IFERROR(FIND(CATALOG_BASE,A712),0)=1,CATALOG_POINTS,0))),IFERROR(INDEX(CATALOG_POINTS,MATCH(A712,CATALOG_TASK,0)),""))</f>
        <v>1</v>
      </c>
      <c r="D712" s="10" t="s">
        <v>535</v>
      </c>
      <c r="E712" s="41" t="str">
        <f t="shared" si="1"/>
        <v>E0</v>
      </c>
    </row>
    <row r="713" ht="15.75" customHeight="1">
      <c r="A713" s="10" t="s">
        <v>536</v>
      </c>
      <c r="B713" s="10" t="s">
        <v>125</v>
      </c>
      <c r="C713" s="41">
        <f t="array" ref="C713">IF(IFERROR(INDEX(CATALOG_POINTS,MATCH(A713,CATALOG_TASK,0)),"")="",IF(MAX(IF(IFERROR(FIND(CATALOG_BASE,A713),0)=1,CATALOG_POINTS,0))=0,DAILY_POST_POINTS,MAX(IF(IFERROR(FIND(CATALOG_BASE,A713),0)=1,CATALOG_POINTS,0))),IFERROR(INDEX(CATALOG_POINTS,MATCH(A713,CATALOG_TASK,0)),""))</f>
        <v>1</v>
      </c>
      <c r="D713" s="10" t="s">
        <v>536</v>
      </c>
      <c r="E713" s="41" t="str">
        <f t="shared" si="1"/>
        <v>PROX3</v>
      </c>
    </row>
    <row r="714" ht="15.75" customHeight="1">
      <c r="A714" s="10" t="s">
        <v>537</v>
      </c>
      <c r="B714" s="10" t="s">
        <v>117</v>
      </c>
      <c r="C714" s="41">
        <f t="array" ref="C714">IF(IFERROR(INDEX(CATALOG_POINTS,MATCH(A714,CATALOG_TASK,0)),"")="",IF(MAX(IF(IFERROR(FIND(CATALOG_BASE,A714),0)=1,CATALOG_POINTS,0))=0,DAILY_POST_POINTS,MAX(IF(IFERROR(FIND(CATALOG_BASE,A714),0)=1,CATALOG_POINTS,0))),IFERROR(INDEX(CATALOG_POINTS,MATCH(A714,CATALOG_TASK,0)),""))</f>
        <v>1</v>
      </c>
      <c r="D714" s="10" t="s">
        <v>537</v>
      </c>
      <c r="E714" s="41" t="str">
        <f t="shared" si="1"/>
        <v>PROX3</v>
      </c>
    </row>
    <row r="715" ht="15.75" customHeight="1">
      <c r="A715" s="10" t="s">
        <v>538</v>
      </c>
      <c r="B715" s="10" t="s">
        <v>125</v>
      </c>
      <c r="C715" s="41">
        <f t="array" ref="C715">IF(IFERROR(INDEX(CATALOG_POINTS,MATCH(A715,CATALOG_TASK,0)),"")="",IF(MAX(IF(IFERROR(FIND(CATALOG_BASE,A715),0)=1,CATALOG_POINTS,0))=0,DAILY_POST_POINTS,MAX(IF(IFERROR(FIND(CATALOG_BASE,A715),0)=1,CATALOG_POINTS,0))),IFERROR(INDEX(CATALOG_POINTS,MATCH(A715,CATALOG_TASK,0)),""))</f>
        <v>1</v>
      </c>
      <c r="D715" s="10" t="s">
        <v>538</v>
      </c>
      <c r="E715" s="41" t="str">
        <f t="shared" si="1"/>
        <v>PROX3</v>
      </c>
    </row>
    <row r="716" ht="15.75" customHeight="1">
      <c r="A716" s="10" t="s">
        <v>37</v>
      </c>
      <c r="B716" s="10" t="s">
        <v>126</v>
      </c>
      <c r="C716" s="41">
        <f t="array" ref="C716">IF(IFERROR(INDEX(CATALOG_POINTS,MATCH(A716,CATALOG_TASK,0)),"")="",IF(MAX(IF(IFERROR(FIND(CATALOG_BASE,A716),0)=1,CATALOG_POINTS,0))=0,DAILY_POST_POINTS,MAX(IF(IFERROR(FIND(CATALOG_BASE,A716),0)=1,CATALOG_POINTS,0))),IFERROR(INDEX(CATALOG_POINTS,MATCH(A716,CATALOG_TASK,0)),""))</f>
        <v>2</v>
      </c>
      <c r="D716" s="10" t="s">
        <v>539</v>
      </c>
      <c r="E716" s="41" t="str">
        <f t="shared" si="1"/>
        <v>PROX3</v>
      </c>
    </row>
    <row r="717" ht="15.75" customHeight="1">
      <c r="A717" s="10" t="s">
        <v>53</v>
      </c>
      <c r="B717" s="10" t="s">
        <v>139</v>
      </c>
      <c r="C717" s="41">
        <f t="array" ref="C717">IF(IFERROR(INDEX(CATALOG_POINTS,MATCH(A717,CATALOG_TASK,0)),"")="",IF(MAX(IF(IFERROR(FIND(CATALOG_BASE,A717),0)=1,CATALOG_POINTS,0))=0,DAILY_POST_POINTS,MAX(IF(IFERROR(FIND(CATALOG_BASE,A717),0)=1,CATALOG_POINTS,0))),IFERROR(INDEX(CATALOG_POINTS,MATCH(A717,CATALOG_TASK,0)),""))</f>
        <v>6</v>
      </c>
      <c r="D717" s="10" t="s">
        <v>539</v>
      </c>
      <c r="E717" s="41" t="str">
        <f t="shared" si="1"/>
        <v>PROX3</v>
      </c>
    </row>
    <row r="718" ht="15.75" customHeight="1">
      <c r="A718" s="10" t="s">
        <v>37</v>
      </c>
      <c r="B718" s="10" t="s">
        <v>117</v>
      </c>
      <c r="C718" s="41">
        <f t="array" ref="C718">IF(IFERROR(INDEX(CATALOG_POINTS,MATCH(A718,CATALOG_TASK,0)),"")="",IF(MAX(IF(IFERROR(FIND(CATALOG_BASE,A718),0)=1,CATALOG_POINTS,0))=0,DAILY_POST_POINTS,MAX(IF(IFERROR(FIND(CATALOG_BASE,A718),0)=1,CATALOG_POINTS,0))),IFERROR(INDEX(CATALOG_POINTS,MATCH(A718,CATALOG_TASK,0)),""))</f>
        <v>2</v>
      </c>
      <c r="D718" s="10" t="s">
        <v>539</v>
      </c>
      <c r="E718" s="41" t="str">
        <f t="shared" si="1"/>
        <v>PROX3</v>
      </c>
    </row>
    <row r="719" ht="15.75" customHeight="1">
      <c r="A719" s="10" t="s">
        <v>37</v>
      </c>
      <c r="B719" s="10" t="s">
        <v>126</v>
      </c>
      <c r="C719" s="41">
        <f t="array" ref="C719">IF(IFERROR(INDEX(CATALOG_POINTS,MATCH(A719,CATALOG_TASK,0)),"")="",IF(MAX(IF(IFERROR(FIND(CATALOG_BASE,A719),0)=1,CATALOG_POINTS,0))=0,DAILY_POST_POINTS,MAX(IF(IFERROR(FIND(CATALOG_BASE,A719),0)=1,CATALOG_POINTS,0))),IFERROR(INDEX(CATALOG_POINTS,MATCH(A719,CATALOG_TASK,0)),""))</f>
        <v>2</v>
      </c>
      <c r="D719" s="10" t="s">
        <v>539</v>
      </c>
      <c r="E719" s="41" t="str">
        <f t="shared" si="1"/>
        <v>PROX3</v>
      </c>
    </row>
    <row r="720" ht="15.75" customHeight="1">
      <c r="A720" s="10" t="s">
        <v>174</v>
      </c>
      <c r="B720" s="10" t="s">
        <v>127</v>
      </c>
      <c r="C720" s="41">
        <f t="array" ref="C720">IF(IFERROR(INDEX(CATALOG_POINTS,MATCH(A720,CATALOG_TASK,0)),"")="",IF(MAX(IF(IFERROR(FIND(CATALOG_BASE,A720),0)=1,CATALOG_POINTS,0))=0,DAILY_POST_POINTS,MAX(IF(IFERROR(FIND(CATALOG_BASE,A720),0)=1,CATALOG_POINTS,0))),IFERROR(INDEX(CATALOG_POINTS,MATCH(A720,CATALOG_TASK,0)),""))</f>
        <v>1</v>
      </c>
      <c r="D720" s="10" t="s">
        <v>539</v>
      </c>
      <c r="E720" s="41" t="str">
        <f t="shared" si="1"/>
        <v>PROX3</v>
      </c>
    </row>
    <row r="721" ht="15.75" customHeight="1">
      <c r="A721" s="10" t="s">
        <v>168</v>
      </c>
      <c r="B721" s="10" t="s">
        <v>127</v>
      </c>
      <c r="C721" s="41">
        <f t="array" ref="C721">IF(IFERROR(INDEX(CATALOG_POINTS,MATCH(A721,CATALOG_TASK,0)),"")="",IF(MAX(IF(IFERROR(FIND(CATALOG_BASE,A721),0)=1,CATALOG_POINTS,0))=0,DAILY_POST_POINTS,MAX(IF(IFERROR(FIND(CATALOG_BASE,A721),0)=1,CATALOG_POINTS,0))),IFERROR(INDEX(CATALOG_POINTS,MATCH(A721,CATALOG_TASK,0)),""))</f>
        <v>1</v>
      </c>
      <c r="D721" s="10" t="s">
        <v>539</v>
      </c>
      <c r="E721" s="41" t="str">
        <f t="shared" si="1"/>
        <v>PROX3</v>
      </c>
    </row>
    <row r="722" ht="15.75" customHeight="1">
      <c r="A722" s="10" t="s">
        <v>37</v>
      </c>
      <c r="B722" s="10" t="s">
        <v>122</v>
      </c>
      <c r="C722" s="41">
        <f t="array" ref="C722">IF(IFERROR(INDEX(CATALOG_POINTS,MATCH(A722,CATALOG_TASK,0)),"")="",IF(MAX(IF(IFERROR(FIND(CATALOG_BASE,A722),0)=1,CATALOG_POINTS,0))=0,DAILY_POST_POINTS,MAX(IF(IFERROR(FIND(CATALOG_BASE,A722),0)=1,CATALOG_POINTS,0))),IFERROR(INDEX(CATALOG_POINTS,MATCH(A722,CATALOG_TASK,0)),""))</f>
        <v>2</v>
      </c>
      <c r="D722" s="10" t="s">
        <v>539</v>
      </c>
      <c r="E722" s="41" t="str">
        <f t="shared" si="1"/>
        <v>PROX3</v>
      </c>
    </row>
    <row r="723" ht="15.75" customHeight="1">
      <c r="A723" s="10" t="s">
        <v>540</v>
      </c>
      <c r="B723" s="10" t="s">
        <v>124</v>
      </c>
      <c r="C723" s="41">
        <f t="array" ref="C723">IF(IFERROR(INDEX(CATALOG_POINTS,MATCH(A723,CATALOG_TASK,0)),"")="",IF(MAX(IF(IFERROR(FIND(CATALOG_BASE,A723),0)=1,CATALOG_POINTS,0))=0,DAILY_POST_POINTS,MAX(IF(IFERROR(FIND(CATALOG_BASE,A723),0)=1,CATALOG_POINTS,0))),IFERROR(INDEX(CATALOG_POINTS,MATCH(A723,CATALOG_TASK,0)),""))</f>
        <v>1</v>
      </c>
      <c r="D723" s="10" t="s">
        <v>540</v>
      </c>
      <c r="E723" s="41" t="str">
        <f t="shared" si="1"/>
        <v>SE1</v>
      </c>
    </row>
    <row r="724" ht="15.75" customHeight="1">
      <c r="A724" s="10" t="s">
        <v>541</v>
      </c>
      <c r="B724" s="10" t="s">
        <v>134</v>
      </c>
      <c r="C724" s="41">
        <f t="array" ref="C724">IF(IFERROR(INDEX(CATALOG_POINTS,MATCH(A724,CATALOG_TASK,0)),"")="",IF(MAX(IF(IFERROR(FIND(CATALOG_BASE,A724),0)=1,CATALOG_POINTS,0))=0,DAILY_POST_POINTS,MAX(IF(IFERROR(FIND(CATALOG_BASE,A724),0)=1,CATALOG_POINTS,0))),IFERROR(INDEX(CATALOG_POINTS,MATCH(A724,CATALOG_TASK,0)),""))</f>
        <v>1</v>
      </c>
      <c r="D724" s="10" t="s">
        <v>541</v>
      </c>
      <c r="E724" s="41" t="str">
        <f t="shared" si="1"/>
        <v>PROX3</v>
      </c>
    </row>
    <row r="725" ht="15.75" customHeight="1">
      <c r="A725" s="10" t="s">
        <v>542</v>
      </c>
      <c r="B725" s="10" t="s">
        <v>137</v>
      </c>
      <c r="C725" s="41">
        <f t="array" ref="C725">IF(IFERROR(INDEX(CATALOG_POINTS,MATCH(A725,CATALOG_TASK,0)),"")="",IF(MAX(IF(IFERROR(FIND(CATALOG_BASE,A725),0)=1,CATALOG_POINTS,0))=0,DAILY_POST_POINTS,MAX(IF(IFERROR(FIND(CATALOG_BASE,A725),0)=1,CATALOG_POINTS,0))),IFERROR(INDEX(CATALOG_POINTS,MATCH(A725,CATALOG_TASK,0)),""))</f>
        <v>1</v>
      </c>
      <c r="D725" s="10" t="s">
        <v>542</v>
      </c>
      <c r="E725" s="41" t="str">
        <f t="shared" si="1"/>
        <v>PROX3</v>
      </c>
    </row>
    <row r="726" ht="15.75" customHeight="1">
      <c r="A726" s="10" t="s">
        <v>543</v>
      </c>
      <c r="B726" s="10" t="s">
        <v>131</v>
      </c>
      <c r="C726" s="41">
        <f t="array" ref="C726">IF(IFERROR(INDEX(CATALOG_POINTS,MATCH(A726,CATALOG_TASK,0)),"")="",IF(MAX(IF(IFERROR(FIND(CATALOG_BASE,A726),0)=1,CATALOG_POINTS,0))=0,DAILY_POST_POINTS,MAX(IF(IFERROR(FIND(CATALOG_BASE,A726),0)=1,CATALOG_POINTS,0))),IFERROR(INDEX(CATALOG_POINTS,MATCH(A726,CATALOG_TASK,0)),""))</f>
        <v>1</v>
      </c>
      <c r="D726" s="10" t="s">
        <v>543</v>
      </c>
      <c r="E726" s="41" t="str">
        <f t="shared" si="1"/>
        <v>PROX3</v>
      </c>
    </row>
    <row r="727" ht="15.75" customHeight="1">
      <c r="A727" s="10" t="s">
        <v>544</v>
      </c>
      <c r="B727" s="10" t="s">
        <v>133</v>
      </c>
      <c r="C727" s="41">
        <f t="array" ref="C727">IF(IFERROR(INDEX(CATALOG_POINTS,MATCH(A727,CATALOG_TASK,0)),"")="",IF(MAX(IF(IFERROR(FIND(CATALOG_BASE,A727),0)=1,CATALOG_POINTS,0))=0,DAILY_POST_POINTS,MAX(IF(IFERROR(FIND(CATALOG_BASE,A727),0)=1,CATALOG_POINTS,0))),IFERROR(INDEX(CATALOG_POINTS,MATCH(A727,CATALOG_TASK,0)),""))</f>
        <v>1</v>
      </c>
      <c r="D727" s="10" t="s">
        <v>544</v>
      </c>
      <c r="E727" s="41" t="str">
        <f t="shared" si="1"/>
        <v>PROX3</v>
      </c>
    </row>
    <row r="728" ht="15.75" customHeight="1">
      <c r="A728" s="10" t="s">
        <v>545</v>
      </c>
      <c r="B728" s="10" t="s">
        <v>132</v>
      </c>
      <c r="C728" s="41">
        <f t="array" ref="C728">IF(IFERROR(INDEX(CATALOG_POINTS,MATCH(A728,CATALOG_TASK,0)),"")="",IF(MAX(IF(IFERROR(FIND(CATALOG_BASE,A728),0)=1,CATALOG_POINTS,0))=0,DAILY_POST_POINTS,MAX(IF(IFERROR(FIND(CATALOG_BASE,A728),0)=1,CATALOG_POINTS,0))),IFERROR(INDEX(CATALOG_POINTS,MATCH(A728,CATALOG_TASK,0)),""))</f>
        <v>1</v>
      </c>
      <c r="D728" s="10" t="s">
        <v>545</v>
      </c>
      <c r="E728" s="41" t="str">
        <f t="shared" si="1"/>
        <v>E0</v>
      </c>
    </row>
    <row r="729" ht="15.75" customHeight="1">
      <c r="A729" s="10" t="s">
        <v>37</v>
      </c>
      <c r="B729" s="10" t="s">
        <v>119</v>
      </c>
      <c r="C729" s="41">
        <f t="array" ref="C729">IF(IFERROR(INDEX(CATALOG_POINTS,MATCH(A729,CATALOG_TASK,0)),"")="",IF(MAX(IF(IFERROR(FIND(CATALOG_BASE,A729),0)=1,CATALOG_POINTS,0))=0,DAILY_POST_POINTS,MAX(IF(IFERROR(FIND(CATALOG_BASE,A729),0)=1,CATALOG_POINTS,0))),IFERROR(INDEX(CATALOG_POINTS,MATCH(A729,CATALOG_TASK,0)),""))</f>
        <v>2</v>
      </c>
      <c r="D729" s="10" t="s">
        <v>546</v>
      </c>
      <c r="E729" s="41" t="str">
        <f t="shared" si="1"/>
        <v>E0</v>
      </c>
    </row>
    <row r="730" ht="15.75" customHeight="1">
      <c r="A730" s="10" t="s">
        <v>546</v>
      </c>
      <c r="B730" s="10" t="s">
        <v>129</v>
      </c>
      <c r="C730" s="41">
        <f t="array" ref="C730">IF(IFERROR(INDEX(CATALOG_POINTS,MATCH(A730,CATALOG_TASK,0)),"")="",IF(MAX(IF(IFERROR(FIND(CATALOG_BASE,A730),0)=1,CATALOG_POINTS,0))=0,DAILY_POST_POINTS,MAX(IF(IFERROR(FIND(CATALOG_BASE,A730),0)=1,CATALOG_POINTS,0))),IFERROR(INDEX(CATALOG_POINTS,MATCH(A730,CATALOG_TASK,0)),""))</f>
        <v>1</v>
      </c>
      <c r="D730" s="10" t="s">
        <v>546</v>
      </c>
      <c r="E730" s="41" t="str">
        <f t="shared" si="1"/>
        <v>E0</v>
      </c>
    </row>
    <row r="731" ht="15.75" customHeight="1">
      <c r="A731" s="10" t="s">
        <v>547</v>
      </c>
      <c r="B731" s="10" t="s">
        <v>136</v>
      </c>
      <c r="C731" s="41">
        <f t="array" ref="C731">IF(IFERROR(INDEX(CATALOG_POINTS,MATCH(A731,CATALOG_TASK,0)),"")="",IF(MAX(IF(IFERROR(FIND(CATALOG_BASE,A731),0)=1,CATALOG_POINTS,0))=0,DAILY_POST_POINTS,MAX(IF(IFERROR(FIND(CATALOG_BASE,A731),0)=1,CATALOG_POINTS,0))),IFERROR(INDEX(CATALOG_POINTS,MATCH(A731,CATALOG_TASK,0)),""))</f>
        <v>1</v>
      </c>
      <c r="D731" s="10" t="s">
        <v>547</v>
      </c>
      <c r="E731" s="41" t="str">
        <f t="shared" si="1"/>
        <v>PROX3</v>
      </c>
    </row>
    <row r="732" ht="15.75" customHeight="1">
      <c r="A732" s="10" t="s">
        <v>548</v>
      </c>
      <c r="B732" s="10" t="s">
        <v>137</v>
      </c>
      <c r="C732" s="41">
        <f t="array" ref="C732">IF(IFERROR(INDEX(CATALOG_POINTS,MATCH(A732,CATALOG_TASK,0)),"")="",IF(MAX(IF(IFERROR(FIND(CATALOG_BASE,A732),0)=1,CATALOG_POINTS,0))=0,DAILY_POST_POINTS,MAX(IF(IFERROR(FIND(CATALOG_BASE,A732),0)=1,CATALOG_POINTS,0))),IFERROR(INDEX(CATALOG_POINTS,MATCH(A732,CATALOG_TASK,0)),""))</f>
        <v>1</v>
      </c>
      <c r="D732" s="10" t="s">
        <v>548</v>
      </c>
      <c r="E732" s="41" t="str">
        <f t="shared" si="1"/>
        <v>PROX3</v>
      </c>
    </row>
    <row r="733" ht="15.75" customHeight="1">
      <c r="A733" s="10" t="s">
        <v>549</v>
      </c>
      <c r="B733" s="10" t="s">
        <v>129</v>
      </c>
      <c r="C733" s="41">
        <f t="array" ref="C733">IF(IFERROR(INDEX(CATALOG_POINTS,MATCH(A733,CATALOG_TASK,0)),"")="",IF(MAX(IF(IFERROR(FIND(CATALOG_BASE,A733),0)=1,CATALOG_POINTS,0))=0,DAILY_POST_POINTS,MAX(IF(IFERROR(FIND(CATALOG_BASE,A733),0)=1,CATALOG_POINTS,0))),IFERROR(INDEX(CATALOG_POINTS,MATCH(A733,CATALOG_TASK,0)),""))</f>
        <v>1</v>
      </c>
      <c r="D733" s="10" t="s">
        <v>549</v>
      </c>
      <c r="E733" s="41" t="str">
        <f t="shared" si="1"/>
        <v>PROX3</v>
      </c>
    </row>
    <row r="734" ht="15.75" customHeight="1">
      <c r="A734" s="10" t="s">
        <v>550</v>
      </c>
      <c r="B734" s="10" t="s">
        <v>129</v>
      </c>
      <c r="C734" s="41">
        <f t="array" ref="C734">IF(IFERROR(INDEX(CATALOG_POINTS,MATCH(A734,CATALOG_TASK,0)),"")="",IF(MAX(IF(IFERROR(FIND(CATALOG_BASE,A734),0)=1,CATALOG_POINTS,0))=0,DAILY_POST_POINTS,MAX(IF(IFERROR(FIND(CATALOG_BASE,A734),0)=1,CATALOG_POINTS,0))),IFERROR(INDEX(CATALOG_POINTS,MATCH(A734,CATALOG_TASK,0)),""))</f>
        <v>1</v>
      </c>
      <c r="D734" s="10" t="s">
        <v>550</v>
      </c>
      <c r="E734" s="41" t="str">
        <f t="shared" si="1"/>
        <v>E0</v>
      </c>
    </row>
    <row r="735" ht="15.75" customHeight="1">
      <c r="A735" s="10" t="s">
        <v>551</v>
      </c>
      <c r="B735" s="10" t="s">
        <v>137</v>
      </c>
      <c r="C735" s="41">
        <f t="array" ref="C735">IF(IFERROR(INDEX(CATALOG_POINTS,MATCH(A735,CATALOG_TASK,0)),"")="",IF(MAX(IF(IFERROR(FIND(CATALOG_BASE,A735),0)=1,CATALOG_POINTS,0))=0,DAILY_POST_POINTS,MAX(IF(IFERROR(FIND(CATALOG_BASE,A735),0)=1,CATALOG_POINTS,0))),IFERROR(INDEX(CATALOG_POINTS,MATCH(A735,CATALOG_TASK,0)),""))</f>
        <v>1</v>
      </c>
      <c r="D735" s="10" t="s">
        <v>551</v>
      </c>
      <c r="E735" s="41" t="str">
        <f t="shared" si="1"/>
        <v>PROX3</v>
      </c>
    </row>
    <row r="736" ht="15.75" customHeight="1">
      <c r="A736" s="10" t="s">
        <v>552</v>
      </c>
      <c r="B736" s="10" t="s">
        <v>120</v>
      </c>
      <c r="C736" s="41">
        <f t="array" ref="C736">IF(IFERROR(INDEX(CATALOG_POINTS,MATCH(A736,CATALOG_TASK,0)),"")="",IF(MAX(IF(IFERROR(FIND(CATALOG_BASE,A736),0)=1,CATALOG_POINTS,0))=0,DAILY_POST_POINTS,MAX(IF(IFERROR(FIND(CATALOG_BASE,A736),0)=1,CATALOG_POINTS,0))),IFERROR(INDEX(CATALOG_POINTS,MATCH(A736,CATALOG_TASK,0)),""))</f>
        <v>1</v>
      </c>
      <c r="D736" s="10" t="s">
        <v>552</v>
      </c>
      <c r="E736" s="41" t="str">
        <f t="shared" si="1"/>
        <v>PROX3</v>
      </c>
    </row>
    <row r="737" ht="15.75" customHeight="1">
      <c r="A737" s="10" t="s">
        <v>37</v>
      </c>
      <c r="B737" s="10" t="s">
        <v>125</v>
      </c>
      <c r="C737" s="41">
        <f t="array" ref="C737">IF(IFERROR(INDEX(CATALOG_POINTS,MATCH(A737,CATALOG_TASK,0)),"")="",IF(MAX(IF(IFERROR(FIND(CATALOG_BASE,A737),0)=1,CATALOG_POINTS,0))=0,DAILY_POST_POINTS,MAX(IF(IFERROR(FIND(CATALOG_BASE,A737),0)=1,CATALOG_POINTS,0))),IFERROR(INDEX(CATALOG_POINTS,MATCH(A737,CATALOG_TASK,0)),""))</f>
        <v>2</v>
      </c>
      <c r="D737" s="10" t="s">
        <v>553</v>
      </c>
      <c r="E737" s="41" t="str">
        <f t="shared" si="1"/>
        <v>E0</v>
      </c>
    </row>
    <row r="738" ht="15.75" customHeight="1">
      <c r="A738" s="10" t="s">
        <v>553</v>
      </c>
      <c r="B738" s="10" t="s">
        <v>124</v>
      </c>
      <c r="C738" s="41">
        <f t="array" ref="C738">IF(IFERROR(INDEX(CATALOG_POINTS,MATCH(A738,CATALOG_TASK,0)),"")="",IF(MAX(IF(IFERROR(FIND(CATALOG_BASE,A738),0)=1,CATALOG_POINTS,0))=0,DAILY_POST_POINTS,MAX(IF(IFERROR(FIND(CATALOG_BASE,A738),0)=1,CATALOG_POINTS,0))),IFERROR(INDEX(CATALOG_POINTS,MATCH(A738,CATALOG_TASK,0)),""))</f>
        <v>1</v>
      </c>
      <c r="D738" s="10" t="s">
        <v>553</v>
      </c>
      <c r="E738" s="41" t="str">
        <f t="shared" si="1"/>
        <v>E0</v>
      </c>
    </row>
    <row r="739" ht="15.75" customHeight="1">
      <c r="A739" s="10" t="s">
        <v>554</v>
      </c>
      <c r="B739" s="10" t="s">
        <v>132</v>
      </c>
      <c r="C739" s="41">
        <f t="array" ref="C739">IF(IFERROR(INDEX(CATALOG_POINTS,MATCH(A739,CATALOG_TASK,0)),"")="",IF(MAX(IF(IFERROR(FIND(CATALOG_BASE,A739),0)=1,CATALOG_POINTS,0))=0,DAILY_POST_POINTS,MAX(IF(IFERROR(FIND(CATALOG_BASE,A739),0)=1,CATALOG_POINTS,0))),IFERROR(INDEX(CATALOG_POINTS,MATCH(A739,CATALOG_TASK,0)),""))</f>
        <v>1</v>
      </c>
      <c r="D739" s="10" t="s">
        <v>554</v>
      </c>
      <c r="E739" s="41" t="str">
        <f t="shared" si="1"/>
        <v>PROX3</v>
      </c>
    </row>
    <row r="740" ht="15.75" customHeight="1">
      <c r="A740" s="10" t="s">
        <v>555</v>
      </c>
      <c r="B740" s="10" t="s">
        <v>127</v>
      </c>
      <c r="C740" s="41">
        <f t="array" ref="C740">IF(IFERROR(INDEX(CATALOG_POINTS,MATCH(A740,CATALOG_TASK,0)),"")="",IF(MAX(IF(IFERROR(FIND(CATALOG_BASE,A740),0)=1,CATALOG_POINTS,0))=0,DAILY_POST_POINTS,MAX(IF(IFERROR(FIND(CATALOG_BASE,A740),0)=1,CATALOG_POINTS,0))),IFERROR(INDEX(CATALOG_POINTS,MATCH(A740,CATALOG_TASK,0)),""))</f>
        <v>1</v>
      </c>
      <c r="D740" s="10" t="s">
        <v>555</v>
      </c>
      <c r="E740" s="41" t="str">
        <f t="shared" si="1"/>
        <v>E0</v>
      </c>
    </row>
    <row r="741" ht="15.75" customHeight="1">
      <c r="A741" s="10" t="s">
        <v>556</v>
      </c>
      <c r="B741" s="10" t="s">
        <v>120</v>
      </c>
      <c r="C741" s="41">
        <f t="array" ref="C741">IF(IFERROR(INDEX(CATALOG_POINTS,MATCH(A741,CATALOG_TASK,0)),"")="",IF(MAX(IF(IFERROR(FIND(CATALOG_BASE,A741),0)=1,CATALOG_POINTS,0))=0,DAILY_POST_POINTS,MAX(IF(IFERROR(FIND(CATALOG_BASE,A741),0)=1,CATALOG_POINTS,0))),IFERROR(INDEX(CATALOG_POINTS,MATCH(A741,CATALOG_TASK,0)),""))</f>
        <v>1</v>
      </c>
      <c r="D741" s="10" t="s">
        <v>556</v>
      </c>
      <c r="E741" s="41" t="str">
        <f t="shared" si="1"/>
        <v>PROX3</v>
      </c>
    </row>
    <row r="742" ht="15.75" customHeight="1">
      <c r="A742" s="10" t="s">
        <v>557</v>
      </c>
      <c r="B742" s="10" t="s">
        <v>125</v>
      </c>
      <c r="C742" s="41">
        <f t="array" ref="C742">IF(IFERROR(INDEX(CATALOG_POINTS,MATCH(A742,CATALOG_TASK,0)),"")="",IF(MAX(IF(IFERROR(FIND(CATALOG_BASE,A742),0)=1,CATALOG_POINTS,0))=0,DAILY_POST_POINTS,MAX(IF(IFERROR(FIND(CATALOG_BASE,A742),0)=1,CATALOG_POINTS,0))),IFERROR(INDEX(CATALOG_POINTS,MATCH(A742,CATALOG_TASK,0)),""))</f>
        <v>1</v>
      </c>
      <c r="D742" s="10" t="s">
        <v>557</v>
      </c>
      <c r="E742" s="41" t="str">
        <f t="shared" si="1"/>
        <v>PROX3</v>
      </c>
    </row>
    <row r="743" ht="15.75" customHeight="1">
      <c r="A743" s="10" t="s">
        <v>558</v>
      </c>
      <c r="B743" s="10" t="s">
        <v>132</v>
      </c>
      <c r="C743" s="41">
        <f t="array" ref="C743">IF(IFERROR(INDEX(CATALOG_POINTS,MATCH(A743,CATALOG_TASK,0)),"")="",IF(MAX(IF(IFERROR(FIND(CATALOG_BASE,A743),0)=1,CATALOG_POINTS,0))=0,DAILY_POST_POINTS,MAX(IF(IFERROR(FIND(CATALOG_BASE,A743),0)=1,CATALOG_POINTS,0))),IFERROR(INDEX(CATALOG_POINTS,MATCH(A743,CATALOG_TASK,0)),""))</f>
        <v>1</v>
      </c>
      <c r="D743" s="10" t="s">
        <v>558</v>
      </c>
      <c r="E743" s="41" t="str">
        <f t="shared" si="1"/>
        <v>PROX4</v>
      </c>
    </row>
    <row r="744" ht="15.75" customHeight="1">
      <c r="A744" s="10" t="s">
        <v>559</v>
      </c>
      <c r="B744" s="10" t="s">
        <v>129</v>
      </c>
      <c r="C744" s="41">
        <f t="array" ref="C744">IF(IFERROR(INDEX(CATALOG_POINTS,MATCH(A744,CATALOG_TASK,0)),"")="",IF(MAX(IF(IFERROR(FIND(CATALOG_BASE,A744),0)=1,CATALOG_POINTS,0))=0,DAILY_POST_POINTS,MAX(IF(IFERROR(FIND(CATALOG_BASE,A744),0)=1,CATALOG_POINTS,0))),IFERROR(INDEX(CATALOG_POINTS,MATCH(A744,CATALOG_TASK,0)),""))</f>
        <v>1</v>
      </c>
      <c r="D744" s="10" t="s">
        <v>559</v>
      </c>
      <c r="E744" s="41" t="str">
        <f t="shared" si="1"/>
        <v/>
      </c>
    </row>
    <row r="745" ht="15.75" customHeight="1">
      <c r="A745" s="10" t="s">
        <v>560</v>
      </c>
      <c r="B745" s="10" t="s">
        <v>137</v>
      </c>
      <c r="C745" s="41">
        <f t="array" ref="C745">IF(IFERROR(INDEX(CATALOG_POINTS,MATCH(A745,CATALOG_TASK,0)),"")="",IF(MAX(IF(IFERROR(FIND(CATALOG_BASE,A745),0)=1,CATALOG_POINTS,0))=0,DAILY_POST_POINTS,MAX(IF(IFERROR(FIND(CATALOG_BASE,A745),0)=1,CATALOG_POINTS,0))),IFERROR(INDEX(CATALOG_POINTS,MATCH(A745,CATALOG_TASK,0)),""))</f>
        <v>1</v>
      </c>
      <c r="D745" s="10" t="s">
        <v>560</v>
      </c>
      <c r="E745" s="41" t="str">
        <f t="shared" si="1"/>
        <v>PROX3</v>
      </c>
    </row>
    <row r="746" ht="15.75" customHeight="1">
      <c r="A746" s="10" t="s">
        <v>561</v>
      </c>
      <c r="B746" s="10" t="s">
        <v>128</v>
      </c>
      <c r="C746" s="41">
        <f t="array" ref="C746">IF(IFERROR(INDEX(CATALOG_POINTS,MATCH(A746,CATALOG_TASK,0)),"")="",IF(MAX(IF(IFERROR(FIND(CATALOG_BASE,A746),0)=1,CATALOG_POINTS,0))=0,DAILY_POST_POINTS,MAX(IF(IFERROR(FIND(CATALOG_BASE,A746),0)=1,CATALOG_POINTS,0))),IFERROR(INDEX(CATALOG_POINTS,MATCH(A746,CATALOG_TASK,0)),""))</f>
        <v>1</v>
      </c>
      <c r="D746" s="10" t="s">
        <v>561</v>
      </c>
      <c r="E746" s="41" t="str">
        <f t="shared" si="1"/>
        <v>PROX4</v>
      </c>
    </row>
    <row r="747" ht="15.75" customHeight="1">
      <c r="A747" s="10" t="s">
        <v>562</v>
      </c>
      <c r="B747" s="10" t="s">
        <v>135</v>
      </c>
      <c r="C747" s="41">
        <f t="array" ref="C747">IF(IFERROR(INDEX(CATALOG_POINTS,MATCH(A747,CATALOG_TASK,0)),"")="",IF(MAX(IF(IFERROR(FIND(CATALOG_BASE,A747),0)=1,CATALOG_POINTS,0))=0,DAILY_POST_POINTS,MAX(IF(IFERROR(FIND(CATALOG_BASE,A747),0)=1,CATALOG_POINTS,0))),IFERROR(INDEX(CATALOG_POINTS,MATCH(A747,CATALOG_TASK,0)),""))</f>
        <v>1</v>
      </c>
      <c r="D747" s="10" t="s">
        <v>562</v>
      </c>
      <c r="E747" s="41" t="str">
        <f t="shared" si="1"/>
        <v>PROX4</v>
      </c>
    </row>
    <row r="748" ht="15.75" customHeight="1">
      <c r="A748" s="10" t="s">
        <v>37</v>
      </c>
      <c r="B748" s="10" t="s">
        <v>120</v>
      </c>
      <c r="C748" s="41">
        <f t="array" ref="C748">IF(IFERROR(INDEX(CATALOG_POINTS,MATCH(A748,CATALOG_TASK,0)),"")="",IF(MAX(IF(IFERROR(FIND(CATALOG_BASE,A748),0)=1,CATALOG_POINTS,0))=0,DAILY_POST_POINTS,MAX(IF(IFERROR(FIND(CATALOG_BASE,A748),0)=1,CATALOG_POINTS,0))),IFERROR(INDEX(CATALOG_POINTS,MATCH(A748,CATALOG_TASK,0)),""))</f>
        <v>2</v>
      </c>
      <c r="D748" s="10" t="s">
        <v>562</v>
      </c>
      <c r="E748" s="41" t="str">
        <f t="shared" si="1"/>
        <v>PROX4</v>
      </c>
    </row>
    <row r="749" ht="15.75" customHeight="1">
      <c r="A749" s="10" t="s">
        <v>37</v>
      </c>
      <c r="B749" s="10" t="s">
        <v>120</v>
      </c>
      <c r="C749" s="41">
        <f t="array" ref="C749">IF(IFERROR(INDEX(CATALOG_POINTS,MATCH(A749,CATALOG_TASK,0)),"")="",IF(MAX(IF(IFERROR(FIND(CATALOG_BASE,A749),0)=1,CATALOG_POINTS,0))=0,DAILY_POST_POINTS,MAX(IF(IFERROR(FIND(CATALOG_BASE,A749),0)=1,CATALOG_POINTS,0))),IFERROR(INDEX(CATALOG_POINTS,MATCH(A749,CATALOG_TASK,0)),""))</f>
        <v>2</v>
      </c>
      <c r="D749" s="10" t="s">
        <v>562</v>
      </c>
      <c r="E749" s="41" t="str">
        <f t="shared" si="1"/>
        <v>PROX4</v>
      </c>
    </row>
    <row r="750" ht="15.75" customHeight="1">
      <c r="A750" s="10" t="s">
        <v>563</v>
      </c>
      <c r="B750" s="10" t="s">
        <v>132</v>
      </c>
      <c r="C750" s="41">
        <f t="array" ref="C750">IF(IFERROR(INDEX(CATALOG_POINTS,MATCH(A750,CATALOG_TASK,0)),"")="",IF(MAX(IF(IFERROR(FIND(CATALOG_BASE,A750),0)=1,CATALOG_POINTS,0))=0,DAILY_POST_POINTS,MAX(IF(IFERROR(FIND(CATALOG_BASE,A750),0)=1,CATALOG_POINTS,0))),IFERROR(INDEX(CATALOG_POINTS,MATCH(A750,CATALOG_TASK,0)),""))</f>
        <v>1</v>
      </c>
      <c r="D750" s="10" t="s">
        <v>563</v>
      </c>
      <c r="E750" s="41" t="str">
        <f t="shared" si="1"/>
        <v>PROX3</v>
      </c>
    </row>
    <row r="751" ht="15.75" customHeight="1">
      <c r="A751" s="10" t="s">
        <v>37</v>
      </c>
      <c r="B751" s="10" t="s">
        <v>127</v>
      </c>
      <c r="C751" s="41">
        <f t="array" ref="C751">IF(IFERROR(INDEX(CATALOG_POINTS,MATCH(A751,CATALOG_TASK,0)),"")="",IF(MAX(IF(IFERROR(FIND(CATALOG_BASE,A751),0)=1,CATALOG_POINTS,0))=0,DAILY_POST_POINTS,MAX(IF(IFERROR(FIND(CATALOG_BASE,A751),0)=1,CATALOG_POINTS,0))),IFERROR(INDEX(CATALOG_POINTS,MATCH(A751,CATALOG_TASK,0)),""))</f>
        <v>2</v>
      </c>
      <c r="D751" s="10" t="s">
        <v>563</v>
      </c>
      <c r="E751" s="41" t="str">
        <f t="shared" si="1"/>
        <v>PROX3</v>
      </c>
    </row>
    <row r="752" ht="15.75" customHeight="1">
      <c r="A752" s="10" t="s">
        <v>180</v>
      </c>
      <c r="B752" s="10" t="s">
        <v>138</v>
      </c>
      <c r="C752" s="41">
        <f t="array" ref="C752">IF(IFERROR(INDEX(CATALOG_POINTS,MATCH(A752,CATALOG_TASK,0)),"")="",IF(MAX(IF(IFERROR(FIND(CATALOG_BASE,A752),0)=1,CATALOG_POINTS,0))=0,DAILY_POST_POINTS,MAX(IF(IFERROR(FIND(CATALOG_BASE,A752),0)=1,CATALOG_POINTS,0))),IFERROR(INDEX(CATALOG_POINTS,MATCH(A752,CATALOG_TASK,0)),""))</f>
        <v>1</v>
      </c>
      <c r="D752" s="10" t="s">
        <v>564</v>
      </c>
      <c r="E752" s="41" t="str">
        <f t="shared" si="1"/>
        <v>PROX3</v>
      </c>
    </row>
    <row r="753" ht="15.75" customHeight="1">
      <c r="A753" s="10" t="s">
        <v>565</v>
      </c>
      <c r="B753" s="10" t="s">
        <v>131</v>
      </c>
      <c r="C753" s="41">
        <f t="array" ref="C753">IF(IFERROR(INDEX(CATALOG_POINTS,MATCH(A753,CATALOG_TASK,0)),"")="",IF(MAX(IF(IFERROR(FIND(CATALOG_BASE,A753),0)=1,CATALOG_POINTS,0))=0,DAILY_POST_POINTS,MAX(IF(IFERROR(FIND(CATALOG_BASE,A753),0)=1,CATALOG_POINTS,0))),IFERROR(INDEX(CATALOG_POINTS,MATCH(A753,CATALOG_TASK,0)),""))</f>
        <v>1</v>
      </c>
      <c r="D753" s="10" t="s">
        <v>565</v>
      </c>
      <c r="E753" s="41" t="str">
        <f t="shared" si="1"/>
        <v>PROX3</v>
      </c>
    </row>
    <row r="754" ht="15.75" customHeight="1">
      <c r="A754" s="10" t="s">
        <v>566</v>
      </c>
      <c r="B754" s="10" t="s">
        <v>121</v>
      </c>
      <c r="C754" s="41">
        <f t="array" ref="C754">IF(IFERROR(INDEX(CATALOG_POINTS,MATCH(A754,CATALOG_TASK,0)),"")="",IF(MAX(IF(IFERROR(FIND(CATALOG_BASE,A754),0)=1,CATALOG_POINTS,0))=0,DAILY_POST_POINTS,MAX(IF(IFERROR(FIND(CATALOG_BASE,A754),0)=1,CATALOG_POINTS,0))),IFERROR(INDEX(CATALOG_POINTS,MATCH(A754,CATALOG_TASK,0)),""))</f>
        <v>1</v>
      </c>
      <c r="D754" s="10" t="s">
        <v>566</v>
      </c>
      <c r="E754" s="41" t="str">
        <f t="shared" si="1"/>
        <v>PROX3</v>
      </c>
    </row>
    <row r="755" ht="15.75" customHeight="1">
      <c r="A755" s="10" t="s">
        <v>567</v>
      </c>
      <c r="B755" s="10" t="s">
        <v>131</v>
      </c>
      <c r="C755" s="41">
        <f t="array" ref="C755">IF(IFERROR(INDEX(CATALOG_POINTS,MATCH(A755,CATALOG_TASK,0)),"")="",IF(MAX(IF(IFERROR(FIND(CATALOG_BASE,A755),0)=1,CATALOG_POINTS,0))=0,DAILY_POST_POINTS,MAX(IF(IFERROR(FIND(CATALOG_BASE,A755),0)=1,CATALOG_POINTS,0))),IFERROR(INDEX(CATALOG_POINTS,MATCH(A755,CATALOG_TASK,0)),""))</f>
        <v>1</v>
      </c>
      <c r="D755" s="10" t="s">
        <v>567</v>
      </c>
      <c r="E755" s="41" t="str">
        <f t="shared" si="1"/>
        <v>E0</v>
      </c>
    </row>
    <row r="756" ht="15.75" customHeight="1">
      <c r="A756" s="10" t="s">
        <v>568</v>
      </c>
      <c r="B756" s="10" t="s">
        <v>132</v>
      </c>
      <c r="C756" s="41">
        <f t="array" ref="C756">IF(IFERROR(INDEX(CATALOG_POINTS,MATCH(A756,CATALOG_TASK,0)),"")="",IF(MAX(IF(IFERROR(FIND(CATALOG_BASE,A756),0)=1,CATALOG_POINTS,0))=0,DAILY_POST_POINTS,MAX(IF(IFERROR(FIND(CATALOG_BASE,A756),0)=1,CATALOG_POINTS,0))),IFERROR(INDEX(CATALOG_POINTS,MATCH(A756,CATALOG_TASK,0)),""))</f>
        <v>1</v>
      </c>
      <c r="D756" s="10" t="s">
        <v>568</v>
      </c>
      <c r="E756" s="41" t="str">
        <f t="shared" si="1"/>
        <v>PROX3</v>
      </c>
    </row>
    <row r="757" ht="15.75" customHeight="1">
      <c r="A757" s="10" t="s">
        <v>569</v>
      </c>
      <c r="B757" s="10" t="s">
        <v>129</v>
      </c>
      <c r="C757" s="41">
        <f t="array" ref="C757">IF(IFERROR(INDEX(CATALOG_POINTS,MATCH(A757,CATALOG_TASK,0)),"")="",IF(MAX(IF(IFERROR(FIND(CATALOG_BASE,A757),0)=1,CATALOG_POINTS,0))=0,DAILY_POST_POINTS,MAX(IF(IFERROR(FIND(CATALOG_BASE,A757),0)=1,CATALOG_POINTS,0))),IFERROR(INDEX(CATALOG_POINTS,MATCH(A757,CATALOG_TASK,0)),""))</f>
        <v>1</v>
      </c>
      <c r="D757" s="10" t="s">
        <v>570</v>
      </c>
      <c r="E757" s="41" t="str">
        <f t="shared" si="1"/>
        <v/>
      </c>
    </row>
    <row r="758" ht="15.75" customHeight="1">
      <c r="A758" s="10" t="s">
        <v>571</v>
      </c>
      <c r="B758" s="10" t="s">
        <v>137</v>
      </c>
      <c r="C758" s="41">
        <f t="array" ref="C758">IF(IFERROR(INDEX(CATALOG_POINTS,MATCH(A758,CATALOG_TASK,0)),"")="",IF(MAX(IF(IFERROR(FIND(CATALOG_BASE,A758),0)=1,CATALOG_POINTS,0))=0,DAILY_POST_POINTS,MAX(IF(IFERROR(FIND(CATALOG_BASE,A758),0)=1,CATALOG_POINTS,0))),IFERROR(INDEX(CATALOG_POINTS,MATCH(A758,CATALOG_TASK,0)),""))</f>
        <v>1</v>
      </c>
      <c r="D758" s="10" t="s">
        <v>571</v>
      </c>
      <c r="E758" s="41" t="str">
        <f t="shared" si="1"/>
        <v>PROX3</v>
      </c>
    </row>
    <row r="759" ht="15.75" customHeight="1">
      <c r="A759" s="10" t="s">
        <v>572</v>
      </c>
      <c r="B759" s="10" t="s">
        <v>117</v>
      </c>
      <c r="C759" s="41">
        <f t="array" ref="C759">IF(IFERROR(INDEX(CATALOG_POINTS,MATCH(A759,CATALOG_TASK,0)),"")="",IF(MAX(IF(IFERROR(FIND(CATALOG_BASE,A759),0)=1,CATALOG_POINTS,0))=0,DAILY_POST_POINTS,MAX(IF(IFERROR(FIND(CATALOG_BASE,A759),0)=1,CATALOG_POINTS,0))),IFERROR(INDEX(CATALOG_POINTS,MATCH(A759,CATALOG_TASK,0)),""))</f>
        <v>1</v>
      </c>
      <c r="D759" s="10" t="s">
        <v>572</v>
      </c>
      <c r="E759" s="41" t="str">
        <f t="shared" si="1"/>
        <v>PROX4</v>
      </c>
    </row>
    <row r="760" ht="15.75" customHeight="1">
      <c r="A760" s="10" t="s">
        <v>180</v>
      </c>
      <c r="B760" s="10" t="s">
        <v>138</v>
      </c>
      <c r="C760" s="41">
        <f t="array" ref="C760">IF(IFERROR(INDEX(CATALOG_POINTS,MATCH(A760,CATALOG_TASK,0)),"")="",IF(MAX(IF(IFERROR(FIND(CATALOG_BASE,A760),0)=1,CATALOG_POINTS,0))=0,DAILY_POST_POINTS,MAX(IF(IFERROR(FIND(CATALOG_BASE,A760),0)=1,CATALOG_POINTS,0))),IFERROR(INDEX(CATALOG_POINTS,MATCH(A760,CATALOG_TASK,0)),""))</f>
        <v>1</v>
      </c>
      <c r="D760" s="10" t="s">
        <v>573</v>
      </c>
      <c r="E760" s="41" t="str">
        <f t="shared" si="1"/>
        <v>PROX3</v>
      </c>
    </row>
    <row r="761" ht="15.75" customHeight="1">
      <c r="A761" s="10" t="s">
        <v>174</v>
      </c>
      <c r="B761" s="10" t="s">
        <v>123</v>
      </c>
      <c r="C761" s="41">
        <f t="array" ref="C761">IF(IFERROR(INDEX(CATALOG_POINTS,MATCH(A761,CATALOG_TASK,0)),"")="",IF(MAX(IF(IFERROR(FIND(CATALOG_BASE,A761),0)=1,CATALOG_POINTS,0))=0,DAILY_POST_POINTS,MAX(IF(IFERROR(FIND(CATALOG_BASE,A761),0)=1,CATALOG_POINTS,0))),IFERROR(INDEX(CATALOG_POINTS,MATCH(A761,CATALOG_TASK,0)),""))</f>
        <v>1</v>
      </c>
      <c r="D761" s="10" t="s">
        <v>573</v>
      </c>
      <c r="E761" s="41" t="str">
        <f t="shared" si="1"/>
        <v>PROX3</v>
      </c>
    </row>
    <row r="762" ht="15.75" customHeight="1">
      <c r="A762" s="10" t="s">
        <v>574</v>
      </c>
      <c r="B762" s="10" t="s">
        <v>131</v>
      </c>
      <c r="C762" s="41">
        <f t="array" ref="C762">IF(IFERROR(INDEX(CATALOG_POINTS,MATCH(A762,CATALOG_TASK,0)),"")="",IF(MAX(IF(IFERROR(FIND(CATALOG_BASE,A762),0)=1,CATALOG_POINTS,0))=0,DAILY_POST_POINTS,MAX(IF(IFERROR(FIND(CATALOG_BASE,A762),0)=1,CATALOG_POINTS,0))),IFERROR(INDEX(CATALOG_POINTS,MATCH(A762,CATALOG_TASK,0)),""))</f>
        <v>1</v>
      </c>
      <c r="D762" s="10" t="s">
        <v>574</v>
      </c>
      <c r="E762" s="41" t="str">
        <f t="shared" si="1"/>
        <v>PROX3</v>
      </c>
    </row>
    <row r="763" ht="15.75" customHeight="1">
      <c r="A763" s="10" t="s">
        <v>37</v>
      </c>
      <c r="B763" s="10" t="s">
        <v>120</v>
      </c>
      <c r="C763" s="41">
        <f t="array" ref="C763">IF(IFERROR(INDEX(CATALOG_POINTS,MATCH(A763,CATALOG_TASK,0)),"")="",IF(MAX(IF(IFERROR(FIND(CATALOG_BASE,A763),0)=1,CATALOG_POINTS,0))=0,DAILY_POST_POINTS,MAX(IF(IFERROR(FIND(CATALOG_BASE,A763),0)=1,CATALOG_POINTS,0))),IFERROR(INDEX(CATALOG_POINTS,MATCH(A763,CATALOG_TASK,0)),""))</f>
        <v>2</v>
      </c>
      <c r="D763" s="10" t="s">
        <v>575</v>
      </c>
      <c r="E763" s="41" t="str">
        <f t="shared" si="1"/>
        <v>PROX4</v>
      </c>
    </row>
    <row r="764" ht="15.75" customHeight="1">
      <c r="A764" s="10" t="s">
        <v>576</v>
      </c>
      <c r="B764" s="10" t="s">
        <v>129</v>
      </c>
      <c r="C764" s="41">
        <f t="array" ref="C764">IF(IFERROR(INDEX(CATALOG_POINTS,MATCH(A764,CATALOG_TASK,0)),"")="",IF(MAX(IF(IFERROR(FIND(CATALOG_BASE,A764),0)=1,CATALOG_POINTS,0))=0,DAILY_POST_POINTS,MAX(IF(IFERROR(FIND(CATALOG_BASE,A764),0)=1,CATALOG_POINTS,0))),IFERROR(INDEX(CATALOG_POINTS,MATCH(A764,CATALOG_TASK,0)),""))</f>
        <v>1</v>
      </c>
      <c r="D764" s="10" t="s">
        <v>575</v>
      </c>
      <c r="E764" s="41" t="str">
        <f t="shared" si="1"/>
        <v>PROX4</v>
      </c>
    </row>
    <row r="765" ht="15.75" customHeight="1">
      <c r="A765" s="10" t="s">
        <v>577</v>
      </c>
      <c r="B765" s="10" t="s">
        <v>136</v>
      </c>
      <c r="C765" s="41">
        <f t="array" ref="C765">IF(IFERROR(INDEX(CATALOG_POINTS,MATCH(A765,CATALOG_TASK,0)),"")="",IF(MAX(IF(IFERROR(FIND(CATALOG_BASE,A765),0)=1,CATALOG_POINTS,0))=0,DAILY_POST_POINTS,MAX(IF(IFERROR(FIND(CATALOG_BASE,A765),0)=1,CATALOG_POINTS,0))),IFERROR(INDEX(CATALOG_POINTS,MATCH(A765,CATALOG_TASK,0)),""))</f>
        <v>1</v>
      </c>
      <c r="D765" s="10" t="s">
        <v>577</v>
      </c>
      <c r="E765" s="41" t="str">
        <f t="shared" si="1"/>
        <v>E0</v>
      </c>
    </row>
    <row r="766" ht="15.75" customHeight="1">
      <c r="A766" s="10" t="s">
        <v>37</v>
      </c>
      <c r="B766" s="10" t="s">
        <v>121</v>
      </c>
      <c r="C766" s="41">
        <f t="array" ref="C766">IF(IFERROR(INDEX(CATALOG_POINTS,MATCH(A766,CATALOG_TASK,0)),"")="",IF(MAX(IF(IFERROR(FIND(CATALOG_BASE,A766),0)=1,CATALOG_POINTS,0))=0,DAILY_POST_POINTS,MAX(IF(IFERROR(FIND(CATALOG_BASE,A766),0)=1,CATALOG_POINTS,0))),IFERROR(INDEX(CATALOG_POINTS,MATCH(A766,CATALOG_TASK,0)),""))</f>
        <v>2</v>
      </c>
      <c r="D766" s="10" t="s">
        <v>577</v>
      </c>
      <c r="E766" s="41" t="str">
        <f t="shared" si="1"/>
        <v>E0</v>
      </c>
    </row>
    <row r="767" ht="15.75" customHeight="1">
      <c r="A767" s="10" t="s">
        <v>174</v>
      </c>
      <c r="B767" s="10" t="s">
        <v>123</v>
      </c>
      <c r="C767" s="41">
        <f t="array" ref="C767">IF(IFERROR(INDEX(CATALOG_POINTS,MATCH(A767,CATALOG_TASK,0)),"")="",IF(MAX(IF(IFERROR(FIND(CATALOG_BASE,A767),0)=1,CATALOG_POINTS,0))=0,DAILY_POST_POINTS,MAX(IF(IFERROR(FIND(CATALOG_BASE,A767),0)=1,CATALOG_POINTS,0))),IFERROR(INDEX(CATALOG_POINTS,MATCH(A767,CATALOG_TASK,0)),""))</f>
        <v>1</v>
      </c>
      <c r="D767" s="10" t="s">
        <v>578</v>
      </c>
      <c r="E767" s="41" t="str">
        <f t="shared" si="1"/>
        <v>PROX3</v>
      </c>
    </row>
    <row r="768" ht="15.75" customHeight="1">
      <c r="A768" s="10" t="s">
        <v>24</v>
      </c>
      <c r="B768" s="10" t="s">
        <v>121</v>
      </c>
      <c r="C768" s="41">
        <f t="array" ref="C768">IF(IFERROR(INDEX(CATALOG_POINTS,MATCH(A768,CATALOG_TASK,0)),"")="",IF(MAX(IF(IFERROR(FIND(CATALOG_BASE,A768),0)=1,CATALOG_POINTS,0))=0,DAILY_POST_POINTS,MAX(IF(IFERROR(FIND(CATALOG_BASE,A768),0)=1,CATALOG_POINTS,0))),IFERROR(INDEX(CATALOG_POINTS,MATCH(A768,CATALOG_TASK,0)),""))</f>
        <v>2</v>
      </c>
      <c r="D768" s="10" t="s">
        <v>578</v>
      </c>
      <c r="E768" s="41" t="str">
        <f t="shared" si="1"/>
        <v>PROX3</v>
      </c>
    </row>
    <row r="769" ht="15.75" customHeight="1">
      <c r="A769" s="10" t="s">
        <v>579</v>
      </c>
      <c r="B769" s="10" t="s">
        <v>137</v>
      </c>
      <c r="C769" s="41">
        <f t="array" ref="C769">IF(IFERROR(INDEX(CATALOG_POINTS,MATCH(A769,CATALOG_TASK,0)),"")="",IF(MAX(IF(IFERROR(FIND(CATALOG_BASE,A769),0)=1,CATALOG_POINTS,0))=0,DAILY_POST_POINTS,MAX(IF(IFERROR(FIND(CATALOG_BASE,A769),0)=1,CATALOG_POINTS,0))),IFERROR(INDEX(CATALOG_POINTS,MATCH(A769,CATALOG_TASK,0)),""))</f>
        <v>1</v>
      </c>
      <c r="D769" s="10" t="s">
        <v>579</v>
      </c>
      <c r="E769" s="41" t="str">
        <f t="shared" si="1"/>
        <v>PROX3</v>
      </c>
    </row>
    <row r="770" ht="15.75" customHeight="1">
      <c r="A770" s="10" t="s">
        <v>580</v>
      </c>
      <c r="B770" s="10" t="s">
        <v>121</v>
      </c>
      <c r="C770" s="41">
        <f t="array" ref="C770">IF(IFERROR(INDEX(CATALOG_POINTS,MATCH(A770,CATALOG_TASK,0)),"")="",IF(MAX(IF(IFERROR(FIND(CATALOG_BASE,A770),0)=1,CATALOG_POINTS,0))=0,DAILY_POST_POINTS,MAX(IF(IFERROR(FIND(CATALOG_BASE,A770),0)=1,CATALOG_POINTS,0))),IFERROR(INDEX(CATALOG_POINTS,MATCH(A770,CATALOG_TASK,0)),""))</f>
        <v>1</v>
      </c>
      <c r="D770" s="10" t="s">
        <v>580</v>
      </c>
      <c r="E770" s="41" t="str">
        <f t="shared" si="1"/>
        <v>PROX4</v>
      </c>
    </row>
    <row r="771" ht="15.75" customHeight="1">
      <c r="A771" s="10" t="s">
        <v>37</v>
      </c>
      <c r="B771" s="10" t="s">
        <v>120</v>
      </c>
      <c r="C771" s="41">
        <f t="array" ref="C771">IF(IFERROR(INDEX(CATALOG_POINTS,MATCH(A771,CATALOG_TASK,0)),"")="",IF(MAX(IF(IFERROR(FIND(CATALOG_BASE,A771),0)=1,CATALOG_POINTS,0))=0,DAILY_POST_POINTS,MAX(IF(IFERROR(FIND(CATALOG_BASE,A771),0)=1,CATALOG_POINTS,0))),IFERROR(INDEX(CATALOG_POINTS,MATCH(A771,CATALOG_TASK,0)),""))</f>
        <v>2</v>
      </c>
      <c r="D771" s="10" t="s">
        <v>580</v>
      </c>
      <c r="E771" s="41" t="str">
        <f t="shared" si="1"/>
        <v>PROX4</v>
      </c>
    </row>
    <row r="772" ht="15.75" customHeight="1">
      <c r="A772" s="10" t="s">
        <v>581</v>
      </c>
      <c r="B772" s="10" t="s">
        <v>126</v>
      </c>
      <c r="C772" s="41">
        <f t="array" ref="C772">IF(IFERROR(INDEX(CATALOG_POINTS,MATCH(A772,CATALOG_TASK,0)),"")="",IF(MAX(IF(IFERROR(FIND(CATALOG_BASE,A772),0)=1,CATALOG_POINTS,0))=0,DAILY_POST_POINTS,MAX(IF(IFERROR(FIND(CATALOG_BASE,A772),0)=1,CATALOG_POINTS,0))),IFERROR(INDEX(CATALOG_POINTS,MATCH(A772,CATALOG_TASK,0)),""))</f>
        <v>1</v>
      </c>
      <c r="D772" s="10" t="s">
        <v>581</v>
      </c>
      <c r="E772" s="41" t="str">
        <f t="shared" si="1"/>
        <v>PROX3</v>
      </c>
    </row>
    <row r="773" ht="15.75" customHeight="1">
      <c r="A773" s="10" t="s">
        <v>37</v>
      </c>
      <c r="B773" s="10" t="s">
        <v>119</v>
      </c>
      <c r="C773" s="41">
        <f t="array" ref="C773">IF(IFERROR(INDEX(CATALOG_POINTS,MATCH(A773,CATALOG_TASK,0)),"")="",IF(MAX(IF(IFERROR(FIND(CATALOG_BASE,A773),0)=1,CATALOG_POINTS,0))=0,DAILY_POST_POINTS,MAX(IF(IFERROR(FIND(CATALOG_BASE,A773),0)=1,CATALOG_POINTS,0))),IFERROR(INDEX(CATALOG_POINTS,MATCH(A773,CATALOG_TASK,0)),""))</f>
        <v>2</v>
      </c>
      <c r="D773" s="10" t="s">
        <v>581</v>
      </c>
      <c r="E773" s="41" t="str">
        <f t="shared" si="1"/>
        <v>PROX3</v>
      </c>
    </row>
    <row r="774" ht="15.75" customHeight="1">
      <c r="A774" s="10" t="s">
        <v>582</v>
      </c>
      <c r="B774" s="10" t="s">
        <v>126</v>
      </c>
      <c r="C774" s="41">
        <f t="array" ref="C774">IF(IFERROR(INDEX(CATALOG_POINTS,MATCH(A774,CATALOG_TASK,0)),"")="",IF(MAX(IF(IFERROR(FIND(CATALOG_BASE,A774),0)=1,CATALOG_POINTS,0))=0,DAILY_POST_POINTS,MAX(IF(IFERROR(FIND(CATALOG_BASE,A774),0)=1,CATALOG_POINTS,0))),IFERROR(INDEX(CATALOG_POINTS,MATCH(A774,CATALOG_TASK,0)),""))</f>
        <v>1</v>
      </c>
      <c r="D774" s="10" t="s">
        <v>582</v>
      </c>
      <c r="E774" s="41" t="str">
        <f t="shared" si="1"/>
        <v>PROX3</v>
      </c>
    </row>
    <row r="775" ht="15.75" customHeight="1">
      <c r="A775" s="10" t="s">
        <v>170</v>
      </c>
      <c r="B775" s="10" t="s">
        <v>121</v>
      </c>
      <c r="C775" s="41">
        <f t="array" ref="C775">IF(IFERROR(INDEX(CATALOG_POINTS,MATCH(A775,CATALOG_TASK,0)),"")="",IF(MAX(IF(IFERROR(FIND(CATALOG_BASE,A775),0)=1,CATALOG_POINTS,0))=0,DAILY_POST_POINTS,MAX(IF(IFERROR(FIND(CATALOG_BASE,A775),0)=1,CATALOG_POINTS,0))),IFERROR(INDEX(CATALOG_POINTS,MATCH(A775,CATALOG_TASK,0)),""))</f>
        <v>1</v>
      </c>
      <c r="D775" s="10" t="s">
        <v>582</v>
      </c>
      <c r="E775" s="41" t="str">
        <f t="shared" si="1"/>
        <v>PROX3</v>
      </c>
    </row>
    <row r="776" ht="15.75" customHeight="1">
      <c r="A776" s="10" t="s">
        <v>583</v>
      </c>
      <c r="B776" s="10" t="s">
        <v>132</v>
      </c>
      <c r="C776" s="41">
        <f t="array" ref="C776">IF(IFERROR(INDEX(CATALOG_POINTS,MATCH(A776,CATALOG_TASK,0)),"")="",IF(MAX(IF(IFERROR(FIND(CATALOG_BASE,A776),0)=1,CATALOG_POINTS,0))=0,DAILY_POST_POINTS,MAX(IF(IFERROR(FIND(CATALOG_BASE,A776),0)=1,CATALOG_POINTS,0))),IFERROR(INDEX(CATALOG_POINTS,MATCH(A776,CATALOG_TASK,0)),""))</f>
        <v>1</v>
      </c>
      <c r="D776" s="10" t="s">
        <v>583</v>
      </c>
      <c r="E776" s="41" t="str">
        <f t="shared" si="1"/>
        <v>PROX3</v>
      </c>
    </row>
    <row r="777" ht="15.75" customHeight="1">
      <c r="A777" s="10" t="s">
        <v>37</v>
      </c>
      <c r="B777" s="10" t="s">
        <v>121</v>
      </c>
      <c r="C777" s="41">
        <f t="array" ref="C777">IF(IFERROR(INDEX(CATALOG_POINTS,MATCH(A777,CATALOG_TASK,0)),"")="",IF(MAX(IF(IFERROR(FIND(CATALOG_BASE,A777),0)=1,CATALOG_POINTS,0))=0,DAILY_POST_POINTS,MAX(IF(IFERROR(FIND(CATALOG_BASE,A777),0)=1,CATALOG_POINTS,0))),IFERROR(INDEX(CATALOG_POINTS,MATCH(A777,CATALOG_TASK,0)),""))</f>
        <v>2</v>
      </c>
      <c r="D777" s="10" t="s">
        <v>583</v>
      </c>
      <c r="E777" s="41" t="str">
        <f t="shared" si="1"/>
        <v>PROX3</v>
      </c>
    </row>
    <row r="778" ht="15.75" customHeight="1">
      <c r="A778" s="10" t="s">
        <v>37</v>
      </c>
      <c r="B778" s="10" t="s">
        <v>122</v>
      </c>
      <c r="C778" s="41">
        <f t="array" ref="C778">IF(IFERROR(INDEX(CATALOG_POINTS,MATCH(A778,CATALOG_TASK,0)),"")="",IF(MAX(IF(IFERROR(FIND(CATALOG_BASE,A778),0)=1,CATALOG_POINTS,0))=0,DAILY_POST_POINTS,MAX(IF(IFERROR(FIND(CATALOG_BASE,A778),0)=1,CATALOG_POINTS,0))),IFERROR(INDEX(CATALOG_POINTS,MATCH(A778,CATALOG_TASK,0)),""))</f>
        <v>2</v>
      </c>
      <c r="D778" s="10" t="s">
        <v>583</v>
      </c>
      <c r="E778" s="41" t="str">
        <f t="shared" si="1"/>
        <v>PROX3</v>
      </c>
    </row>
    <row r="779" ht="15.75" customHeight="1">
      <c r="A779" s="10" t="s">
        <v>174</v>
      </c>
      <c r="B779" s="10" t="s">
        <v>123</v>
      </c>
      <c r="C779" s="41">
        <f t="array" ref="C779">IF(IFERROR(INDEX(CATALOG_POINTS,MATCH(A779,CATALOG_TASK,0)),"")="",IF(MAX(IF(IFERROR(FIND(CATALOG_BASE,A779),0)=1,CATALOG_POINTS,0))=0,DAILY_POST_POINTS,MAX(IF(IFERROR(FIND(CATALOG_BASE,A779),0)=1,CATALOG_POINTS,0))),IFERROR(INDEX(CATALOG_POINTS,MATCH(A779,CATALOG_TASK,0)),""))</f>
        <v>1</v>
      </c>
      <c r="D779" s="10" t="s">
        <v>584</v>
      </c>
      <c r="E779" s="41" t="str">
        <f t="shared" si="1"/>
        <v>PROX3</v>
      </c>
    </row>
    <row r="780" ht="15.75" customHeight="1">
      <c r="A780" s="10" t="s">
        <v>585</v>
      </c>
      <c r="B780" s="10" t="s">
        <v>132</v>
      </c>
      <c r="C780" s="41">
        <f t="array" ref="C780">IF(IFERROR(INDEX(CATALOG_POINTS,MATCH(A780,CATALOG_TASK,0)),"")="",IF(MAX(IF(IFERROR(FIND(CATALOG_BASE,A780),0)=1,CATALOG_POINTS,0))=0,DAILY_POST_POINTS,MAX(IF(IFERROR(FIND(CATALOG_BASE,A780),0)=1,CATALOG_POINTS,0))),IFERROR(INDEX(CATALOG_POINTS,MATCH(A780,CATALOG_TASK,0)),""))</f>
        <v>1</v>
      </c>
      <c r="D780" s="10" t="s">
        <v>585</v>
      </c>
      <c r="E780" s="41" t="str">
        <f t="shared" si="1"/>
        <v>E0</v>
      </c>
    </row>
    <row r="781" ht="15.75" customHeight="1">
      <c r="A781" s="10" t="s">
        <v>586</v>
      </c>
      <c r="B781" s="10" t="s">
        <v>117</v>
      </c>
      <c r="C781" s="41">
        <f t="array" ref="C781">IF(IFERROR(INDEX(CATALOG_POINTS,MATCH(A781,CATALOG_TASK,0)),"")="",IF(MAX(IF(IFERROR(FIND(CATALOG_BASE,A781),0)=1,CATALOG_POINTS,0))=0,DAILY_POST_POINTS,MAX(IF(IFERROR(FIND(CATALOG_BASE,A781),0)=1,CATALOG_POINTS,0))),IFERROR(INDEX(CATALOG_POINTS,MATCH(A781,CATALOG_TASK,0)),""))</f>
        <v>1</v>
      </c>
      <c r="D781" s="10" t="s">
        <v>586</v>
      </c>
      <c r="E781" s="41" t="str">
        <f t="shared" si="1"/>
        <v>PROX3</v>
      </c>
    </row>
    <row r="782" ht="15.75" customHeight="1">
      <c r="A782" s="10" t="s">
        <v>587</v>
      </c>
      <c r="B782" s="10" t="s">
        <v>117</v>
      </c>
      <c r="C782" s="41">
        <f t="array" ref="C782">IF(IFERROR(INDEX(CATALOG_POINTS,MATCH(A782,CATALOG_TASK,0)),"")="",IF(MAX(IF(IFERROR(FIND(CATALOG_BASE,A782),0)=1,CATALOG_POINTS,0))=0,DAILY_POST_POINTS,MAX(IF(IFERROR(FIND(CATALOG_BASE,A782),0)=1,CATALOG_POINTS,0))),IFERROR(INDEX(CATALOG_POINTS,MATCH(A782,CATALOG_TASK,0)),""))</f>
        <v>1</v>
      </c>
      <c r="D782" s="10" t="s">
        <v>587</v>
      </c>
      <c r="E782" s="41" t="str">
        <f t="shared" si="1"/>
        <v>PROX3</v>
      </c>
    </row>
    <row r="783" ht="15.75" customHeight="1">
      <c r="A783" s="10" t="s">
        <v>37</v>
      </c>
      <c r="B783" s="10" t="s">
        <v>121</v>
      </c>
      <c r="C783" s="41">
        <f t="array" ref="C783">IF(IFERROR(INDEX(CATALOG_POINTS,MATCH(A783,CATALOG_TASK,0)),"")="",IF(MAX(IF(IFERROR(FIND(CATALOG_BASE,A783),0)=1,CATALOG_POINTS,0))=0,DAILY_POST_POINTS,MAX(IF(IFERROR(FIND(CATALOG_BASE,A783),0)=1,CATALOG_POINTS,0))),IFERROR(INDEX(CATALOG_POINTS,MATCH(A783,CATALOG_TASK,0)),""))</f>
        <v>2</v>
      </c>
      <c r="D783" s="10" t="s">
        <v>588</v>
      </c>
      <c r="E783" s="41" t="str">
        <f t="shared" si="1"/>
        <v>PROX4</v>
      </c>
    </row>
    <row r="784" ht="15.75" customHeight="1">
      <c r="A784" s="10" t="s">
        <v>588</v>
      </c>
      <c r="B784" s="10" t="s">
        <v>128</v>
      </c>
      <c r="C784" s="41">
        <f t="array" ref="C784">IF(IFERROR(INDEX(CATALOG_POINTS,MATCH(A784,CATALOG_TASK,0)),"")="",IF(MAX(IF(IFERROR(FIND(CATALOG_BASE,A784),0)=1,CATALOG_POINTS,0))=0,DAILY_POST_POINTS,MAX(IF(IFERROR(FIND(CATALOG_BASE,A784),0)=1,CATALOG_POINTS,0))),IFERROR(INDEX(CATALOG_POINTS,MATCH(A784,CATALOG_TASK,0)),""))</f>
        <v>1</v>
      </c>
      <c r="D784" s="10" t="s">
        <v>588</v>
      </c>
      <c r="E784" s="41" t="str">
        <f t="shared" si="1"/>
        <v>PROX4</v>
      </c>
    </row>
    <row r="785" ht="15.75" customHeight="1">
      <c r="A785" s="10" t="s">
        <v>589</v>
      </c>
      <c r="B785" s="10" t="s">
        <v>120</v>
      </c>
      <c r="C785" s="41">
        <f t="array" ref="C785">IF(IFERROR(INDEX(CATALOG_POINTS,MATCH(A785,CATALOG_TASK,0)),"")="",IF(MAX(IF(IFERROR(FIND(CATALOG_BASE,A785),0)=1,CATALOG_POINTS,0))=0,DAILY_POST_POINTS,MAX(IF(IFERROR(FIND(CATALOG_BASE,A785),0)=1,CATALOG_POINTS,0))),IFERROR(INDEX(CATALOG_POINTS,MATCH(A785,CATALOG_TASK,0)),""))</f>
        <v>1</v>
      </c>
      <c r="D785" s="10" t="s">
        <v>589</v>
      </c>
      <c r="E785" s="41" t="str">
        <f t="shared" si="1"/>
        <v>PROX3</v>
      </c>
    </row>
    <row r="786" ht="15.75" customHeight="1">
      <c r="A786" s="10" t="s">
        <v>37</v>
      </c>
      <c r="B786" s="10" t="s">
        <v>120</v>
      </c>
      <c r="C786" s="41">
        <f t="array" ref="C786">IF(IFERROR(INDEX(CATALOG_POINTS,MATCH(A786,CATALOG_TASK,0)),"")="",IF(MAX(IF(IFERROR(FIND(CATALOG_BASE,A786),0)=1,CATALOG_POINTS,0))=0,DAILY_POST_POINTS,MAX(IF(IFERROR(FIND(CATALOG_BASE,A786),0)=1,CATALOG_POINTS,0))),IFERROR(INDEX(CATALOG_POINTS,MATCH(A786,CATALOG_TASK,0)),""))</f>
        <v>2</v>
      </c>
      <c r="D786" s="10" t="s">
        <v>589</v>
      </c>
      <c r="E786" s="41" t="str">
        <f t="shared" si="1"/>
        <v>PROX3</v>
      </c>
    </row>
    <row r="787" ht="15.75" customHeight="1">
      <c r="A787" s="10" t="s">
        <v>37</v>
      </c>
      <c r="B787" s="10" t="s">
        <v>119</v>
      </c>
      <c r="C787" s="41">
        <f t="array" ref="C787">IF(IFERROR(INDEX(CATALOG_POINTS,MATCH(A787,CATALOG_TASK,0)),"")="",IF(MAX(IF(IFERROR(FIND(CATALOG_BASE,A787),0)=1,CATALOG_POINTS,0))=0,DAILY_POST_POINTS,MAX(IF(IFERROR(FIND(CATALOG_BASE,A787),0)=1,CATALOG_POINTS,0))),IFERROR(INDEX(CATALOG_POINTS,MATCH(A787,CATALOG_TASK,0)),""))</f>
        <v>2</v>
      </c>
      <c r="D787" s="10" t="s">
        <v>590</v>
      </c>
      <c r="E787" s="41" t="str">
        <f t="shared" si="1"/>
        <v>PROX4</v>
      </c>
    </row>
    <row r="788" ht="15.75" customHeight="1">
      <c r="A788" s="10" t="s">
        <v>37</v>
      </c>
      <c r="B788" s="10" t="s">
        <v>124</v>
      </c>
      <c r="C788" s="41">
        <f t="array" ref="C788">IF(IFERROR(INDEX(CATALOG_POINTS,MATCH(A788,CATALOG_TASK,0)),"")="",IF(MAX(IF(IFERROR(FIND(CATALOG_BASE,A788),0)=1,CATALOG_POINTS,0))=0,DAILY_POST_POINTS,MAX(IF(IFERROR(FIND(CATALOG_BASE,A788),0)=1,CATALOG_POINTS,0))),IFERROR(INDEX(CATALOG_POINTS,MATCH(A788,CATALOG_TASK,0)),""))</f>
        <v>2</v>
      </c>
      <c r="D788" s="10" t="s">
        <v>590</v>
      </c>
      <c r="E788" s="41" t="str">
        <f t="shared" si="1"/>
        <v>PROX4</v>
      </c>
    </row>
    <row r="789" ht="15.75" customHeight="1">
      <c r="A789" s="10" t="s">
        <v>590</v>
      </c>
      <c r="B789" s="10" t="s">
        <v>131</v>
      </c>
      <c r="C789" s="41">
        <f t="array" ref="C789">IF(IFERROR(INDEX(CATALOG_POINTS,MATCH(A789,CATALOG_TASK,0)),"")="",IF(MAX(IF(IFERROR(FIND(CATALOG_BASE,A789),0)=1,CATALOG_POINTS,0))=0,DAILY_POST_POINTS,MAX(IF(IFERROR(FIND(CATALOG_BASE,A789),0)=1,CATALOG_POINTS,0))),IFERROR(INDEX(CATALOG_POINTS,MATCH(A789,CATALOG_TASK,0)),""))</f>
        <v>1</v>
      </c>
      <c r="D789" s="10" t="s">
        <v>590</v>
      </c>
      <c r="E789" s="41" t="str">
        <f t="shared" si="1"/>
        <v>PROX4</v>
      </c>
    </row>
    <row r="790" ht="15.75" customHeight="1">
      <c r="A790" s="10" t="s">
        <v>37</v>
      </c>
      <c r="B790" s="10" t="s">
        <v>125</v>
      </c>
      <c r="C790" s="41">
        <f t="array" ref="C790">IF(IFERROR(INDEX(CATALOG_POINTS,MATCH(A790,CATALOG_TASK,0)),"")="",IF(MAX(IF(IFERROR(FIND(CATALOG_BASE,A790),0)=1,CATALOG_POINTS,0))=0,DAILY_POST_POINTS,MAX(IF(IFERROR(FIND(CATALOG_BASE,A790),0)=1,CATALOG_POINTS,0))),IFERROR(INDEX(CATALOG_POINTS,MATCH(A790,CATALOG_TASK,0)),""))</f>
        <v>2</v>
      </c>
      <c r="D790" s="10" t="s">
        <v>590</v>
      </c>
      <c r="E790" s="41" t="str">
        <f t="shared" si="1"/>
        <v>PROX4</v>
      </c>
    </row>
    <row r="791" ht="15.75" customHeight="1">
      <c r="A791" s="10" t="s">
        <v>591</v>
      </c>
      <c r="B791" s="10" t="s">
        <v>135</v>
      </c>
      <c r="C791" s="41">
        <f t="array" ref="C791">IF(IFERROR(INDEX(CATALOG_POINTS,MATCH(A791,CATALOG_TASK,0)),"")="",IF(MAX(IF(IFERROR(FIND(CATALOG_BASE,A791),0)=1,CATALOG_POINTS,0))=0,DAILY_POST_POINTS,MAX(IF(IFERROR(FIND(CATALOG_BASE,A791),0)=1,CATALOG_POINTS,0))),IFERROR(INDEX(CATALOG_POINTS,MATCH(A791,CATALOG_TASK,0)),""))</f>
        <v>1</v>
      </c>
      <c r="D791" s="10" t="s">
        <v>591</v>
      </c>
      <c r="E791" s="41" t="str">
        <f t="shared" si="1"/>
        <v>PROX3</v>
      </c>
    </row>
    <row r="792" ht="15.75" customHeight="1">
      <c r="A792" s="10" t="s">
        <v>37</v>
      </c>
      <c r="B792" s="10" t="s">
        <v>120</v>
      </c>
      <c r="C792" s="41">
        <f t="array" ref="C792">IF(IFERROR(INDEX(CATALOG_POINTS,MATCH(A792,CATALOG_TASK,0)),"")="",IF(MAX(IF(IFERROR(FIND(CATALOG_BASE,A792),0)=1,CATALOG_POINTS,0))=0,DAILY_POST_POINTS,MAX(IF(IFERROR(FIND(CATALOG_BASE,A792),0)=1,CATALOG_POINTS,0))),IFERROR(INDEX(CATALOG_POINTS,MATCH(A792,CATALOG_TASK,0)),""))</f>
        <v>2</v>
      </c>
      <c r="D792" s="10" t="s">
        <v>591</v>
      </c>
      <c r="E792" s="41" t="str">
        <f t="shared" si="1"/>
        <v>PROX3</v>
      </c>
    </row>
    <row r="793" ht="15.75" customHeight="1">
      <c r="A793" s="10" t="s">
        <v>37</v>
      </c>
      <c r="B793" s="10" t="s">
        <v>120</v>
      </c>
      <c r="C793" s="41">
        <f t="array" ref="C793">IF(IFERROR(INDEX(CATALOG_POINTS,MATCH(A793,CATALOG_TASK,0)),"")="",IF(MAX(IF(IFERROR(FIND(CATALOG_BASE,A793),0)=1,CATALOG_POINTS,0))=0,DAILY_POST_POINTS,MAX(IF(IFERROR(FIND(CATALOG_BASE,A793),0)=1,CATALOG_POINTS,0))),IFERROR(INDEX(CATALOG_POINTS,MATCH(A793,CATALOG_TASK,0)),""))</f>
        <v>2</v>
      </c>
      <c r="D793" s="10" t="s">
        <v>592</v>
      </c>
      <c r="E793" s="41" t="str">
        <f t="shared" si="1"/>
        <v>PROX3</v>
      </c>
    </row>
    <row r="794" ht="15.75" customHeight="1">
      <c r="A794" s="10" t="s">
        <v>592</v>
      </c>
      <c r="B794" s="10" t="s">
        <v>125</v>
      </c>
      <c r="C794" s="41">
        <f t="array" ref="C794">IF(IFERROR(INDEX(CATALOG_POINTS,MATCH(A794,CATALOG_TASK,0)),"")="",IF(MAX(IF(IFERROR(FIND(CATALOG_BASE,A794),0)=1,CATALOG_POINTS,0))=0,DAILY_POST_POINTS,MAX(IF(IFERROR(FIND(CATALOG_BASE,A794),0)=1,CATALOG_POINTS,0))),IFERROR(INDEX(CATALOG_POINTS,MATCH(A794,CATALOG_TASK,0)),""))</f>
        <v>1</v>
      </c>
      <c r="D794" s="10" t="s">
        <v>592</v>
      </c>
      <c r="E794" s="41" t="str">
        <f t="shared" si="1"/>
        <v>PROX3</v>
      </c>
    </row>
    <row r="795" ht="15.75" customHeight="1">
      <c r="A795" s="10" t="s">
        <v>37</v>
      </c>
      <c r="B795" s="10" t="s">
        <v>120</v>
      </c>
      <c r="C795" s="41">
        <f t="array" ref="C795">IF(IFERROR(INDEX(CATALOG_POINTS,MATCH(A795,CATALOG_TASK,0)),"")="",IF(MAX(IF(IFERROR(FIND(CATALOG_BASE,A795),0)=1,CATALOG_POINTS,0))=0,DAILY_POST_POINTS,MAX(IF(IFERROR(FIND(CATALOG_BASE,A795),0)=1,CATALOG_POINTS,0))),IFERROR(INDEX(CATALOG_POINTS,MATCH(A795,CATALOG_TASK,0)),""))</f>
        <v>2</v>
      </c>
      <c r="D795" s="10" t="s">
        <v>593</v>
      </c>
      <c r="E795" s="41" t="str">
        <f t="shared" si="1"/>
        <v>PROX3</v>
      </c>
    </row>
    <row r="796" ht="15.75" customHeight="1">
      <c r="A796" s="10" t="s">
        <v>593</v>
      </c>
      <c r="B796" s="10" t="s">
        <v>128</v>
      </c>
      <c r="C796" s="41">
        <f t="array" ref="C796">IF(IFERROR(INDEX(CATALOG_POINTS,MATCH(A796,CATALOG_TASK,0)),"")="",IF(MAX(IF(IFERROR(FIND(CATALOG_BASE,A796),0)=1,CATALOG_POINTS,0))=0,DAILY_POST_POINTS,MAX(IF(IFERROR(FIND(CATALOG_BASE,A796),0)=1,CATALOG_POINTS,0))),IFERROR(INDEX(CATALOG_POINTS,MATCH(A796,CATALOG_TASK,0)),""))</f>
        <v>1</v>
      </c>
      <c r="D796" s="10" t="s">
        <v>593</v>
      </c>
      <c r="E796" s="41" t="str">
        <f t="shared" si="1"/>
        <v>PROX3</v>
      </c>
    </row>
    <row r="797" ht="15.75" customHeight="1">
      <c r="A797" s="10" t="s">
        <v>594</v>
      </c>
      <c r="B797" s="10" t="s">
        <v>131</v>
      </c>
      <c r="C797" s="41">
        <f t="array" ref="C797">IF(IFERROR(INDEX(CATALOG_POINTS,MATCH(A797,CATALOG_TASK,0)),"")="",IF(MAX(IF(IFERROR(FIND(CATALOG_BASE,A797),0)=1,CATALOG_POINTS,0))=0,DAILY_POST_POINTS,MAX(IF(IFERROR(FIND(CATALOG_BASE,A797),0)=1,CATALOG_POINTS,0))),IFERROR(INDEX(CATALOG_POINTS,MATCH(A797,CATALOG_TASK,0)),""))</f>
        <v>1</v>
      </c>
      <c r="D797" s="10" t="s">
        <v>594</v>
      </c>
      <c r="E797" s="41" t="str">
        <f t="shared" si="1"/>
        <v>PROX3</v>
      </c>
    </row>
    <row r="798" ht="15.75" customHeight="1">
      <c r="A798" s="10" t="s">
        <v>595</v>
      </c>
      <c r="B798" s="10" t="s">
        <v>120</v>
      </c>
      <c r="C798" s="41">
        <f t="array" ref="C798">IF(IFERROR(INDEX(CATALOG_POINTS,MATCH(A798,CATALOG_TASK,0)),"")="",IF(MAX(IF(IFERROR(FIND(CATALOG_BASE,A798),0)=1,CATALOG_POINTS,0))=0,DAILY_POST_POINTS,MAX(IF(IFERROR(FIND(CATALOG_BASE,A798),0)=1,CATALOG_POINTS,0))),IFERROR(INDEX(CATALOG_POINTS,MATCH(A798,CATALOG_TASK,0)),""))</f>
        <v>1</v>
      </c>
      <c r="D798" s="10" t="s">
        <v>595</v>
      </c>
      <c r="E798" s="41" t="str">
        <f t="shared" si="1"/>
        <v>PROX3</v>
      </c>
    </row>
    <row r="799" ht="15.75" customHeight="1">
      <c r="A799" s="10" t="s">
        <v>174</v>
      </c>
      <c r="B799" s="10" t="s">
        <v>128</v>
      </c>
      <c r="C799" s="41">
        <f t="array" ref="C799">IF(IFERROR(INDEX(CATALOG_POINTS,MATCH(A799,CATALOG_TASK,0)),"")="",IF(MAX(IF(IFERROR(FIND(CATALOG_BASE,A799),0)=1,CATALOG_POINTS,0))=0,DAILY_POST_POINTS,MAX(IF(IFERROR(FIND(CATALOG_BASE,A799),0)=1,CATALOG_POINTS,0))),IFERROR(INDEX(CATALOG_POINTS,MATCH(A799,CATALOG_TASK,0)),""))</f>
        <v>1</v>
      </c>
      <c r="D799" s="10" t="s">
        <v>595</v>
      </c>
      <c r="E799" s="41" t="str">
        <f t="shared" si="1"/>
        <v>PROX3</v>
      </c>
    </row>
    <row r="800" ht="15.75" customHeight="1">
      <c r="A800" s="10" t="s">
        <v>37</v>
      </c>
      <c r="B800" s="10" t="s">
        <v>120</v>
      </c>
      <c r="C800" s="41">
        <f t="array" ref="C800">IF(IFERROR(INDEX(CATALOG_POINTS,MATCH(A800,CATALOG_TASK,0)),"")="",IF(MAX(IF(IFERROR(FIND(CATALOG_BASE,A800),0)=1,CATALOG_POINTS,0))=0,DAILY_POST_POINTS,MAX(IF(IFERROR(FIND(CATALOG_BASE,A800),0)=1,CATALOG_POINTS,0))),IFERROR(INDEX(CATALOG_POINTS,MATCH(A800,CATALOG_TASK,0)),""))</f>
        <v>2</v>
      </c>
      <c r="D800" s="10" t="s">
        <v>596</v>
      </c>
      <c r="E800" s="41" t="str">
        <f t="shared" si="1"/>
        <v>PROX3</v>
      </c>
    </row>
    <row r="801" ht="15.75" customHeight="1">
      <c r="A801" s="10" t="s">
        <v>596</v>
      </c>
      <c r="B801" s="10" t="s">
        <v>131</v>
      </c>
      <c r="C801" s="41">
        <f t="array" ref="C801">IF(IFERROR(INDEX(CATALOG_POINTS,MATCH(A801,CATALOG_TASK,0)),"")="",IF(MAX(IF(IFERROR(FIND(CATALOG_BASE,A801),0)=1,CATALOG_POINTS,0))=0,DAILY_POST_POINTS,MAX(IF(IFERROR(FIND(CATALOG_BASE,A801),0)=1,CATALOG_POINTS,0))),IFERROR(INDEX(CATALOG_POINTS,MATCH(A801,CATALOG_TASK,0)),""))</f>
        <v>1</v>
      </c>
      <c r="D801" s="10" t="s">
        <v>596</v>
      </c>
      <c r="E801" s="41" t="str">
        <f t="shared" si="1"/>
        <v>PROX3</v>
      </c>
    </row>
    <row r="802" ht="15.75" customHeight="1">
      <c r="A802" s="10" t="s">
        <v>179</v>
      </c>
      <c r="B802" s="10" t="s">
        <v>140</v>
      </c>
      <c r="C802" s="41">
        <f t="array" ref="C802">IF(IFERROR(INDEX(CATALOG_POINTS,MATCH(A802,CATALOG_TASK,0)),"")="",IF(MAX(IF(IFERROR(FIND(CATALOG_BASE,A802),0)=1,CATALOG_POINTS,0))=0,DAILY_POST_POINTS,MAX(IF(IFERROR(FIND(CATALOG_BASE,A802),0)=1,CATALOG_POINTS,0))),IFERROR(INDEX(CATALOG_POINTS,MATCH(A802,CATALOG_TASK,0)),""))</f>
        <v>1</v>
      </c>
      <c r="D802" s="10" t="s">
        <v>596</v>
      </c>
      <c r="E802" s="41" t="str">
        <f t="shared" si="1"/>
        <v>PROX3</v>
      </c>
    </row>
    <row r="803" ht="15.75" customHeight="1">
      <c r="A803" s="10" t="s">
        <v>597</v>
      </c>
      <c r="B803" s="10" t="s">
        <v>117</v>
      </c>
      <c r="C803" s="41">
        <f t="array" ref="C803">IF(IFERROR(INDEX(CATALOG_POINTS,MATCH(A803,CATALOG_TASK,0)),"")="",IF(MAX(IF(IFERROR(FIND(CATALOG_BASE,A803),0)=1,CATALOG_POINTS,0))=0,DAILY_POST_POINTS,MAX(IF(IFERROR(FIND(CATALOG_BASE,A803),0)=1,CATALOG_POINTS,0))),IFERROR(INDEX(CATALOG_POINTS,MATCH(A803,CATALOG_TASK,0)),""))</f>
        <v>1</v>
      </c>
      <c r="D803" s="10" t="s">
        <v>597</v>
      </c>
      <c r="E803" s="41" t="str">
        <f t="shared" si="1"/>
        <v>PROX4</v>
      </c>
    </row>
    <row r="804" ht="15.75" customHeight="1">
      <c r="A804" s="10" t="s">
        <v>598</v>
      </c>
      <c r="B804" s="10" t="s">
        <v>136</v>
      </c>
      <c r="C804" s="41">
        <f t="array" ref="C804">IF(IFERROR(INDEX(CATALOG_POINTS,MATCH(A804,CATALOG_TASK,0)),"")="",IF(MAX(IF(IFERROR(FIND(CATALOG_BASE,A804),0)=1,CATALOG_POINTS,0))=0,DAILY_POST_POINTS,MAX(IF(IFERROR(FIND(CATALOG_BASE,A804),0)=1,CATALOG_POINTS,0))),IFERROR(INDEX(CATALOG_POINTS,MATCH(A804,CATALOG_TASK,0)),""))</f>
        <v>1</v>
      </c>
      <c r="D804" s="10" t="s">
        <v>598</v>
      </c>
      <c r="E804" s="41" t="str">
        <f t="shared" si="1"/>
        <v>PROX3</v>
      </c>
    </row>
    <row r="805" ht="15.75" customHeight="1">
      <c r="A805" s="10" t="s">
        <v>599</v>
      </c>
      <c r="B805" s="10" t="s">
        <v>136</v>
      </c>
      <c r="C805" s="41">
        <f t="array" ref="C805">IF(IFERROR(INDEX(CATALOG_POINTS,MATCH(A805,CATALOG_TASK,0)),"")="",IF(MAX(IF(IFERROR(FIND(CATALOG_BASE,A805),0)=1,CATALOG_POINTS,0))=0,DAILY_POST_POINTS,MAX(IF(IFERROR(FIND(CATALOG_BASE,A805),0)=1,CATALOG_POINTS,0))),IFERROR(INDEX(CATALOG_POINTS,MATCH(A805,CATALOG_TASK,0)),""))</f>
        <v>1</v>
      </c>
      <c r="D805" s="10" t="s">
        <v>599</v>
      </c>
      <c r="E805" s="41" t="str">
        <f t="shared" si="1"/>
        <v>PROX3</v>
      </c>
    </row>
    <row r="806" ht="15.75" customHeight="1">
      <c r="A806" s="10" t="s">
        <v>37</v>
      </c>
      <c r="B806" s="10" t="s">
        <v>123</v>
      </c>
      <c r="C806" s="41">
        <f t="array" ref="C806">IF(IFERROR(INDEX(CATALOG_POINTS,MATCH(A806,CATALOG_TASK,0)),"")="",IF(MAX(IF(IFERROR(FIND(CATALOG_BASE,A806),0)=1,CATALOG_POINTS,0))=0,DAILY_POST_POINTS,MAX(IF(IFERROR(FIND(CATALOG_BASE,A806),0)=1,CATALOG_POINTS,0))),IFERROR(INDEX(CATALOG_POINTS,MATCH(A806,CATALOG_TASK,0)),""))</f>
        <v>2</v>
      </c>
      <c r="D806" s="10" t="s">
        <v>600</v>
      </c>
      <c r="E806" s="41" t="str">
        <f t="shared" si="1"/>
        <v>PROX3</v>
      </c>
    </row>
    <row r="807" ht="15.75" customHeight="1">
      <c r="A807" s="10" t="s">
        <v>600</v>
      </c>
      <c r="B807" s="10" t="s">
        <v>134</v>
      </c>
      <c r="C807" s="41">
        <f t="array" ref="C807">IF(IFERROR(INDEX(CATALOG_POINTS,MATCH(A807,CATALOG_TASK,0)),"")="",IF(MAX(IF(IFERROR(FIND(CATALOG_BASE,A807),0)=1,CATALOG_POINTS,0))=0,DAILY_POST_POINTS,MAX(IF(IFERROR(FIND(CATALOG_BASE,A807),0)=1,CATALOG_POINTS,0))),IFERROR(INDEX(CATALOG_POINTS,MATCH(A807,CATALOG_TASK,0)),""))</f>
        <v>1</v>
      </c>
      <c r="D807" s="10" t="s">
        <v>600</v>
      </c>
      <c r="E807" s="41" t="str">
        <f t="shared" si="1"/>
        <v>PROX3</v>
      </c>
    </row>
    <row r="808" ht="15.75" customHeight="1">
      <c r="A808" s="10" t="s">
        <v>37</v>
      </c>
      <c r="B808" s="10" t="s">
        <v>128</v>
      </c>
      <c r="C808" s="41">
        <f t="array" ref="C808">IF(IFERROR(INDEX(CATALOG_POINTS,MATCH(A808,CATALOG_TASK,0)),"")="",IF(MAX(IF(IFERROR(FIND(CATALOG_BASE,A808),0)=1,CATALOG_POINTS,0))=0,DAILY_POST_POINTS,MAX(IF(IFERROR(FIND(CATALOG_BASE,A808),0)=1,CATALOG_POINTS,0))),IFERROR(INDEX(CATALOG_POINTS,MATCH(A808,CATALOG_TASK,0)),""))</f>
        <v>2</v>
      </c>
      <c r="D808" s="10" t="s">
        <v>601</v>
      </c>
      <c r="E808" s="41" t="str">
        <f t="shared" si="1"/>
        <v>PROX3</v>
      </c>
    </row>
    <row r="809" ht="15.75" customHeight="1">
      <c r="A809" s="10" t="s">
        <v>170</v>
      </c>
      <c r="B809" s="10" t="s">
        <v>125</v>
      </c>
      <c r="C809" s="41">
        <f t="array" ref="C809">IF(IFERROR(INDEX(CATALOG_POINTS,MATCH(A809,CATALOG_TASK,0)),"")="",IF(MAX(IF(IFERROR(FIND(CATALOG_BASE,A809),0)=1,CATALOG_POINTS,0))=0,DAILY_POST_POINTS,MAX(IF(IFERROR(FIND(CATALOG_BASE,A809),0)=1,CATALOG_POINTS,0))),IFERROR(INDEX(CATALOG_POINTS,MATCH(A809,CATALOG_TASK,0)),""))</f>
        <v>1</v>
      </c>
      <c r="D809" s="10" t="s">
        <v>601</v>
      </c>
      <c r="E809" s="41" t="str">
        <f t="shared" si="1"/>
        <v>PROX3</v>
      </c>
    </row>
    <row r="810" ht="15.75" customHeight="1">
      <c r="A810" s="10" t="s">
        <v>601</v>
      </c>
      <c r="B810" s="10" t="s">
        <v>126</v>
      </c>
      <c r="C810" s="41">
        <f t="array" ref="C810">IF(IFERROR(INDEX(CATALOG_POINTS,MATCH(A810,CATALOG_TASK,0)),"")="",IF(MAX(IF(IFERROR(FIND(CATALOG_BASE,A810),0)=1,CATALOG_POINTS,0))=0,DAILY_POST_POINTS,MAX(IF(IFERROR(FIND(CATALOG_BASE,A810),0)=1,CATALOG_POINTS,0))),IFERROR(INDEX(CATALOG_POINTS,MATCH(A810,CATALOG_TASK,0)),""))</f>
        <v>1</v>
      </c>
      <c r="D810" s="10" t="s">
        <v>601</v>
      </c>
      <c r="E810" s="41" t="str">
        <f t="shared" si="1"/>
        <v>PROX3</v>
      </c>
    </row>
    <row r="811" ht="15.75" customHeight="1">
      <c r="A811" s="10" t="s">
        <v>170</v>
      </c>
      <c r="B811" s="10" t="s">
        <v>119</v>
      </c>
      <c r="C811" s="41">
        <f t="array" ref="C811">IF(IFERROR(INDEX(CATALOG_POINTS,MATCH(A811,CATALOG_TASK,0)),"")="",IF(MAX(IF(IFERROR(FIND(CATALOG_BASE,A811),0)=1,CATALOG_POINTS,0))=0,DAILY_POST_POINTS,MAX(IF(IFERROR(FIND(CATALOG_BASE,A811),0)=1,CATALOG_POINTS,0))),IFERROR(INDEX(CATALOG_POINTS,MATCH(A811,CATALOG_TASK,0)),""))</f>
        <v>1</v>
      </c>
      <c r="D811" s="10" t="s">
        <v>601</v>
      </c>
      <c r="E811" s="41" t="str">
        <f t="shared" si="1"/>
        <v>PROX3</v>
      </c>
    </row>
    <row r="812" ht="15.75" customHeight="1">
      <c r="A812" s="10" t="s">
        <v>170</v>
      </c>
      <c r="B812" s="10" t="s">
        <v>126</v>
      </c>
      <c r="C812" s="41">
        <f t="array" ref="C812">IF(IFERROR(INDEX(CATALOG_POINTS,MATCH(A812,CATALOG_TASK,0)),"")="",IF(MAX(IF(IFERROR(FIND(CATALOG_BASE,A812),0)=1,CATALOG_POINTS,0))=0,DAILY_POST_POINTS,MAX(IF(IFERROR(FIND(CATALOG_BASE,A812),0)=1,CATALOG_POINTS,0))),IFERROR(INDEX(CATALOG_POINTS,MATCH(A812,CATALOG_TASK,0)),""))</f>
        <v>1</v>
      </c>
      <c r="D812" s="10" t="s">
        <v>601</v>
      </c>
      <c r="E812" s="41" t="str">
        <f t="shared" si="1"/>
        <v>PROX3</v>
      </c>
    </row>
    <row r="813" ht="15.75" customHeight="1">
      <c r="A813" s="10" t="s">
        <v>602</v>
      </c>
      <c r="B813" s="10" t="s">
        <v>122</v>
      </c>
      <c r="C813" s="41">
        <f t="array" ref="C813">IF(IFERROR(INDEX(CATALOG_POINTS,MATCH(A813,CATALOG_TASK,0)),"")="",IF(MAX(IF(IFERROR(FIND(CATALOG_BASE,A813),0)=1,CATALOG_POINTS,0))=0,DAILY_POST_POINTS,MAX(IF(IFERROR(FIND(CATALOG_BASE,A813),0)=1,CATALOG_POINTS,0))),IFERROR(INDEX(CATALOG_POINTS,MATCH(A813,CATALOG_TASK,0)),""))</f>
        <v>1</v>
      </c>
      <c r="D813" s="10" t="s">
        <v>602</v>
      </c>
      <c r="E813" s="41" t="str">
        <f t="shared" si="1"/>
        <v>E0</v>
      </c>
    </row>
    <row r="814" ht="15.75" customHeight="1">
      <c r="A814" s="10" t="s">
        <v>603</v>
      </c>
      <c r="B814" s="10" t="s">
        <v>123</v>
      </c>
      <c r="C814" s="41">
        <f t="array" ref="C814">IF(IFERROR(INDEX(CATALOG_POINTS,MATCH(A814,CATALOG_TASK,0)),"")="",IF(MAX(IF(IFERROR(FIND(CATALOG_BASE,A814),0)=1,CATALOG_POINTS,0))=0,DAILY_POST_POINTS,MAX(IF(IFERROR(FIND(CATALOG_BASE,A814),0)=1,CATALOG_POINTS,0))),IFERROR(INDEX(CATALOG_POINTS,MATCH(A814,CATALOG_TASK,0)),""))</f>
        <v>1</v>
      </c>
      <c r="D814" s="10" t="s">
        <v>603</v>
      </c>
      <c r="E814" s="41" t="str">
        <f t="shared" si="1"/>
        <v>PROX3</v>
      </c>
    </row>
    <row r="815" ht="15.75" customHeight="1">
      <c r="A815" s="10" t="s">
        <v>604</v>
      </c>
      <c r="B815" s="10" t="s">
        <v>128</v>
      </c>
      <c r="C815" s="41">
        <f t="array" ref="C815">IF(IFERROR(INDEX(CATALOG_POINTS,MATCH(A815,CATALOG_TASK,0)),"")="",IF(MAX(IF(IFERROR(FIND(CATALOG_BASE,A815),0)=1,CATALOG_POINTS,0))=0,DAILY_POST_POINTS,MAX(IF(IFERROR(FIND(CATALOG_BASE,A815),0)=1,CATALOG_POINTS,0))),IFERROR(INDEX(CATALOG_POINTS,MATCH(A815,CATALOG_TASK,0)),""))</f>
        <v>1</v>
      </c>
      <c r="D815" s="10" t="s">
        <v>604</v>
      </c>
      <c r="E815" s="41" t="str">
        <f t="shared" si="1"/>
        <v>PROX3</v>
      </c>
    </row>
    <row r="816" ht="15.75" customHeight="1">
      <c r="A816" s="10" t="s">
        <v>605</v>
      </c>
      <c r="B816" s="10" t="s">
        <v>124</v>
      </c>
      <c r="C816" s="41">
        <f t="array" ref="C816">IF(IFERROR(INDEX(CATALOG_POINTS,MATCH(A816,CATALOG_TASK,0)),"")="",IF(MAX(IF(IFERROR(FIND(CATALOG_BASE,A816),0)=1,CATALOG_POINTS,0))=0,DAILY_POST_POINTS,MAX(IF(IFERROR(FIND(CATALOG_BASE,A816),0)=1,CATALOG_POINTS,0))),IFERROR(INDEX(CATALOG_POINTS,MATCH(A816,CATALOG_TASK,0)),""))</f>
        <v>1</v>
      </c>
      <c r="D816" s="10" t="s">
        <v>605</v>
      </c>
      <c r="E816" s="41" t="str">
        <f t="shared" si="1"/>
        <v>PROX3</v>
      </c>
    </row>
    <row r="817" ht="15.75" customHeight="1">
      <c r="A817" s="10" t="s">
        <v>606</v>
      </c>
      <c r="B817" s="10" t="s">
        <v>121</v>
      </c>
      <c r="C817" s="41">
        <f t="array" ref="C817">IF(IFERROR(INDEX(CATALOG_POINTS,MATCH(A817,CATALOG_TASK,0)),"")="",IF(MAX(IF(IFERROR(FIND(CATALOG_BASE,A817),0)=1,CATALOG_POINTS,0))=0,DAILY_POST_POINTS,MAX(IF(IFERROR(FIND(CATALOG_BASE,A817),0)=1,CATALOG_POINTS,0))),IFERROR(INDEX(CATALOG_POINTS,MATCH(A817,CATALOG_TASK,0)),""))</f>
        <v>1</v>
      </c>
      <c r="D817" s="10" t="s">
        <v>606</v>
      </c>
      <c r="E817" s="41" t="str">
        <f t="shared" si="1"/>
        <v>PROX3</v>
      </c>
    </row>
    <row r="818" ht="15.75" customHeight="1">
      <c r="A818" s="10" t="s">
        <v>607</v>
      </c>
      <c r="B818" s="10" t="s">
        <v>123</v>
      </c>
      <c r="C818" s="41">
        <f t="array" ref="C818">IF(IFERROR(INDEX(CATALOG_POINTS,MATCH(A818,CATALOG_TASK,0)),"")="",IF(MAX(IF(IFERROR(FIND(CATALOG_BASE,A818),0)=1,CATALOG_POINTS,0))=0,DAILY_POST_POINTS,MAX(IF(IFERROR(FIND(CATALOG_BASE,A818),0)=1,CATALOG_POINTS,0))),IFERROR(INDEX(CATALOG_POINTS,MATCH(A818,CATALOG_TASK,0)),""))</f>
        <v>1</v>
      </c>
      <c r="D818" s="10" t="s">
        <v>607</v>
      </c>
      <c r="E818" s="41" t="str">
        <f t="shared" si="1"/>
        <v>PROX3</v>
      </c>
    </row>
    <row r="819" ht="15.75" customHeight="1">
      <c r="A819" s="10" t="s">
        <v>37</v>
      </c>
      <c r="B819" s="10" t="s">
        <v>119</v>
      </c>
      <c r="C819" s="41">
        <f t="array" ref="C819">IF(IFERROR(INDEX(CATALOG_POINTS,MATCH(A819,CATALOG_TASK,0)),"")="",IF(MAX(IF(IFERROR(FIND(CATALOG_BASE,A819),0)=1,CATALOG_POINTS,0))=0,DAILY_POST_POINTS,MAX(IF(IFERROR(FIND(CATALOG_BASE,A819),0)=1,CATALOG_POINTS,0))),IFERROR(INDEX(CATALOG_POINTS,MATCH(A819,CATALOG_TASK,0)),""))</f>
        <v>2</v>
      </c>
      <c r="D819" s="10" t="s">
        <v>607</v>
      </c>
      <c r="E819" s="41" t="str">
        <f t="shared" si="1"/>
        <v>PROX3</v>
      </c>
    </row>
    <row r="820" ht="15.75" customHeight="1">
      <c r="A820" s="10" t="s">
        <v>174</v>
      </c>
      <c r="B820" s="10" t="s">
        <v>119</v>
      </c>
      <c r="C820" s="41">
        <f t="array" ref="C820">IF(IFERROR(INDEX(CATALOG_POINTS,MATCH(A820,CATALOG_TASK,0)),"")="",IF(MAX(IF(IFERROR(FIND(CATALOG_BASE,A820),0)=1,CATALOG_POINTS,0))=0,DAILY_POST_POINTS,MAX(IF(IFERROR(FIND(CATALOG_BASE,A820),0)=1,CATALOG_POINTS,0))),IFERROR(INDEX(CATALOG_POINTS,MATCH(A820,CATALOG_TASK,0)),""))</f>
        <v>1</v>
      </c>
      <c r="D820" s="10" t="s">
        <v>607</v>
      </c>
      <c r="E820" s="41" t="str">
        <f t="shared" si="1"/>
        <v>PROX3</v>
      </c>
    </row>
    <row r="821" ht="15.75" customHeight="1">
      <c r="A821" s="10" t="s">
        <v>608</v>
      </c>
      <c r="B821" s="10" t="s">
        <v>122</v>
      </c>
      <c r="C821" s="41">
        <f t="array" ref="C821">IF(IFERROR(INDEX(CATALOG_POINTS,MATCH(A821,CATALOG_TASK,0)),"")="",IF(MAX(IF(IFERROR(FIND(CATALOG_BASE,A821),0)=1,CATALOG_POINTS,0))=0,DAILY_POST_POINTS,MAX(IF(IFERROR(FIND(CATALOG_BASE,A821),0)=1,CATALOG_POINTS,0))),IFERROR(INDEX(CATALOG_POINTS,MATCH(A821,CATALOG_TASK,0)),""))</f>
        <v>1</v>
      </c>
      <c r="D821" s="10" t="s">
        <v>608</v>
      </c>
      <c r="E821" s="41" t="str">
        <f t="shared" si="1"/>
        <v>PROX3</v>
      </c>
    </row>
    <row r="822" ht="15.75" customHeight="1">
      <c r="A822" s="10" t="s">
        <v>609</v>
      </c>
      <c r="B822" s="10" t="s">
        <v>120</v>
      </c>
      <c r="C822" s="41">
        <f t="array" ref="C822">IF(IFERROR(INDEX(CATALOG_POINTS,MATCH(A822,CATALOG_TASK,0)),"")="",IF(MAX(IF(IFERROR(FIND(CATALOG_BASE,A822),0)=1,CATALOG_POINTS,0))=0,DAILY_POST_POINTS,MAX(IF(IFERROR(FIND(CATALOG_BASE,A822),0)=1,CATALOG_POINTS,0))),IFERROR(INDEX(CATALOG_POINTS,MATCH(A822,CATALOG_TASK,0)),""))</f>
        <v>1</v>
      </c>
      <c r="D822" s="10" t="s">
        <v>609</v>
      </c>
      <c r="E822" s="41" t="str">
        <f t="shared" si="1"/>
        <v>PROX3</v>
      </c>
    </row>
    <row r="823" ht="15.75" customHeight="1">
      <c r="A823" s="10" t="s">
        <v>37</v>
      </c>
      <c r="B823" s="10" t="s">
        <v>125</v>
      </c>
      <c r="C823" s="41">
        <f t="array" ref="C823">IF(IFERROR(INDEX(CATALOG_POINTS,MATCH(A823,CATALOG_TASK,0)),"")="",IF(MAX(IF(IFERROR(FIND(CATALOG_BASE,A823),0)=1,CATALOG_POINTS,0))=0,DAILY_POST_POINTS,MAX(IF(IFERROR(FIND(CATALOG_BASE,A823),0)=1,CATALOG_POINTS,0))),IFERROR(INDEX(CATALOG_POINTS,MATCH(A823,CATALOG_TASK,0)),""))</f>
        <v>2</v>
      </c>
      <c r="D823" s="10" t="s">
        <v>610</v>
      </c>
      <c r="E823" s="41" t="str">
        <f t="shared" si="1"/>
        <v>PROX3</v>
      </c>
    </row>
    <row r="824" ht="15.75" customHeight="1">
      <c r="A824" s="10" t="s">
        <v>610</v>
      </c>
      <c r="B824" s="10" t="s">
        <v>122</v>
      </c>
      <c r="C824" s="41">
        <f t="array" ref="C824">IF(IFERROR(INDEX(CATALOG_POINTS,MATCH(A824,CATALOG_TASK,0)),"")="",IF(MAX(IF(IFERROR(FIND(CATALOG_BASE,A824),0)=1,CATALOG_POINTS,0))=0,DAILY_POST_POINTS,MAX(IF(IFERROR(FIND(CATALOG_BASE,A824),0)=1,CATALOG_POINTS,0))),IFERROR(INDEX(CATALOG_POINTS,MATCH(A824,CATALOG_TASK,0)),""))</f>
        <v>1</v>
      </c>
      <c r="D824" s="10" t="s">
        <v>610</v>
      </c>
      <c r="E824" s="41" t="str">
        <f t="shared" si="1"/>
        <v>PROX3</v>
      </c>
    </row>
    <row r="825" ht="15.75" customHeight="1">
      <c r="A825" s="10" t="s">
        <v>168</v>
      </c>
      <c r="B825" s="10" t="s">
        <v>125</v>
      </c>
      <c r="C825" s="41">
        <f t="array" ref="C825">IF(IFERROR(INDEX(CATALOG_POINTS,MATCH(A825,CATALOG_TASK,0)),"")="",IF(MAX(IF(IFERROR(FIND(CATALOG_BASE,A825),0)=1,CATALOG_POINTS,0))=0,DAILY_POST_POINTS,MAX(IF(IFERROR(FIND(CATALOG_BASE,A825),0)=1,CATALOG_POINTS,0))),IFERROR(INDEX(CATALOG_POINTS,MATCH(A825,CATALOG_TASK,0)),""))</f>
        <v>1</v>
      </c>
      <c r="D825" s="10" t="s">
        <v>610</v>
      </c>
      <c r="E825" s="41" t="str">
        <f t="shared" si="1"/>
        <v>PROX3</v>
      </c>
    </row>
    <row r="826" ht="15.75" customHeight="1">
      <c r="A826" s="10" t="s">
        <v>611</v>
      </c>
      <c r="B826" s="10" t="s">
        <v>136</v>
      </c>
      <c r="C826" s="41">
        <f t="array" ref="C826">IF(IFERROR(INDEX(CATALOG_POINTS,MATCH(A826,CATALOG_TASK,0)),"")="",IF(MAX(IF(IFERROR(FIND(CATALOG_BASE,A826),0)=1,CATALOG_POINTS,0))=0,DAILY_POST_POINTS,MAX(IF(IFERROR(FIND(CATALOG_BASE,A826),0)=1,CATALOG_POINTS,0))),IFERROR(INDEX(CATALOG_POINTS,MATCH(A826,CATALOG_TASK,0)),""))</f>
        <v>1</v>
      </c>
      <c r="D826" s="10" t="s">
        <v>612</v>
      </c>
      <c r="E826" s="41" t="str">
        <f t="shared" si="1"/>
        <v/>
      </c>
    </row>
    <row r="827" ht="15.75" customHeight="1">
      <c r="A827" s="10" t="s">
        <v>37</v>
      </c>
      <c r="B827" s="10" t="s">
        <v>123</v>
      </c>
      <c r="C827" s="41">
        <f t="array" ref="C827">IF(IFERROR(INDEX(CATALOG_POINTS,MATCH(A827,CATALOG_TASK,0)),"")="",IF(MAX(IF(IFERROR(FIND(CATALOG_BASE,A827),0)=1,CATALOG_POINTS,0))=0,DAILY_POST_POINTS,MAX(IF(IFERROR(FIND(CATALOG_BASE,A827),0)=1,CATALOG_POINTS,0))),IFERROR(INDEX(CATALOG_POINTS,MATCH(A827,CATALOG_TASK,0)),""))</f>
        <v>2</v>
      </c>
      <c r="D827" s="10" t="s">
        <v>613</v>
      </c>
      <c r="E827" s="41" t="str">
        <f t="shared" si="1"/>
        <v/>
      </c>
    </row>
    <row r="828" ht="15.75" customHeight="1">
      <c r="A828" s="10" t="s">
        <v>614</v>
      </c>
      <c r="B828" s="10" t="s">
        <v>131</v>
      </c>
      <c r="C828" s="41">
        <f t="array" ref="C828">IF(IFERROR(INDEX(CATALOG_POINTS,MATCH(A828,CATALOG_TASK,0)),"")="",IF(MAX(IF(IFERROR(FIND(CATALOG_BASE,A828),0)=1,CATALOG_POINTS,0))=0,DAILY_POST_POINTS,MAX(IF(IFERROR(FIND(CATALOG_BASE,A828),0)=1,CATALOG_POINTS,0))),IFERROR(INDEX(CATALOG_POINTS,MATCH(A828,CATALOG_TASK,0)),""))</f>
        <v>1</v>
      </c>
      <c r="D828" s="10" t="s">
        <v>613</v>
      </c>
      <c r="E828" s="41" t="str">
        <f t="shared" si="1"/>
        <v/>
      </c>
    </row>
    <row r="829" ht="15.75" customHeight="1">
      <c r="A829" s="10" t="s">
        <v>37</v>
      </c>
      <c r="B829" s="10" t="s">
        <v>120</v>
      </c>
      <c r="C829" s="41">
        <f t="array" ref="C829">IF(IFERROR(INDEX(CATALOG_POINTS,MATCH(A829,CATALOG_TASK,0)),"")="",IF(MAX(IF(IFERROR(FIND(CATALOG_BASE,A829),0)=1,CATALOG_POINTS,0))=0,DAILY_POST_POINTS,MAX(IF(IFERROR(FIND(CATALOG_BASE,A829),0)=1,CATALOG_POINTS,0))),IFERROR(INDEX(CATALOG_POINTS,MATCH(A829,CATALOG_TASK,0)),""))</f>
        <v>2</v>
      </c>
      <c r="D829" s="10" t="s">
        <v>615</v>
      </c>
      <c r="E829" s="41" t="str">
        <f t="shared" si="1"/>
        <v>PROX4</v>
      </c>
    </row>
    <row r="830" ht="15.75" customHeight="1">
      <c r="A830" s="10" t="s">
        <v>37</v>
      </c>
      <c r="B830" s="10" t="s">
        <v>121</v>
      </c>
      <c r="C830" s="41">
        <f t="array" ref="C830">IF(IFERROR(INDEX(CATALOG_POINTS,MATCH(A830,CATALOG_TASK,0)),"")="",IF(MAX(IF(IFERROR(FIND(CATALOG_BASE,A830),0)=1,CATALOG_POINTS,0))=0,DAILY_POST_POINTS,MAX(IF(IFERROR(FIND(CATALOG_BASE,A830),0)=1,CATALOG_POINTS,0))),IFERROR(INDEX(CATALOG_POINTS,MATCH(A830,CATALOG_TASK,0)),""))</f>
        <v>2</v>
      </c>
      <c r="D830" s="10" t="s">
        <v>615</v>
      </c>
      <c r="E830" s="41" t="str">
        <f t="shared" si="1"/>
        <v>PROX4</v>
      </c>
    </row>
    <row r="831" ht="15.75" customHeight="1">
      <c r="A831" s="10" t="s">
        <v>37</v>
      </c>
      <c r="B831" s="10" t="s">
        <v>121</v>
      </c>
      <c r="C831" s="41">
        <f t="array" ref="C831">IF(IFERROR(INDEX(CATALOG_POINTS,MATCH(A831,CATALOG_TASK,0)),"")="",IF(MAX(IF(IFERROR(FIND(CATALOG_BASE,A831),0)=1,CATALOG_POINTS,0))=0,DAILY_POST_POINTS,MAX(IF(IFERROR(FIND(CATALOG_BASE,A831),0)=1,CATALOG_POINTS,0))),IFERROR(INDEX(CATALOG_POINTS,MATCH(A831,CATALOG_TASK,0)),""))</f>
        <v>2</v>
      </c>
      <c r="D831" s="10" t="s">
        <v>615</v>
      </c>
      <c r="E831" s="41" t="str">
        <f t="shared" si="1"/>
        <v>PROX4</v>
      </c>
    </row>
    <row r="832" ht="15.75" customHeight="1">
      <c r="A832" s="10" t="s">
        <v>37</v>
      </c>
      <c r="B832" s="10" t="s">
        <v>124</v>
      </c>
      <c r="C832" s="41">
        <f t="array" ref="C832">IF(IFERROR(INDEX(CATALOG_POINTS,MATCH(A832,CATALOG_TASK,0)),"")="",IF(MAX(IF(IFERROR(FIND(CATALOG_BASE,A832),0)=1,CATALOG_POINTS,0))=0,DAILY_POST_POINTS,MAX(IF(IFERROR(FIND(CATALOG_BASE,A832),0)=1,CATALOG_POINTS,0))),IFERROR(INDEX(CATALOG_POINTS,MATCH(A832,CATALOG_TASK,0)),""))</f>
        <v>2</v>
      </c>
      <c r="D832" s="10" t="s">
        <v>615</v>
      </c>
      <c r="E832" s="41" t="str">
        <f t="shared" si="1"/>
        <v>PROX4</v>
      </c>
    </row>
    <row r="833" ht="15.75" customHeight="1">
      <c r="A833" s="10" t="s">
        <v>178</v>
      </c>
      <c r="B833" s="10" t="s">
        <v>119</v>
      </c>
      <c r="C833" s="41">
        <f t="array" ref="C833">IF(IFERROR(INDEX(CATALOG_POINTS,MATCH(A833,CATALOG_TASK,0)),"")="",IF(MAX(IF(IFERROR(FIND(CATALOG_BASE,A833),0)=1,CATALOG_POINTS,0))=0,DAILY_POST_POINTS,MAX(IF(IFERROR(FIND(CATALOG_BASE,A833),0)=1,CATALOG_POINTS,0))),IFERROR(INDEX(CATALOG_POINTS,MATCH(A833,CATALOG_TASK,0)),""))</f>
        <v>1</v>
      </c>
      <c r="D833" s="10" t="s">
        <v>615</v>
      </c>
      <c r="E833" s="41" t="str">
        <f t="shared" si="1"/>
        <v>PROX4</v>
      </c>
    </row>
    <row r="834" ht="15.75" customHeight="1">
      <c r="A834" s="10" t="s">
        <v>174</v>
      </c>
      <c r="B834" s="10" t="s">
        <v>127</v>
      </c>
      <c r="C834" s="41">
        <f t="array" ref="C834">IF(IFERROR(INDEX(CATALOG_POINTS,MATCH(A834,CATALOG_TASK,0)),"")="",IF(MAX(IF(IFERROR(FIND(CATALOG_BASE,A834),0)=1,CATALOG_POINTS,0))=0,DAILY_POST_POINTS,MAX(IF(IFERROR(FIND(CATALOG_BASE,A834),0)=1,CATALOG_POINTS,0))),IFERROR(INDEX(CATALOG_POINTS,MATCH(A834,CATALOG_TASK,0)),""))</f>
        <v>1</v>
      </c>
      <c r="D834" s="10" t="s">
        <v>615</v>
      </c>
      <c r="E834" s="41" t="str">
        <f t="shared" si="1"/>
        <v>PROX4</v>
      </c>
    </row>
    <row r="835" ht="15.75" customHeight="1">
      <c r="A835" s="10" t="s">
        <v>168</v>
      </c>
      <c r="B835" s="10" t="s">
        <v>119</v>
      </c>
      <c r="C835" s="41">
        <f t="array" ref="C835">IF(IFERROR(INDEX(CATALOG_POINTS,MATCH(A835,CATALOG_TASK,0)),"")="",IF(MAX(IF(IFERROR(FIND(CATALOG_BASE,A835),0)=1,CATALOG_POINTS,0))=0,DAILY_POST_POINTS,MAX(IF(IFERROR(FIND(CATALOG_BASE,A835),0)=1,CATALOG_POINTS,0))),IFERROR(INDEX(CATALOG_POINTS,MATCH(A835,CATALOG_TASK,0)),""))</f>
        <v>1</v>
      </c>
      <c r="D835" s="10" t="s">
        <v>615</v>
      </c>
      <c r="E835" s="41" t="str">
        <f t="shared" si="1"/>
        <v>PROX4</v>
      </c>
    </row>
    <row r="836" ht="15.75" customHeight="1">
      <c r="A836" s="10" t="s">
        <v>37</v>
      </c>
      <c r="B836" s="10" t="s">
        <v>122</v>
      </c>
      <c r="C836" s="41">
        <f t="array" ref="C836">IF(IFERROR(INDEX(CATALOG_POINTS,MATCH(A836,CATALOG_TASK,0)),"")="",IF(MAX(IF(IFERROR(FIND(CATALOG_BASE,A836),0)=1,CATALOG_POINTS,0))=0,DAILY_POST_POINTS,MAX(IF(IFERROR(FIND(CATALOG_BASE,A836),0)=1,CATALOG_POINTS,0))),IFERROR(INDEX(CATALOG_POINTS,MATCH(A836,CATALOG_TASK,0)),""))</f>
        <v>2</v>
      </c>
      <c r="D836" s="10" t="s">
        <v>616</v>
      </c>
      <c r="E836" s="41" t="str">
        <f t="shared" si="1"/>
        <v>E0</v>
      </c>
    </row>
    <row r="837" ht="15.75" customHeight="1">
      <c r="A837" s="10" t="s">
        <v>178</v>
      </c>
      <c r="B837" s="10" t="s">
        <v>117</v>
      </c>
      <c r="C837" s="41">
        <f t="array" ref="C837">IF(IFERROR(INDEX(CATALOG_POINTS,MATCH(A837,CATALOG_TASK,0)),"")="",IF(MAX(IF(IFERROR(FIND(CATALOG_BASE,A837),0)=1,CATALOG_POINTS,0))=0,DAILY_POST_POINTS,MAX(IF(IFERROR(FIND(CATALOG_BASE,A837),0)=1,CATALOG_POINTS,0))),IFERROR(INDEX(CATALOG_POINTS,MATCH(A837,CATALOG_TASK,0)),""))</f>
        <v>1</v>
      </c>
      <c r="D837" s="10" t="s">
        <v>616</v>
      </c>
      <c r="E837" s="41" t="str">
        <f t="shared" si="1"/>
        <v>E0</v>
      </c>
    </row>
    <row r="838" ht="15.75" customHeight="1">
      <c r="A838" s="10" t="s">
        <v>616</v>
      </c>
      <c r="B838" s="10" t="s">
        <v>122</v>
      </c>
      <c r="C838" s="41">
        <f t="array" ref="C838">IF(IFERROR(INDEX(CATALOG_POINTS,MATCH(A838,CATALOG_TASK,0)),"")="",IF(MAX(IF(IFERROR(FIND(CATALOG_BASE,A838),0)=1,CATALOG_POINTS,0))=0,DAILY_POST_POINTS,MAX(IF(IFERROR(FIND(CATALOG_BASE,A838),0)=1,CATALOG_POINTS,0))),IFERROR(INDEX(CATALOG_POINTS,MATCH(A838,CATALOG_TASK,0)),""))</f>
        <v>1</v>
      </c>
      <c r="D838" s="10" t="s">
        <v>616</v>
      </c>
      <c r="E838" s="41" t="str">
        <f t="shared" si="1"/>
        <v>E0</v>
      </c>
    </row>
    <row r="839" ht="15.75" customHeight="1">
      <c r="A839" s="10" t="s">
        <v>37</v>
      </c>
      <c r="B839" s="10" t="s">
        <v>119</v>
      </c>
      <c r="C839" s="41">
        <f t="array" ref="C839">IF(IFERROR(INDEX(CATALOG_POINTS,MATCH(A839,CATALOG_TASK,0)),"")="",IF(MAX(IF(IFERROR(FIND(CATALOG_BASE,A839),0)=1,CATALOG_POINTS,0))=0,DAILY_POST_POINTS,MAX(IF(IFERROR(FIND(CATALOG_BASE,A839),0)=1,CATALOG_POINTS,0))),IFERROR(INDEX(CATALOG_POINTS,MATCH(A839,CATALOG_TASK,0)),""))</f>
        <v>2</v>
      </c>
      <c r="D839" s="10" t="s">
        <v>616</v>
      </c>
      <c r="E839" s="41" t="str">
        <f t="shared" si="1"/>
        <v>E0</v>
      </c>
    </row>
    <row r="840" ht="15.75" customHeight="1">
      <c r="A840" s="10" t="s">
        <v>617</v>
      </c>
      <c r="B840" s="10" t="s">
        <v>121</v>
      </c>
      <c r="C840" s="41">
        <f t="array" ref="C840">IF(IFERROR(INDEX(CATALOG_POINTS,MATCH(A840,CATALOG_TASK,0)),"")="",IF(MAX(IF(IFERROR(FIND(CATALOG_BASE,A840),0)=1,CATALOG_POINTS,0))=0,DAILY_POST_POINTS,MAX(IF(IFERROR(FIND(CATALOG_BASE,A840),0)=1,CATALOG_POINTS,0))),IFERROR(INDEX(CATALOG_POINTS,MATCH(A840,CATALOG_TASK,0)),""))</f>
        <v>1</v>
      </c>
      <c r="D840" s="10" t="s">
        <v>617</v>
      </c>
      <c r="E840" s="41" t="str">
        <f t="shared" si="1"/>
        <v>PROX3</v>
      </c>
    </row>
    <row r="841" ht="15.75" customHeight="1">
      <c r="A841" s="10" t="s">
        <v>618</v>
      </c>
      <c r="B841" s="10" t="s">
        <v>122</v>
      </c>
      <c r="C841" s="41">
        <f t="array" ref="C841">IF(IFERROR(INDEX(CATALOG_POINTS,MATCH(A841,CATALOG_TASK,0)),"")="",IF(MAX(IF(IFERROR(FIND(CATALOG_BASE,A841),0)=1,CATALOG_POINTS,0))=0,DAILY_POST_POINTS,MAX(IF(IFERROR(FIND(CATALOG_BASE,A841),0)=1,CATALOG_POINTS,0))),IFERROR(INDEX(CATALOG_POINTS,MATCH(A841,CATALOG_TASK,0)),""))</f>
        <v>1</v>
      </c>
      <c r="D841" s="10" t="s">
        <v>618</v>
      </c>
      <c r="E841" s="41" t="str">
        <f t="shared" si="1"/>
        <v>PROX4</v>
      </c>
    </row>
    <row r="842" ht="15.75" customHeight="1">
      <c r="A842" s="10" t="s">
        <v>178</v>
      </c>
      <c r="B842" s="10" t="s">
        <v>127</v>
      </c>
      <c r="C842" s="41">
        <f t="array" ref="C842">IF(IFERROR(INDEX(CATALOG_POINTS,MATCH(A842,CATALOG_TASK,0)),"")="",IF(MAX(IF(IFERROR(FIND(CATALOG_BASE,A842),0)=1,CATALOG_POINTS,0))=0,DAILY_POST_POINTS,MAX(IF(IFERROR(FIND(CATALOG_BASE,A842),0)=1,CATALOG_POINTS,0))),IFERROR(INDEX(CATALOG_POINTS,MATCH(A842,CATALOG_TASK,0)),""))</f>
        <v>1</v>
      </c>
      <c r="D842" s="10" t="s">
        <v>619</v>
      </c>
      <c r="E842" s="41" t="str">
        <f t="shared" si="1"/>
        <v>PROX3</v>
      </c>
    </row>
    <row r="843" ht="15.75" customHeight="1">
      <c r="A843" s="10" t="s">
        <v>174</v>
      </c>
      <c r="B843" s="10" t="s">
        <v>124</v>
      </c>
      <c r="C843" s="41">
        <f t="array" ref="C843">IF(IFERROR(INDEX(CATALOG_POINTS,MATCH(A843,CATALOG_TASK,0)),"")="",IF(MAX(IF(IFERROR(FIND(CATALOG_BASE,A843),0)=1,CATALOG_POINTS,0))=0,DAILY_POST_POINTS,MAX(IF(IFERROR(FIND(CATALOG_BASE,A843),0)=1,CATALOG_POINTS,0))),IFERROR(INDEX(CATALOG_POINTS,MATCH(A843,CATALOG_TASK,0)),""))</f>
        <v>1</v>
      </c>
      <c r="D843" s="10" t="s">
        <v>620</v>
      </c>
      <c r="E843" s="41" t="str">
        <f t="shared" si="1"/>
        <v>PROX3</v>
      </c>
    </row>
    <row r="844" ht="15.75" customHeight="1">
      <c r="A844" s="10" t="s">
        <v>37</v>
      </c>
      <c r="B844" s="10" t="s">
        <v>122</v>
      </c>
      <c r="C844" s="41">
        <f t="array" ref="C844">IF(IFERROR(INDEX(CATALOG_POINTS,MATCH(A844,CATALOG_TASK,0)),"")="",IF(MAX(IF(IFERROR(FIND(CATALOG_BASE,A844),0)=1,CATALOG_POINTS,0))=0,DAILY_POST_POINTS,MAX(IF(IFERROR(FIND(CATALOG_BASE,A844),0)=1,CATALOG_POINTS,0))),IFERROR(INDEX(CATALOG_POINTS,MATCH(A844,CATALOG_TASK,0)),""))</f>
        <v>2</v>
      </c>
      <c r="D844" s="10" t="s">
        <v>620</v>
      </c>
      <c r="E844" s="41" t="str">
        <f t="shared" si="1"/>
        <v>PROX3</v>
      </c>
    </row>
    <row r="845" ht="15.75" customHeight="1">
      <c r="A845" s="10" t="s">
        <v>178</v>
      </c>
      <c r="B845" s="10" t="s">
        <v>122</v>
      </c>
      <c r="C845" s="41">
        <f t="array" ref="C845">IF(IFERROR(INDEX(CATALOG_POINTS,MATCH(A845,CATALOG_TASK,0)),"")="",IF(MAX(IF(IFERROR(FIND(CATALOG_BASE,A845),0)=1,CATALOG_POINTS,0))=0,DAILY_POST_POINTS,MAX(IF(IFERROR(FIND(CATALOG_BASE,A845),0)=1,CATALOG_POINTS,0))),IFERROR(INDEX(CATALOG_POINTS,MATCH(A845,CATALOG_TASK,0)),""))</f>
        <v>1</v>
      </c>
      <c r="D845" s="10" t="s">
        <v>620</v>
      </c>
      <c r="E845" s="41" t="str">
        <f t="shared" si="1"/>
        <v>PROX3</v>
      </c>
    </row>
    <row r="846" ht="15.75" customHeight="1">
      <c r="A846" s="10" t="s">
        <v>621</v>
      </c>
      <c r="B846" s="10" t="s">
        <v>137</v>
      </c>
      <c r="C846" s="41">
        <f t="array" ref="C846">IF(IFERROR(INDEX(CATALOG_POINTS,MATCH(A846,CATALOG_TASK,0)),"")="",IF(MAX(IF(IFERROR(FIND(CATALOG_BASE,A846),0)=1,CATALOG_POINTS,0))=0,DAILY_POST_POINTS,MAX(IF(IFERROR(FIND(CATALOG_BASE,A846),0)=1,CATALOG_POINTS,0))),IFERROR(INDEX(CATALOG_POINTS,MATCH(A846,CATALOG_TASK,0)),""))</f>
        <v>1</v>
      </c>
      <c r="D846" s="10" t="s">
        <v>621</v>
      </c>
      <c r="E846" s="41" t="str">
        <f t="shared" si="1"/>
        <v>PROX3</v>
      </c>
    </row>
    <row r="847" ht="15.75" customHeight="1">
      <c r="A847" s="10" t="s">
        <v>622</v>
      </c>
      <c r="B847" s="10" t="s">
        <v>117</v>
      </c>
      <c r="C847" s="41">
        <f t="array" ref="C847">IF(IFERROR(INDEX(CATALOG_POINTS,MATCH(A847,CATALOG_TASK,0)),"")="",IF(MAX(IF(IFERROR(FIND(CATALOG_BASE,A847),0)=1,CATALOG_POINTS,0))=0,DAILY_POST_POINTS,MAX(IF(IFERROR(FIND(CATALOG_BASE,A847),0)=1,CATALOG_POINTS,0))),IFERROR(INDEX(CATALOG_POINTS,MATCH(A847,CATALOG_TASK,0)),""))</f>
        <v>1</v>
      </c>
      <c r="D847" s="10" t="s">
        <v>622</v>
      </c>
      <c r="E847" s="41" t="str">
        <f t="shared" si="1"/>
        <v>PROX3</v>
      </c>
    </row>
    <row r="848" ht="15.75" customHeight="1">
      <c r="A848" s="10" t="s">
        <v>623</v>
      </c>
      <c r="B848" s="10" t="s">
        <v>117</v>
      </c>
      <c r="C848" s="41">
        <f t="array" ref="C848">IF(IFERROR(INDEX(CATALOG_POINTS,MATCH(A848,CATALOG_TASK,0)),"")="",IF(MAX(IF(IFERROR(FIND(CATALOG_BASE,A848),0)=1,CATALOG_POINTS,0))=0,DAILY_POST_POINTS,MAX(IF(IFERROR(FIND(CATALOG_BASE,A848),0)=1,CATALOG_POINTS,0))),IFERROR(INDEX(CATALOG_POINTS,MATCH(A848,CATALOG_TASK,0)),""))</f>
        <v>1</v>
      </c>
      <c r="D848" s="10" t="s">
        <v>623</v>
      </c>
      <c r="E848" s="41" t="str">
        <f t="shared" si="1"/>
        <v>PROX3</v>
      </c>
    </row>
    <row r="849" ht="15.75" customHeight="1">
      <c r="A849" s="10" t="s">
        <v>624</v>
      </c>
      <c r="B849" s="10" t="s">
        <v>125</v>
      </c>
      <c r="C849" s="41">
        <f t="array" ref="C849">IF(IFERROR(INDEX(CATALOG_POINTS,MATCH(A849,CATALOG_TASK,0)),"")="",IF(MAX(IF(IFERROR(FIND(CATALOG_BASE,A849),0)=1,CATALOG_POINTS,0))=0,DAILY_POST_POINTS,MAX(IF(IFERROR(FIND(CATALOG_BASE,A849),0)=1,CATALOG_POINTS,0))),IFERROR(INDEX(CATALOG_POINTS,MATCH(A849,CATALOG_TASK,0)),""))</f>
        <v>1</v>
      </c>
      <c r="D849" s="10" t="s">
        <v>624</v>
      </c>
      <c r="E849" s="41" t="str">
        <f t="shared" si="1"/>
        <v>PROX3</v>
      </c>
    </row>
    <row r="850" ht="15.75" customHeight="1">
      <c r="A850" s="10" t="s">
        <v>625</v>
      </c>
      <c r="B850" s="10" t="s">
        <v>126</v>
      </c>
      <c r="C850" s="41">
        <f t="array" ref="C850">IF(IFERROR(INDEX(CATALOG_POINTS,MATCH(A850,CATALOG_TASK,0)),"")="",IF(MAX(IF(IFERROR(FIND(CATALOG_BASE,A850),0)=1,CATALOG_POINTS,0))=0,DAILY_POST_POINTS,MAX(IF(IFERROR(FIND(CATALOG_BASE,A850),0)=1,CATALOG_POINTS,0))),IFERROR(INDEX(CATALOG_POINTS,MATCH(A850,CATALOG_TASK,0)),""))</f>
        <v>1</v>
      </c>
      <c r="D850" s="10" t="s">
        <v>625</v>
      </c>
      <c r="E850" s="41" t="str">
        <f t="shared" si="1"/>
        <v>PROX3</v>
      </c>
    </row>
    <row r="851" ht="15.75" customHeight="1">
      <c r="A851" s="10" t="s">
        <v>37</v>
      </c>
      <c r="B851" s="10" t="s">
        <v>125</v>
      </c>
      <c r="C851" s="41">
        <f t="array" ref="C851">IF(IFERROR(INDEX(CATALOG_POINTS,MATCH(A851,CATALOG_TASK,0)),"")="",IF(MAX(IF(IFERROR(FIND(CATALOG_BASE,A851),0)=1,CATALOG_POINTS,0))=0,DAILY_POST_POINTS,MAX(IF(IFERROR(FIND(CATALOG_BASE,A851),0)=1,CATALOG_POINTS,0))),IFERROR(INDEX(CATALOG_POINTS,MATCH(A851,CATALOG_TASK,0)),""))</f>
        <v>2</v>
      </c>
      <c r="D851" s="10" t="s">
        <v>626</v>
      </c>
      <c r="E851" s="41" t="str">
        <f t="shared" si="1"/>
        <v>PROX3</v>
      </c>
    </row>
    <row r="852" ht="15.75" customHeight="1">
      <c r="A852" s="10" t="s">
        <v>626</v>
      </c>
      <c r="B852" s="10" t="s">
        <v>128</v>
      </c>
      <c r="C852" s="41">
        <f t="array" ref="C852">IF(IFERROR(INDEX(CATALOG_POINTS,MATCH(A852,CATALOG_TASK,0)),"")="",IF(MAX(IF(IFERROR(FIND(CATALOG_BASE,A852),0)=1,CATALOG_POINTS,0))=0,DAILY_POST_POINTS,MAX(IF(IFERROR(FIND(CATALOG_BASE,A852),0)=1,CATALOG_POINTS,0))),IFERROR(INDEX(CATALOG_POINTS,MATCH(A852,CATALOG_TASK,0)),""))</f>
        <v>1</v>
      </c>
      <c r="D852" s="10" t="s">
        <v>626</v>
      </c>
      <c r="E852" s="41" t="str">
        <f t="shared" si="1"/>
        <v>PROX3</v>
      </c>
    </row>
    <row r="853" ht="15.75" customHeight="1">
      <c r="A853" s="10" t="s">
        <v>627</v>
      </c>
      <c r="B853" s="10" t="s">
        <v>123</v>
      </c>
      <c r="C853" s="41">
        <f t="array" ref="C853">IF(IFERROR(INDEX(CATALOG_POINTS,MATCH(A853,CATALOG_TASK,0)),"")="",IF(MAX(IF(IFERROR(FIND(CATALOG_BASE,A853),0)=1,CATALOG_POINTS,0))=0,DAILY_POST_POINTS,MAX(IF(IFERROR(FIND(CATALOG_BASE,A853),0)=1,CATALOG_POINTS,0))),IFERROR(INDEX(CATALOG_POINTS,MATCH(A853,CATALOG_TASK,0)),""))</f>
        <v>1</v>
      </c>
      <c r="D853" s="10" t="s">
        <v>627</v>
      </c>
      <c r="E853" s="41" t="str">
        <f t="shared" si="1"/>
        <v/>
      </c>
    </row>
    <row r="854" ht="15.75" customHeight="1">
      <c r="A854" s="10" t="s">
        <v>37</v>
      </c>
      <c r="B854" s="10" t="s">
        <v>123</v>
      </c>
      <c r="C854" s="41">
        <f t="array" ref="C854">IF(IFERROR(INDEX(CATALOG_POINTS,MATCH(A854,CATALOG_TASK,0)),"")="",IF(MAX(IF(IFERROR(FIND(CATALOG_BASE,A854),0)=1,CATALOG_POINTS,0))=0,DAILY_POST_POINTS,MAX(IF(IFERROR(FIND(CATALOG_BASE,A854),0)=1,CATALOG_POINTS,0))),IFERROR(INDEX(CATALOG_POINTS,MATCH(A854,CATALOG_TASK,0)),""))</f>
        <v>2</v>
      </c>
      <c r="D854" s="10" t="s">
        <v>628</v>
      </c>
      <c r="E854" s="41" t="str">
        <f t="shared" si="1"/>
        <v>PROX4</v>
      </c>
    </row>
    <row r="855" ht="15.75" customHeight="1">
      <c r="A855" s="10" t="s">
        <v>174</v>
      </c>
      <c r="B855" s="10" t="s">
        <v>117</v>
      </c>
      <c r="C855" s="41">
        <f t="array" ref="C855">IF(IFERROR(INDEX(CATALOG_POINTS,MATCH(A855,CATALOG_TASK,0)),"")="",IF(MAX(IF(IFERROR(FIND(CATALOG_BASE,A855),0)=1,CATALOG_POINTS,0))=0,DAILY_POST_POINTS,MAX(IF(IFERROR(FIND(CATALOG_BASE,A855),0)=1,CATALOG_POINTS,0))),IFERROR(INDEX(CATALOG_POINTS,MATCH(A855,CATALOG_TASK,0)),""))</f>
        <v>1</v>
      </c>
      <c r="D855" s="10" t="s">
        <v>628</v>
      </c>
      <c r="E855" s="41" t="str">
        <f t="shared" si="1"/>
        <v>PROX4</v>
      </c>
    </row>
    <row r="856" ht="15.75" customHeight="1">
      <c r="A856" s="10" t="s">
        <v>37</v>
      </c>
      <c r="B856" s="10" t="s">
        <v>128</v>
      </c>
      <c r="C856" s="41">
        <f t="array" ref="C856">IF(IFERROR(INDEX(CATALOG_POINTS,MATCH(A856,CATALOG_TASK,0)),"")="",IF(MAX(IF(IFERROR(FIND(CATALOG_BASE,A856),0)=1,CATALOG_POINTS,0))=0,DAILY_POST_POINTS,MAX(IF(IFERROR(FIND(CATALOG_BASE,A856),0)=1,CATALOG_POINTS,0))),IFERROR(INDEX(CATALOG_POINTS,MATCH(A856,CATALOG_TASK,0)),""))</f>
        <v>2</v>
      </c>
      <c r="D856" s="10" t="s">
        <v>628</v>
      </c>
      <c r="E856" s="41" t="str">
        <f t="shared" si="1"/>
        <v>PROX4</v>
      </c>
    </row>
    <row r="857" ht="15.75" customHeight="1">
      <c r="A857" s="10" t="s">
        <v>178</v>
      </c>
      <c r="B857" s="10" t="s">
        <v>125</v>
      </c>
      <c r="C857" s="41">
        <f t="array" ref="C857">IF(IFERROR(INDEX(CATALOG_POINTS,MATCH(A857,CATALOG_TASK,0)),"")="",IF(MAX(IF(IFERROR(FIND(CATALOG_BASE,A857),0)=1,CATALOG_POINTS,0))=0,DAILY_POST_POINTS,MAX(IF(IFERROR(FIND(CATALOG_BASE,A857),0)=1,CATALOG_POINTS,0))),IFERROR(INDEX(CATALOG_POINTS,MATCH(A857,CATALOG_TASK,0)),""))</f>
        <v>1</v>
      </c>
      <c r="D857" s="10" t="s">
        <v>628</v>
      </c>
      <c r="E857" s="41" t="str">
        <f t="shared" si="1"/>
        <v>PROX4</v>
      </c>
    </row>
    <row r="858" ht="15.75" customHeight="1">
      <c r="A858" s="10" t="s">
        <v>168</v>
      </c>
      <c r="B858" s="10" t="s">
        <v>128</v>
      </c>
      <c r="C858" s="41">
        <f t="array" ref="C858">IF(IFERROR(INDEX(CATALOG_POINTS,MATCH(A858,CATALOG_TASK,0)),"")="",IF(MAX(IF(IFERROR(FIND(CATALOG_BASE,A858),0)=1,CATALOG_POINTS,0))=0,DAILY_POST_POINTS,MAX(IF(IFERROR(FIND(CATALOG_BASE,A858),0)=1,CATALOG_POINTS,0))),IFERROR(INDEX(CATALOG_POINTS,MATCH(A858,CATALOG_TASK,0)),""))</f>
        <v>1</v>
      </c>
      <c r="D858" s="10" t="s">
        <v>628</v>
      </c>
      <c r="E858" s="41" t="str">
        <f t="shared" si="1"/>
        <v>PROX4</v>
      </c>
    </row>
    <row r="859" ht="15.75" customHeight="1">
      <c r="A859" s="10" t="s">
        <v>628</v>
      </c>
      <c r="B859" s="10" t="s">
        <v>123</v>
      </c>
      <c r="C859" s="41">
        <f t="array" ref="C859">IF(IFERROR(INDEX(CATALOG_POINTS,MATCH(A859,CATALOG_TASK,0)),"")="",IF(MAX(IF(IFERROR(FIND(CATALOG_BASE,A859),0)=1,CATALOG_POINTS,0))=0,DAILY_POST_POINTS,MAX(IF(IFERROR(FIND(CATALOG_BASE,A859),0)=1,CATALOG_POINTS,0))),IFERROR(INDEX(CATALOG_POINTS,MATCH(A859,CATALOG_TASK,0)),""))</f>
        <v>1</v>
      </c>
      <c r="D859" s="10" t="s">
        <v>628</v>
      </c>
      <c r="E859" s="41" t="str">
        <f t="shared" si="1"/>
        <v>PROX4</v>
      </c>
    </row>
    <row r="860" ht="15.75" customHeight="1">
      <c r="A860" s="10" t="s">
        <v>37</v>
      </c>
      <c r="B860" s="10" t="s">
        <v>121</v>
      </c>
      <c r="C860" s="41">
        <f t="array" ref="C860">IF(IFERROR(INDEX(CATALOG_POINTS,MATCH(A860,CATALOG_TASK,0)),"")="",IF(MAX(IF(IFERROR(FIND(CATALOG_BASE,A860),0)=1,CATALOG_POINTS,0))=0,DAILY_POST_POINTS,MAX(IF(IFERROR(FIND(CATALOG_BASE,A860),0)=1,CATALOG_POINTS,0))),IFERROR(INDEX(CATALOG_POINTS,MATCH(A860,CATALOG_TASK,0)),""))</f>
        <v>2</v>
      </c>
      <c r="D860" s="10" t="s">
        <v>628</v>
      </c>
      <c r="E860" s="41" t="str">
        <f t="shared" si="1"/>
        <v>PROX4</v>
      </c>
    </row>
    <row r="861" ht="15.75" customHeight="1">
      <c r="A861" s="10" t="s">
        <v>629</v>
      </c>
      <c r="B861" s="10" t="s">
        <v>124</v>
      </c>
      <c r="C861" s="41">
        <f t="array" ref="C861">IF(IFERROR(INDEX(CATALOG_POINTS,MATCH(A861,CATALOG_TASK,0)),"")="",IF(MAX(IF(IFERROR(FIND(CATALOG_BASE,A861),0)=1,CATALOG_POINTS,0))=0,DAILY_POST_POINTS,MAX(IF(IFERROR(FIND(CATALOG_BASE,A861),0)=1,CATALOG_POINTS,0))),IFERROR(INDEX(CATALOG_POINTS,MATCH(A861,CATALOG_TASK,0)),""))</f>
        <v>1</v>
      </c>
      <c r="D861" s="10" t="s">
        <v>629</v>
      </c>
      <c r="E861" s="41" t="str">
        <f t="shared" si="1"/>
        <v>PROX4</v>
      </c>
    </row>
    <row r="862" ht="15.75" customHeight="1">
      <c r="A862" s="10" t="s">
        <v>630</v>
      </c>
      <c r="B862" s="10" t="s">
        <v>121</v>
      </c>
      <c r="C862" s="41">
        <f t="array" ref="C862">IF(IFERROR(INDEX(CATALOG_POINTS,MATCH(A862,CATALOG_TASK,0)),"")="",IF(MAX(IF(IFERROR(FIND(CATALOG_BASE,A862),0)=1,CATALOG_POINTS,0))=0,DAILY_POST_POINTS,MAX(IF(IFERROR(FIND(CATALOG_BASE,A862),0)=1,CATALOG_POINTS,0))),IFERROR(INDEX(CATALOG_POINTS,MATCH(A862,CATALOG_TASK,0)),""))</f>
        <v>1</v>
      </c>
      <c r="D862" s="10" t="s">
        <v>630</v>
      </c>
      <c r="E862" s="41" t="str">
        <f t="shared" si="1"/>
        <v>PROX3</v>
      </c>
    </row>
    <row r="863" ht="15.75" customHeight="1">
      <c r="A863" s="10" t="s">
        <v>380</v>
      </c>
      <c r="B863" s="10" t="s">
        <v>142</v>
      </c>
      <c r="C863" s="41">
        <f t="array" ref="C863">IF(IFERROR(INDEX(CATALOG_POINTS,MATCH(A863,CATALOG_TASK,0)),"")="",IF(MAX(IF(IFERROR(FIND(CATALOG_BASE,A863),0)=1,CATALOG_POINTS,0))=0,DAILY_POST_POINTS,MAX(IF(IFERROR(FIND(CATALOG_BASE,A863),0)=1,CATALOG_POINTS,0))),IFERROR(INDEX(CATALOG_POINTS,MATCH(A863,CATALOG_TASK,0)),""))</f>
        <v>1</v>
      </c>
      <c r="D863" s="10" t="s">
        <v>630</v>
      </c>
      <c r="E863" s="41" t="str">
        <f t="shared" si="1"/>
        <v>PROX3</v>
      </c>
    </row>
    <row r="864" ht="15.75" customHeight="1">
      <c r="A864" s="10" t="s">
        <v>37</v>
      </c>
      <c r="B864" s="10" t="s">
        <v>117</v>
      </c>
      <c r="C864" s="41">
        <f t="array" ref="C864">IF(IFERROR(INDEX(CATALOG_POINTS,MATCH(A864,CATALOG_TASK,0)),"")="",IF(MAX(IF(IFERROR(FIND(CATALOG_BASE,A864),0)=1,CATALOG_POINTS,0))=0,DAILY_POST_POINTS,MAX(IF(IFERROR(FIND(CATALOG_BASE,A864),0)=1,CATALOG_POINTS,0))),IFERROR(INDEX(CATALOG_POINTS,MATCH(A864,CATALOG_TASK,0)),""))</f>
        <v>2</v>
      </c>
      <c r="D864" s="10" t="s">
        <v>630</v>
      </c>
      <c r="E864" s="41" t="str">
        <f t="shared" si="1"/>
        <v>PROX3</v>
      </c>
    </row>
    <row r="865" ht="15.75" customHeight="1">
      <c r="A865" s="10" t="s">
        <v>631</v>
      </c>
      <c r="B865" s="10" t="s">
        <v>131</v>
      </c>
      <c r="C865" s="41">
        <f t="array" ref="C865">IF(IFERROR(INDEX(CATALOG_POINTS,MATCH(A865,CATALOG_TASK,0)),"")="",IF(MAX(IF(IFERROR(FIND(CATALOG_BASE,A865),0)=1,CATALOG_POINTS,0))=0,DAILY_POST_POINTS,MAX(IF(IFERROR(FIND(CATALOG_BASE,A865),0)=1,CATALOG_POINTS,0))),IFERROR(INDEX(CATALOG_POINTS,MATCH(A865,CATALOG_TASK,0)),""))</f>
        <v>1</v>
      </c>
      <c r="D865" s="10" t="s">
        <v>631</v>
      </c>
      <c r="E865" s="41" t="str">
        <f t="shared" si="1"/>
        <v>PROX3</v>
      </c>
    </row>
    <row r="866" ht="15.75" customHeight="1">
      <c r="A866" s="10" t="s">
        <v>168</v>
      </c>
      <c r="B866" s="10" t="s">
        <v>157</v>
      </c>
      <c r="C866" s="41">
        <f t="array" ref="C866">IF(IFERROR(INDEX(CATALOG_POINTS,MATCH(A866,CATALOG_TASK,0)),"")="",IF(MAX(IF(IFERROR(FIND(CATALOG_BASE,A866),0)=1,CATALOG_POINTS,0))=0,DAILY_POST_POINTS,MAX(IF(IFERROR(FIND(CATALOG_BASE,A866),0)=1,CATALOG_POINTS,0))),IFERROR(INDEX(CATALOG_POINTS,MATCH(A866,CATALOG_TASK,0)),""))</f>
        <v>1</v>
      </c>
      <c r="D866" s="10" t="s">
        <v>632</v>
      </c>
      <c r="E866" s="41" t="str">
        <f t="shared" si="1"/>
        <v>PROX4</v>
      </c>
    </row>
    <row r="867" ht="15.75" customHeight="1">
      <c r="A867" s="10" t="s">
        <v>37</v>
      </c>
      <c r="B867" s="10" t="s">
        <v>124</v>
      </c>
      <c r="C867" s="41">
        <f t="array" ref="C867">IF(IFERROR(INDEX(CATALOG_POINTS,MATCH(A867,CATALOG_TASK,0)),"")="",IF(MAX(IF(IFERROR(FIND(CATALOG_BASE,A867),0)=1,CATALOG_POINTS,0))=0,DAILY_POST_POINTS,MAX(IF(IFERROR(FIND(CATALOG_BASE,A867),0)=1,CATALOG_POINTS,0))),IFERROR(INDEX(CATALOG_POINTS,MATCH(A867,CATALOG_TASK,0)),""))</f>
        <v>2</v>
      </c>
      <c r="D867" s="10" t="s">
        <v>632</v>
      </c>
      <c r="E867" s="41" t="str">
        <f t="shared" si="1"/>
        <v>PROX4</v>
      </c>
    </row>
    <row r="868" ht="15.75" customHeight="1">
      <c r="A868" s="10" t="s">
        <v>168</v>
      </c>
      <c r="B868" s="10" t="s">
        <v>122</v>
      </c>
      <c r="C868" s="41">
        <f t="array" ref="C868">IF(IFERROR(INDEX(CATALOG_POINTS,MATCH(A868,CATALOG_TASK,0)),"")="",IF(MAX(IF(IFERROR(FIND(CATALOG_BASE,A868),0)=1,CATALOG_POINTS,0))=0,DAILY_POST_POINTS,MAX(IF(IFERROR(FIND(CATALOG_BASE,A868),0)=1,CATALOG_POINTS,0))),IFERROR(INDEX(CATALOG_POINTS,MATCH(A868,CATALOG_TASK,0)),""))</f>
        <v>1</v>
      </c>
      <c r="D868" s="10" t="s">
        <v>632</v>
      </c>
      <c r="E868" s="41" t="str">
        <f t="shared" si="1"/>
        <v>PROX4</v>
      </c>
    </row>
    <row r="869" ht="15.75" customHeight="1">
      <c r="A869" s="10" t="s">
        <v>632</v>
      </c>
      <c r="B869" s="10" t="s">
        <v>125</v>
      </c>
      <c r="C869" s="41">
        <f t="array" ref="C869">IF(IFERROR(INDEX(CATALOG_POINTS,MATCH(A869,CATALOG_TASK,0)),"")="",IF(MAX(IF(IFERROR(FIND(CATALOG_BASE,A869),0)=1,CATALOG_POINTS,0))=0,DAILY_POST_POINTS,MAX(IF(IFERROR(FIND(CATALOG_BASE,A869),0)=1,CATALOG_POINTS,0))),IFERROR(INDEX(CATALOG_POINTS,MATCH(A869,CATALOG_TASK,0)),""))</f>
        <v>1</v>
      </c>
      <c r="D869" s="10" t="s">
        <v>632</v>
      </c>
      <c r="E869" s="41" t="str">
        <f t="shared" si="1"/>
        <v>PROX4</v>
      </c>
    </row>
    <row r="870" ht="15.75" customHeight="1">
      <c r="A870" s="10" t="s">
        <v>633</v>
      </c>
      <c r="B870" s="10" t="s">
        <v>128</v>
      </c>
      <c r="C870" s="41">
        <f t="array" ref="C870">IF(IFERROR(INDEX(CATALOG_POINTS,MATCH(A870,CATALOG_TASK,0)),"")="",IF(MAX(IF(IFERROR(FIND(CATALOG_BASE,A870),0)=1,CATALOG_POINTS,0))=0,DAILY_POST_POINTS,MAX(IF(IFERROR(FIND(CATALOG_BASE,A870),0)=1,CATALOG_POINTS,0))),IFERROR(INDEX(CATALOG_POINTS,MATCH(A870,CATALOG_TASK,0)),""))</f>
        <v>1</v>
      </c>
      <c r="D870" s="10" t="s">
        <v>633</v>
      </c>
      <c r="E870" s="41" t="str">
        <f t="shared" si="1"/>
        <v>PROX4</v>
      </c>
    </row>
    <row r="871" ht="15.75" customHeight="1">
      <c r="A871" s="10" t="s">
        <v>37</v>
      </c>
      <c r="B871" s="10" t="s">
        <v>117</v>
      </c>
      <c r="C871" s="41">
        <f t="array" ref="C871">IF(IFERROR(INDEX(CATALOG_POINTS,MATCH(A871,CATALOG_TASK,0)),"")="",IF(MAX(IF(IFERROR(FIND(CATALOG_BASE,A871),0)=1,CATALOG_POINTS,0))=0,DAILY_POST_POINTS,MAX(IF(IFERROR(FIND(CATALOG_BASE,A871),0)=1,CATALOG_POINTS,0))),IFERROR(INDEX(CATALOG_POINTS,MATCH(A871,CATALOG_TASK,0)),""))</f>
        <v>2</v>
      </c>
      <c r="D871" s="10" t="s">
        <v>633</v>
      </c>
      <c r="E871" s="41" t="str">
        <f t="shared" si="1"/>
        <v>PROX4</v>
      </c>
    </row>
    <row r="872" ht="15.75" customHeight="1">
      <c r="A872" s="10" t="s">
        <v>634</v>
      </c>
      <c r="B872" s="10" t="s">
        <v>136</v>
      </c>
      <c r="C872" s="41">
        <f t="array" ref="C872">IF(IFERROR(INDEX(CATALOG_POINTS,MATCH(A872,CATALOG_TASK,0)),"")="",IF(MAX(IF(IFERROR(FIND(CATALOG_BASE,A872),0)=1,CATALOG_POINTS,0))=0,DAILY_POST_POINTS,MAX(IF(IFERROR(FIND(CATALOG_BASE,A872),0)=1,CATALOG_POINTS,0))),IFERROR(INDEX(CATALOG_POINTS,MATCH(A872,CATALOG_TASK,0)),""))</f>
        <v>1</v>
      </c>
      <c r="D872" s="10" t="s">
        <v>634</v>
      </c>
      <c r="E872" s="41" t="str">
        <f t="shared" si="1"/>
        <v>PROX3</v>
      </c>
    </row>
    <row r="873" ht="15.75" customHeight="1">
      <c r="A873" s="10" t="s">
        <v>635</v>
      </c>
      <c r="B873" s="10" t="s">
        <v>128</v>
      </c>
      <c r="C873" s="41">
        <f t="array" ref="C873">IF(IFERROR(INDEX(CATALOG_POINTS,MATCH(A873,CATALOG_TASK,0)),"")="",IF(MAX(IF(IFERROR(FIND(CATALOG_BASE,A873),0)=1,CATALOG_POINTS,0))=0,DAILY_POST_POINTS,MAX(IF(IFERROR(FIND(CATALOG_BASE,A873),0)=1,CATALOG_POINTS,0))),IFERROR(INDEX(CATALOG_POINTS,MATCH(A873,CATALOG_TASK,0)),""))</f>
        <v>1</v>
      </c>
      <c r="D873" s="10" t="s">
        <v>635</v>
      </c>
      <c r="E873" s="41" t="str">
        <f t="shared" si="1"/>
        <v>PROX3</v>
      </c>
    </row>
    <row r="874" ht="15.75" customHeight="1">
      <c r="A874" s="10" t="s">
        <v>37</v>
      </c>
      <c r="B874" s="10" t="s">
        <v>119</v>
      </c>
      <c r="C874" s="41">
        <f t="array" ref="C874">IF(IFERROR(INDEX(CATALOG_POINTS,MATCH(A874,CATALOG_TASK,0)),"")="",IF(MAX(IF(IFERROR(FIND(CATALOG_BASE,A874),0)=1,CATALOG_POINTS,0))=0,DAILY_POST_POINTS,MAX(IF(IFERROR(FIND(CATALOG_BASE,A874),0)=1,CATALOG_POINTS,0))),IFERROR(INDEX(CATALOG_POINTS,MATCH(A874,CATALOG_TASK,0)),""))</f>
        <v>2</v>
      </c>
      <c r="D874" s="10" t="s">
        <v>636</v>
      </c>
      <c r="E874" s="41" t="str">
        <f t="shared" si="1"/>
        <v/>
      </c>
    </row>
    <row r="875" ht="15.75" customHeight="1">
      <c r="A875" s="10" t="s">
        <v>52</v>
      </c>
      <c r="B875" s="10" t="s">
        <v>151</v>
      </c>
      <c r="C875" s="41">
        <f t="array" ref="C875">IF(IFERROR(INDEX(CATALOG_POINTS,MATCH(A875,CATALOG_TASK,0)),"")="",IF(MAX(IF(IFERROR(FIND(CATALOG_BASE,A875),0)=1,CATALOG_POINTS,0))=0,DAILY_POST_POINTS,MAX(IF(IFERROR(FIND(CATALOG_BASE,A875),0)=1,CATALOG_POINTS,0))),IFERROR(INDEX(CATALOG_POINTS,MATCH(A875,CATALOG_TASK,0)),""))</f>
        <v>10</v>
      </c>
      <c r="D875" s="10" t="s">
        <v>636</v>
      </c>
      <c r="E875" s="41" t="str">
        <f t="shared" si="1"/>
        <v/>
      </c>
    </row>
    <row r="876" ht="15.75" customHeight="1">
      <c r="A876" s="10" t="s">
        <v>636</v>
      </c>
      <c r="B876" s="10" t="s">
        <v>136</v>
      </c>
      <c r="C876" s="41">
        <f t="array" ref="C876">IF(IFERROR(INDEX(CATALOG_POINTS,MATCH(A876,CATALOG_TASK,0)),"")="",IF(MAX(IF(IFERROR(FIND(CATALOG_BASE,A876),0)=1,CATALOG_POINTS,0))=0,DAILY_POST_POINTS,MAX(IF(IFERROR(FIND(CATALOG_BASE,A876),0)=1,CATALOG_POINTS,0))),IFERROR(INDEX(CATALOG_POINTS,MATCH(A876,CATALOG_TASK,0)),""))</f>
        <v>1</v>
      </c>
      <c r="D876" s="10" t="s">
        <v>636</v>
      </c>
      <c r="E876" s="41" t="str">
        <f t="shared" si="1"/>
        <v/>
      </c>
    </row>
    <row r="877" ht="15.75" customHeight="1">
      <c r="A877" s="10" t="s">
        <v>37</v>
      </c>
      <c r="B877" s="10" t="s">
        <v>124</v>
      </c>
      <c r="C877" s="41">
        <f t="array" ref="C877">IF(IFERROR(INDEX(CATALOG_POINTS,MATCH(A877,CATALOG_TASK,0)),"")="",IF(MAX(IF(IFERROR(FIND(CATALOG_BASE,A877),0)=1,CATALOG_POINTS,0))=0,DAILY_POST_POINTS,MAX(IF(IFERROR(FIND(CATALOG_BASE,A877),0)=1,CATALOG_POINTS,0))),IFERROR(INDEX(CATALOG_POINTS,MATCH(A877,CATALOG_TASK,0)),""))</f>
        <v>2</v>
      </c>
      <c r="D877" s="10" t="s">
        <v>637</v>
      </c>
      <c r="E877" s="41" t="str">
        <f t="shared" si="1"/>
        <v>PROX3</v>
      </c>
    </row>
    <row r="878" ht="15.75" customHeight="1">
      <c r="A878" s="10" t="s">
        <v>637</v>
      </c>
      <c r="B878" s="10" t="s">
        <v>117</v>
      </c>
      <c r="C878" s="41">
        <f t="array" ref="C878">IF(IFERROR(INDEX(CATALOG_POINTS,MATCH(A878,CATALOG_TASK,0)),"")="",IF(MAX(IF(IFERROR(FIND(CATALOG_BASE,A878),0)=1,CATALOG_POINTS,0))=0,DAILY_POST_POINTS,MAX(IF(IFERROR(FIND(CATALOG_BASE,A878),0)=1,CATALOG_POINTS,0))),IFERROR(INDEX(CATALOG_POINTS,MATCH(A878,CATALOG_TASK,0)),""))</f>
        <v>1</v>
      </c>
      <c r="D878" s="10" t="s">
        <v>637</v>
      </c>
      <c r="E878" s="41" t="str">
        <f t="shared" si="1"/>
        <v>PROX3</v>
      </c>
    </row>
    <row r="879" ht="15.75" customHeight="1">
      <c r="A879" s="10" t="s">
        <v>638</v>
      </c>
      <c r="B879" s="10" t="s">
        <v>136</v>
      </c>
      <c r="C879" s="41">
        <f t="array" ref="C879">IF(IFERROR(INDEX(CATALOG_POINTS,MATCH(A879,CATALOG_TASK,0)),"")="",IF(MAX(IF(IFERROR(FIND(CATALOG_BASE,A879),0)=1,CATALOG_POINTS,0))=0,DAILY_POST_POINTS,MAX(IF(IFERROR(FIND(CATALOG_BASE,A879),0)=1,CATALOG_POINTS,0))),IFERROR(INDEX(CATALOG_POINTS,MATCH(A879,CATALOG_TASK,0)),""))</f>
        <v>1</v>
      </c>
      <c r="D879" s="10" t="s">
        <v>638</v>
      </c>
      <c r="E879" s="41" t="str">
        <f t="shared" si="1"/>
        <v>PROX3</v>
      </c>
    </row>
    <row r="880" ht="15.75" customHeight="1">
      <c r="A880" s="10" t="s">
        <v>639</v>
      </c>
      <c r="B880" s="10" t="s">
        <v>119</v>
      </c>
      <c r="C880" s="41">
        <f t="array" ref="C880">IF(IFERROR(INDEX(CATALOG_POINTS,MATCH(A880,CATALOG_TASK,0)),"")="",IF(MAX(IF(IFERROR(FIND(CATALOG_BASE,A880),0)=1,CATALOG_POINTS,0))=0,DAILY_POST_POINTS,MAX(IF(IFERROR(FIND(CATALOG_BASE,A880),0)=1,CATALOG_POINTS,0))),IFERROR(INDEX(CATALOG_POINTS,MATCH(A880,CATALOG_TASK,0)),""))</f>
        <v>1</v>
      </c>
      <c r="D880" s="10" t="s">
        <v>639</v>
      </c>
      <c r="E880" s="41" t="str">
        <f t="shared" si="1"/>
        <v>PROX3</v>
      </c>
    </row>
    <row r="881" ht="15.75" customHeight="1">
      <c r="A881" s="10" t="s">
        <v>37</v>
      </c>
      <c r="B881" s="10" t="s">
        <v>117</v>
      </c>
      <c r="C881" s="41">
        <f t="array" ref="C881">IF(IFERROR(INDEX(CATALOG_POINTS,MATCH(A881,CATALOG_TASK,0)),"")="",IF(MAX(IF(IFERROR(FIND(CATALOG_BASE,A881),0)=1,CATALOG_POINTS,0))=0,DAILY_POST_POINTS,MAX(IF(IFERROR(FIND(CATALOG_BASE,A881),0)=1,CATALOG_POINTS,0))),IFERROR(INDEX(CATALOG_POINTS,MATCH(A881,CATALOG_TASK,0)),""))</f>
        <v>2</v>
      </c>
      <c r="D881" s="10" t="s">
        <v>640</v>
      </c>
      <c r="E881" s="41" t="str">
        <f t="shared" si="1"/>
        <v>PROX3</v>
      </c>
    </row>
    <row r="882" ht="15.75" customHeight="1">
      <c r="A882" s="10" t="s">
        <v>640</v>
      </c>
      <c r="B882" s="10" t="s">
        <v>132</v>
      </c>
      <c r="C882" s="41">
        <f t="array" ref="C882">IF(IFERROR(INDEX(CATALOG_POINTS,MATCH(A882,CATALOG_TASK,0)),"")="",IF(MAX(IF(IFERROR(FIND(CATALOG_BASE,A882),0)=1,CATALOG_POINTS,0))=0,DAILY_POST_POINTS,MAX(IF(IFERROR(FIND(CATALOG_BASE,A882),0)=1,CATALOG_POINTS,0))),IFERROR(INDEX(CATALOG_POINTS,MATCH(A882,CATALOG_TASK,0)),""))</f>
        <v>1</v>
      </c>
      <c r="D882" s="10" t="s">
        <v>640</v>
      </c>
      <c r="E882" s="41" t="str">
        <f t="shared" si="1"/>
        <v>PROX3</v>
      </c>
    </row>
    <row r="883" ht="15.75" customHeight="1">
      <c r="A883" s="10" t="s">
        <v>37</v>
      </c>
      <c r="B883" s="10" t="s">
        <v>128</v>
      </c>
      <c r="C883" s="41">
        <f t="array" ref="C883">IF(IFERROR(INDEX(CATALOG_POINTS,MATCH(A883,CATALOG_TASK,0)),"")="",IF(MAX(IF(IFERROR(FIND(CATALOG_BASE,A883),0)=1,CATALOG_POINTS,0))=0,DAILY_POST_POINTS,MAX(IF(IFERROR(FIND(CATALOG_BASE,A883),0)=1,CATALOG_POINTS,0))),IFERROR(INDEX(CATALOG_POINTS,MATCH(A883,CATALOG_TASK,0)),""))</f>
        <v>2</v>
      </c>
      <c r="D883" s="10" t="s">
        <v>641</v>
      </c>
      <c r="E883" s="41" t="str">
        <f t="shared" si="1"/>
        <v>PROX3</v>
      </c>
    </row>
    <row r="884" ht="15.75" customHeight="1">
      <c r="A884" s="10" t="s">
        <v>37</v>
      </c>
      <c r="B884" s="10" t="s">
        <v>119</v>
      </c>
      <c r="C884" s="41">
        <f t="array" ref="C884">IF(IFERROR(INDEX(CATALOG_POINTS,MATCH(A884,CATALOG_TASK,0)),"")="",IF(MAX(IF(IFERROR(FIND(CATALOG_BASE,A884),0)=1,CATALOG_POINTS,0))=0,DAILY_POST_POINTS,MAX(IF(IFERROR(FIND(CATALOG_BASE,A884),0)=1,CATALOG_POINTS,0))),IFERROR(INDEX(CATALOG_POINTS,MATCH(A884,CATALOG_TASK,0)),""))</f>
        <v>2</v>
      </c>
      <c r="D884" s="10" t="s">
        <v>642</v>
      </c>
      <c r="E884" s="41" t="str">
        <f t="shared" si="1"/>
        <v>PROX3</v>
      </c>
    </row>
    <row r="885" ht="15.75" customHeight="1">
      <c r="A885" s="10" t="s">
        <v>174</v>
      </c>
      <c r="B885" s="10" t="s">
        <v>149</v>
      </c>
      <c r="C885" s="41">
        <f t="array" ref="C885">IF(IFERROR(INDEX(CATALOG_POINTS,MATCH(A885,CATALOG_TASK,0)),"")="",IF(MAX(IF(IFERROR(FIND(CATALOG_BASE,A885),0)=1,CATALOG_POINTS,0))=0,DAILY_POST_POINTS,MAX(IF(IFERROR(FIND(CATALOG_BASE,A885),0)=1,CATALOG_POINTS,0))),IFERROR(INDEX(CATALOG_POINTS,MATCH(A885,CATALOG_TASK,0)),""))</f>
        <v>1</v>
      </c>
      <c r="D885" s="10" t="s">
        <v>642</v>
      </c>
      <c r="E885" s="41" t="str">
        <f t="shared" si="1"/>
        <v>PROX3</v>
      </c>
    </row>
    <row r="886" ht="15.75" customHeight="1">
      <c r="A886" s="10" t="s">
        <v>37</v>
      </c>
      <c r="B886" s="10" t="s">
        <v>120</v>
      </c>
      <c r="C886" s="41">
        <f t="array" ref="C886">IF(IFERROR(INDEX(CATALOG_POINTS,MATCH(A886,CATALOG_TASK,0)),"")="",IF(MAX(IF(IFERROR(FIND(CATALOG_BASE,A886),0)=1,CATALOG_POINTS,0))=0,DAILY_POST_POINTS,MAX(IF(IFERROR(FIND(CATALOG_BASE,A886),0)=1,CATALOG_POINTS,0))),IFERROR(INDEX(CATALOG_POINTS,MATCH(A886,CATALOG_TASK,0)),""))</f>
        <v>2</v>
      </c>
      <c r="D886" s="10" t="s">
        <v>643</v>
      </c>
      <c r="E886" s="41" t="str">
        <f t="shared" si="1"/>
        <v>E0</v>
      </c>
    </row>
    <row r="887" ht="15.75" customHeight="1">
      <c r="A887" s="10" t="s">
        <v>644</v>
      </c>
      <c r="B887" s="10" t="s">
        <v>123</v>
      </c>
      <c r="C887" s="41">
        <f t="array" ref="C887">IF(IFERROR(INDEX(CATALOG_POINTS,MATCH(A887,CATALOG_TASK,0)),"")="",IF(MAX(IF(IFERROR(FIND(CATALOG_BASE,A887),0)=1,CATALOG_POINTS,0))=0,DAILY_POST_POINTS,MAX(IF(IFERROR(FIND(CATALOG_BASE,A887),0)=1,CATALOG_POINTS,0))),IFERROR(INDEX(CATALOG_POINTS,MATCH(A887,CATALOG_TASK,0)),""))</f>
        <v>1</v>
      </c>
      <c r="D887" s="10" t="s">
        <v>643</v>
      </c>
      <c r="E887" s="41" t="str">
        <f t="shared" si="1"/>
        <v>E0</v>
      </c>
    </row>
    <row r="888" ht="15.75" customHeight="1">
      <c r="A888" s="10" t="s">
        <v>645</v>
      </c>
      <c r="B888" s="10" t="s">
        <v>135</v>
      </c>
      <c r="C888" s="41">
        <f t="array" ref="C888">IF(IFERROR(INDEX(CATALOG_POINTS,MATCH(A888,CATALOG_TASK,0)),"")="",IF(MAX(IF(IFERROR(FIND(CATALOG_BASE,A888),0)=1,CATALOG_POINTS,0))=0,DAILY_POST_POINTS,MAX(IF(IFERROR(FIND(CATALOG_BASE,A888),0)=1,CATALOG_POINTS,0))),IFERROR(INDEX(CATALOG_POINTS,MATCH(A888,CATALOG_TASK,0)),""))</f>
        <v>1</v>
      </c>
      <c r="D888" s="10" t="s">
        <v>646</v>
      </c>
      <c r="E888" s="41" t="str">
        <f t="shared" si="1"/>
        <v/>
      </c>
    </row>
    <row r="889" ht="15.75" customHeight="1">
      <c r="A889" s="10" t="s">
        <v>647</v>
      </c>
      <c r="B889" s="10" t="s">
        <v>119</v>
      </c>
      <c r="C889" s="41">
        <f t="array" ref="C889">IF(IFERROR(INDEX(CATALOG_POINTS,MATCH(A889,CATALOG_TASK,0)),"")="",IF(MAX(IF(IFERROR(FIND(CATALOG_BASE,A889),0)=1,CATALOG_POINTS,0))=0,DAILY_POST_POINTS,MAX(IF(IFERROR(FIND(CATALOG_BASE,A889),0)=1,CATALOG_POINTS,0))),IFERROR(INDEX(CATALOG_POINTS,MATCH(A889,CATALOG_TASK,0)),""))</f>
        <v>1</v>
      </c>
      <c r="D889" s="10" t="s">
        <v>647</v>
      </c>
      <c r="E889" s="41" t="str">
        <f t="shared" si="1"/>
        <v>PROX4</v>
      </c>
    </row>
    <row r="890" ht="15.75" customHeight="1">
      <c r="A890" s="10" t="s">
        <v>168</v>
      </c>
      <c r="B890" s="10" t="s">
        <v>117</v>
      </c>
      <c r="C890" s="41">
        <f t="array" ref="C890">IF(IFERROR(INDEX(CATALOG_POINTS,MATCH(A890,CATALOG_TASK,0)),"")="",IF(MAX(IF(IFERROR(FIND(CATALOG_BASE,A890),0)=1,CATALOG_POINTS,0))=0,DAILY_POST_POINTS,MAX(IF(IFERROR(FIND(CATALOG_BASE,A890),0)=1,CATALOG_POINTS,0))),IFERROR(INDEX(CATALOG_POINTS,MATCH(A890,CATALOG_TASK,0)),""))</f>
        <v>1</v>
      </c>
      <c r="D890" s="10" t="s">
        <v>647</v>
      </c>
      <c r="E890" s="41" t="str">
        <f t="shared" si="1"/>
        <v>PROX4</v>
      </c>
    </row>
    <row r="891" ht="15.75" customHeight="1">
      <c r="A891" s="10" t="s">
        <v>648</v>
      </c>
      <c r="B891" s="10" t="s">
        <v>127</v>
      </c>
      <c r="C891" s="41">
        <f t="array" ref="C891">IF(IFERROR(INDEX(CATALOG_POINTS,MATCH(A891,CATALOG_TASK,0)),"")="",IF(MAX(IF(IFERROR(FIND(CATALOG_BASE,A891),0)=1,CATALOG_POINTS,0))=0,DAILY_POST_POINTS,MAX(IF(IFERROR(FIND(CATALOG_BASE,A891),0)=1,CATALOG_POINTS,0))),IFERROR(INDEX(CATALOG_POINTS,MATCH(A891,CATALOG_TASK,0)),""))</f>
        <v>1</v>
      </c>
      <c r="D891" s="10" t="s">
        <v>648</v>
      </c>
      <c r="E891" s="41" t="str">
        <f t="shared" si="1"/>
        <v>PROX3</v>
      </c>
    </row>
    <row r="892" ht="15.75" customHeight="1">
      <c r="A892" s="10" t="s">
        <v>37</v>
      </c>
      <c r="B892" s="10" t="s">
        <v>122</v>
      </c>
      <c r="C892" s="41">
        <f t="array" ref="C892">IF(IFERROR(INDEX(CATALOG_POINTS,MATCH(A892,CATALOG_TASK,0)),"")="",IF(MAX(IF(IFERROR(FIND(CATALOG_BASE,A892),0)=1,CATALOG_POINTS,0))=0,DAILY_POST_POINTS,MAX(IF(IFERROR(FIND(CATALOG_BASE,A892),0)=1,CATALOG_POINTS,0))),IFERROR(INDEX(CATALOG_POINTS,MATCH(A892,CATALOG_TASK,0)),""))</f>
        <v>2</v>
      </c>
      <c r="D892" s="10" t="s">
        <v>648</v>
      </c>
      <c r="E892" s="41" t="str">
        <f t="shared" si="1"/>
        <v>PROX3</v>
      </c>
    </row>
    <row r="893" ht="15.75" customHeight="1">
      <c r="A893" s="10" t="s">
        <v>170</v>
      </c>
      <c r="B893" s="10" t="s">
        <v>120</v>
      </c>
      <c r="C893" s="41">
        <f t="array" ref="C893">IF(IFERROR(INDEX(CATALOG_POINTS,MATCH(A893,CATALOG_TASK,0)),"")="",IF(MAX(IF(IFERROR(FIND(CATALOG_BASE,A893),0)=1,CATALOG_POINTS,0))=0,DAILY_POST_POINTS,MAX(IF(IFERROR(FIND(CATALOG_BASE,A893),0)=1,CATALOG_POINTS,0))),IFERROR(INDEX(CATALOG_POINTS,MATCH(A893,CATALOG_TASK,0)),""))</f>
        <v>1</v>
      </c>
      <c r="D893" s="10" t="s">
        <v>649</v>
      </c>
      <c r="E893" s="41" t="str">
        <f t="shared" si="1"/>
        <v>PROX3</v>
      </c>
    </row>
    <row r="894" ht="15.75" customHeight="1">
      <c r="A894" s="10" t="s">
        <v>178</v>
      </c>
      <c r="B894" s="10" t="s">
        <v>119</v>
      </c>
      <c r="C894" s="41">
        <f t="array" ref="C894">IF(IFERROR(INDEX(CATALOG_POINTS,MATCH(A894,CATALOG_TASK,0)),"")="",IF(MAX(IF(IFERROR(FIND(CATALOG_BASE,A894),0)=1,CATALOG_POINTS,0))=0,DAILY_POST_POINTS,MAX(IF(IFERROR(FIND(CATALOG_BASE,A894),0)=1,CATALOG_POINTS,0))),IFERROR(INDEX(CATALOG_POINTS,MATCH(A894,CATALOG_TASK,0)),""))</f>
        <v>1</v>
      </c>
      <c r="D894" s="10" t="s">
        <v>649</v>
      </c>
      <c r="E894" s="41" t="str">
        <f t="shared" si="1"/>
        <v>PROX3</v>
      </c>
    </row>
    <row r="895" ht="15.75" customHeight="1">
      <c r="A895" s="10" t="s">
        <v>168</v>
      </c>
      <c r="B895" s="10" t="s">
        <v>127</v>
      </c>
      <c r="C895" s="41">
        <f t="array" ref="C895">IF(IFERROR(INDEX(CATALOG_POINTS,MATCH(A895,CATALOG_TASK,0)),"")="",IF(MAX(IF(IFERROR(FIND(CATALOG_BASE,A895),0)=1,CATALOG_POINTS,0))=0,DAILY_POST_POINTS,MAX(IF(IFERROR(FIND(CATALOG_BASE,A895),0)=1,CATALOG_POINTS,0))),IFERROR(INDEX(CATALOG_POINTS,MATCH(A895,CATALOG_TASK,0)),""))</f>
        <v>1</v>
      </c>
      <c r="D895" s="10" t="s">
        <v>649</v>
      </c>
      <c r="E895" s="41" t="str">
        <f t="shared" si="1"/>
        <v>PROX3</v>
      </c>
    </row>
    <row r="896" ht="15.75" customHeight="1">
      <c r="A896" s="10" t="s">
        <v>174</v>
      </c>
      <c r="B896" s="10" t="s">
        <v>123</v>
      </c>
      <c r="C896" s="41">
        <f t="array" ref="C896">IF(IFERROR(INDEX(CATALOG_POINTS,MATCH(A896,CATALOG_TASK,0)),"")="",IF(MAX(IF(IFERROR(FIND(CATALOG_BASE,A896),0)=1,CATALOG_POINTS,0))=0,DAILY_POST_POINTS,MAX(IF(IFERROR(FIND(CATALOG_BASE,A896),0)=1,CATALOG_POINTS,0))),IFERROR(INDEX(CATALOG_POINTS,MATCH(A896,CATALOG_TASK,0)),""))</f>
        <v>1</v>
      </c>
      <c r="D896" s="10" t="s">
        <v>649</v>
      </c>
      <c r="E896" s="41" t="str">
        <f t="shared" si="1"/>
        <v>PROX3</v>
      </c>
    </row>
    <row r="897" ht="15.75" customHeight="1">
      <c r="A897" s="10" t="s">
        <v>34</v>
      </c>
      <c r="B897" s="10" t="s">
        <v>127</v>
      </c>
      <c r="C897" s="41">
        <f t="array" ref="C897">IF(IFERROR(INDEX(CATALOG_POINTS,MATCH(A897,CATALOG_TASK,0)),"")="",IF(MAX(IF(IFERROR(FIND(CATALOG_BASE,A897),0)=1,CATALOG_POINTS,0))=0,DAILY_POST_POINTS,MAX(IF(IFERROR(FIND(CATALOG_BASE,A897),0)=1,CATALOG_POINTS,0))),IFERROR(INDEX(CATALOG_POINTS,MATCH(A897,CATALOG_TASK,0)),""))</f>
        <v>2</v>
      </c>
      <c r="D897" s="10" t="s">
        <v>649</v>
      </c>
      <c r="E897" s="41" t="str">
        <f t="shared" si="1"/>
        <v>PROX3</v>
      </c>
    </row>
    <row r="898" ht="15.75" customHeight="1">
      <c r="A898" s="10" t="s">
        <v>650</v>
      </c>
      <c r="B898" s="10" t="s">
        <v>127</v>
      </c>
      <c r="C898" s="41">
        <f t="array" ref="C898">IF(IFERROR(INDEX(CATALOG_POINTS,MATCH(A898,CATALOG_TASK,0)),"")="",IF(MAX(IF(IFERROR(FIND(CATALOG_BASE,A898),0)=1,CATALOG_POINTS,0))=0,DAILY_POST_POINTS,MAX(IF(IFERROR(FIND(CATALOG_BASE,A898),0)=1,CATALOG_POINTS,0))),IFERROR(INDEX(CATALOG_POINTS,MATCH(A898,CATALOG_TASK,0)),""))</f>
        <v>1</v>
      </c>
      <c r="D898" s="10" t="s">
        <v>649</v>
      </c>
      <c r="E898" s="41" t="str">
        <f t="shared" si="1"/>
        <v>PROX3</v>
      </c>
    </row>
    <row r="899" ht="15.75" customHeight="1">
      <c r="A899" s="10" t="s">
        <v>649</v>
      </c>
      <c r="B899" s="10" t="s">
        <v>124</v>
      </c>
      <c r="C899" s="41">
        <f t="array" ref="C899">IF(IFERROR(INDEX(CATALOG_POINTS,MATCH(A899,CATALOG_TASK,0)),"")="",IF(MAX(IF(IFERROR(FIND(CATALOG_BASE,A899),0)=1,CATALOG_POINTS,0))=0,DAILY_POST_POINTS,MAX(IF(IFERROR(FIND(CATALOG_BASE,A899),0)=1,CATALOG_POINTS,0))),IFERROR(INDEX(CATALOG_POINTS,MATCH(A899,CATALOG_TASK,0)),""))</f>
        <v>1</v>
      </c>
      <c r="D899" s="10" t="s">
        <v>649</v>
      </c>
      <c r="E899" s="41" t="str">
        <f t="shared" si="1"/>
        <v>PROX3</v>
      </c>
    </row>
    <row r="900" ht="15.75" customHeight="1">
      <c r="A900" s="10" t="s">
        <v>331</v>
      </c>
      <c r="B900" s="10" t="s">
        <v>127</v>
      </c>
      <c r="C900" s="41">
        <f t="array" ref="C900">IF(IFERROR(INDEX(CATALOG_POINTS,MATCH(A900,CATALOG_TASK,0)),"")="",IF(MAX(IF(IFERROR(FIND(CATALOG_BASE,A900),0)=1,CATALOG_POINTS,0))=0,DAILY_POST_POINTS,MAX(IF(IFERROR(FIND(CATALOG_BASE,A900),0)=1,CATALOG_POINTS,0))),IFERROR(INDEX(CATALOG_POINTS,MATCH(A900,CATALOG_TASK,0)),""))</f>
        <v>1</v>
      </c>
      <c r="D900" s="10" t="s">
        <v>649</v>
      </c>
      <c r="E900" s="41" t="str">
        <f t="shared" si="1"/>
        <v>PROX3</v>
      </c>
    </row>
    <row r="901" ht="15.75" customHeight="1">
      <c r="A901" s="10" t="s">
        <v>651</v>
      </c>
      <c r="B901" s="10" t="s">
        <v>125</v>
      </c>
      <c r="C901" s="41">
        <f t="array" ref="C901">IF(IFERROR(INDEX(CATALOG_POINTS,MATCH(A901,CATALOG_TASK,0)),"")="",IF(MAX(IF(IFERROR(FIND(CATALOG_BASE,A901),0)=1,CATALOG_POINTS,0))=0,DAILY_POST_POINTS,MAX(IF(IFERROR(FIND(CATALOG_BASE,A901),0)=1,CATALOG_POINTS,0))),IFERROR(INDEX(CATALOG_POINTS,MATCH(A901,CATALOG_TASK,0)),""))</f>
        <v>1</v>
      </c>
      <c r="D901" s="10" t="s">
        <v>651</v>
      </c>
      <c r="E901" s="41" t="str">
        <f t="shared" si="1"/>
        <v>PROX3</v>
      </c>
    </row>
    <row r="902" ht="15.75" customHeight="1">
      <c r="A902" s="10" t="s">
        <v>37</v>
      </c>
      <c r="B902" s="10" t="s">
        <v>120</v>
      </c>
      <c r="C902" s="41">
        <f t="array" ref="C902">IF(IFERROR(INDEX(CATALOG_POINTS,MATCH(A902,CATALOG_TASK,0)),"")="",IF(MAX(IF(IFERROR(FIND(CATALOG_BASE,A902),0)=1,CATALOG_POINTS,0))=0,DAILY_POST_POINTS,MAX(IF(IFERROR(FIND(CATALOG_BASE,A902),0)=1,CATALOG_POINTS,0))),IFERROR(INDEX(CATALOG_POINTS,MATCH(A902,CATALOG_TASK,0)),""))</f>
        <v>2</v>
      </c>
      <c r="D902" s="10" t="s">
        <v>652</v>
      </c>
      <c r="E902" s="41" t="str">
        <f t="shared" si="1"/>
        <v>PROX3</v>
      </c>
    </row>
    <row r="903" ht="15.75" customHeight="1">
      <c r="A903" s="10" t="s">
        <v>37</v>
      </c>
      <c r="B903" s="10" t="s">
        <v>120</v>
      </c>
      <c r="C903" s="41">
        <f t="array" ref="C903">IF(IFERROR(INDEX(CATALOG_POINTS,MATCH(A903,CATALOG_TASK,0)),"")="",IF(MAX(IF(IFERROR(FIND(CATALOG_BASE,A903),0)=1,CATALOG_POINTS,0))=0,DAILY_POST_POINTS,MAX(IF(IFERROR(FIND(CATALOG_BASE,A903),0)=1,CATALOG_POINTS,0))),IFERROR(INDEX(CATALOG_POINTS,MATCH(A903,CATALOG_TASK,0)),""))</f>
        <v>2</v>
      </c>
      <c r="D903" s="10" t="s">
        <v>652</v>
      </c>
      <c r="E903" s="41" t="str">
        <f t="shared" si="1"/>
        <v>PROX3</v>
      </c>
    </row>
    <row r="904" ht="15.75" customHeight="1">
      <c r="A904" s="10" t="s">
        <v>37</v>
      </c>
      <c r="B904" s="10" t="s">
        <v>127</v>
      </c>
      <c r="C904" s="41">
        <f t="array" ref="C904">IF(IFERROR(INDEX(CATALOG_POINTS,MATCH(A904,CATALOG_TASK,0)),"")="",IF(MAX(IF(IFERROR(FIND(CATALOG_BASE,A904),0)=1,CATALOG_POINTS,0))=0,DAILY_POST_POINTS,MAX(IF(IFERROR(FIND(CATALOG_BASE,A904),0)=1,CATALOG_POINTS,0))),IFERROR(INDEX(CATALOG_POINTS,MATCH(A904,CATALOG_TASK,0)),""))</f>
        <v>2</v>
      </c>
      <c r="D904" s="10" t="s">
        <v>652</v>
      </c>
      <c r="E904" s="41" t="str">
        <f t="shared" si="1"/>
        <v>PROX3</v>
      </c>
    </row>
    <row r="905" ht="15.75" customHeight="1">
      <c r="A905" s="10" t="s">
        <v>652</v>
      </c>
      <c r="B905" s="10" t="s">
        <v>120</v>
      </c>
      <c r="C905" s="41">
        <f t="array" ref="C905">IF(IFERROR(INDEX(CATALOG_POINTS,MATCH(A905,CATALOG_TASK,0)),"")="",IF(MAX(IF(IFERROR(FIND(CATALOG_BASE,A905),0)=1,CATALOG_POINTS,0))=0,DAILY_POST_POINTS,MAX(IF(IFERROR(FIND(CATALOG_BASE,A905),0)=1,CATALOG_POINTS,0))),IFERROR(INDEX(CATALOG_POINTS,MATCH(A905,CATALOG_TASK,0)),""))</f>
        <v>1</v>
      </c>
      <c r="D905" s="10" t="s">
        <v>652</v>
      </c>
      <c r="E905" s="41" t="str">
        <f t="shared" si="1"/>
        <v>PROX3</v>
      </c>
    </row>
    <row r="906" ht="15.75" customHeight="1">
      <c r="A906" s="10" t="s">
        <v>37</v>
      </c>
      <c r="B906" s="10" t="s">
        <v>127</v>
      </c>
      <c r="C906" s="41">
        <f t="array" ref="C906">IF(IFERROR(INDEX(CATALOG_POINTS,MATCH(A906,CATALOG_TASK,0)),"")="",IF(MAX(IF(IFERROR(FIND(CATALOG_BASE,A906),0)=1,CATALOG_POINTS,0))=0,DAILY_POST_POINTS,MAX(IF(IFERROR(FIND(CATALOG_BASE,A906),0)=1,CATALOG_POINTS,0))),IFERROR(INDEX(CATALOG_POINTS,MATCH(A906,CATALOG_TASK,0)),""))</f>
        <v>2</v>
      </c>
      <c r="D906" s="10" t="s">
        <v>652</v>
      </c>
      <c r="E906" s="41" t="str">
        <f t="shared" si="1"/>
        <v>PROX3</v>
      </c>
    </row>
    <row r="907" ht="15.75" customHeight="1">
      <c r="A907" s="10" t="s">
        <v>653</v>
      </c>
      <c r="B907" s="10" t="s">
        <v>136</v>
      </c>
      <c r="C907" s="41">
        <f t="array" ref="C907">IF(IFERROR(INDEX(CATALOG_POINTS,MATCH(A907,CATALOG_TASK,0)),"")="",IF(MAX(IF(IFERROR(FIND(CATALOG_BASE,A907),0)=1,CATALOG_POINTS,0))=0,DAILY_POST_POINTS,MAX(IF(IFERROR(FIND(CATALOG_BASE,A907),0)=1,CATALOG_POINTS,0))),IFERROR(INDEX(CATALOG_POINTS,MATCH(A907,CATALOG_TASK,0)),""))</f>
        <v>1</v>
      </c>
      <c r="D907" s="10" t="s">
        <v>654</v>
      </c>
      <c r="E907" s="41" t="str">
        <f t="shared" si="1"/>
        <v/>
      </c>
    </row>
    <row r="908" ht="15.75" customHeight="1">
      <c r="A908" s="10" t="s">
        <v>655</v>
      </c>
      <c r="B908" s="10" t="s">
        <v>119</v>
      </c>
      <c r="C908" s="41">
        <f t="array" ref="C908">IF(IFERROR(INDEX(CATALOG_POINTS,MATCH(A908,CATALOG_TASK,0)),"")="",IF(MAX(IF(IFERROR(FIND(CATALOG_BASE,A908),0)=1,CATALOG_POINTS,0))=0,DAILY_POST_POINTS,MAX(IF(IFERROR(FIND(CATALOG_BASE,A908),0)=1,CATALOG_POINTS,0))),IFERROR(INDEX(CATALOG_POINTS,MATCH(A908,CATALOG_TASK,0)),""))</f>
        <v>1</v>
      </c>
      <c r="D908" s="10" t="s">
        <v>656</v>
      </c>
      <c r="E908" s="41" t="str">
        <f t="shared" si="1"/>
        <v>PROX3</v>
      </c>
    </row>
    <row r="909" ht="15.75" customHeight="1">
      <c r="A909" s="10" t="s">
        <v>656</v>
      </c>
      <c r="B909" s="10" t="s">
        <v>124</v>
      </c>
      <c r="C909" s="41">
        <f t="array" ref="C909">IF(IFERROR(INDEX(CATALOG_POINTS,MATCH(A909,CATALOG_TASK,0)),"")="",IF(MAX(IF(IFERROR(FIND(CATALOG_BASE,A909),0)=1,CATALOG_POINTS,0))=0,DAILY_POST_POINTS,MAX(IF(IFERROR(FIND(CATALOG_BASE,A909),0)=1,CATALOG_POINTS,0))),IFERROR(INDEX(CATALOG_POINTS,MATCH(A909,CATALOG_TASK,0)),""))</f>
        <v>1</v>
      </c>
      <c r="D909" s="10" t="s">
        <v>656</v>
      </c>
      <c r="E909" s="41" t="str">
        <f t="shared" si="1"/>
        <v>PROX3</v>
      </c>
    </row>
    <row r="910" ht="15.75" customHeight="1">
      <c r="A910" s="10" t="s">
        <v>37</v>
      </c>
      <c r="B910" s="10" t="s">
        <v>127</v>
      </c>
      <c r="C910" s="41">
        <f t="array" ref="C910">IF(IFERROR(INDEX(CATALOG_POINTS,MATCH(A910,CATALOG_TASK,0)),"")="",IF(MAX(IF(IFERROR(FIND(CATALOG_BASE,A910),0)=1,CATALOG_POINTS,0))=0,DAILY_POST_POINTS,MAX(IF(IFERROR(FIND(CATALOG_BASE,A910),0)=1,CATALOG_POINTS,0))),IFERROR(INDEX(CATALOG_POINTS,MATCH(A910,CATALOG_TASK,0)),""))</f>
        <v>2</v>
      </c>
      <c r="D910" s="10" t="s">
        <v>656</v>
      </c>
      <c r="E910" s="41" t="str">
        <f t="shared" si="1"/>
        <v>PROX3</v>
      </c>
    </row>
    <row r="911" ht="15.75" customHeight="1">
      <c r="A911" s="10" t="s">
        <v>657</v>
      </c>
      <c r="B911" s="10" t="s">
        <v>121</v>
      </c>
      <c r="C911" s="41">
        <f t="array" ref="C911">IF(IFERROR(INDEX(CATALOG_POINTS,MATCH(A911,CATALOG_TASK,0)),"")="",IF(MAX(IF(IFERROR(FIND(CATALOG_BASE,A911),0)=1,CATALOG_POINTS,0))=0,DAILY_POST_POINTS,MAX(IF(IFERROR(FIND(CATALOG_BASE,A911),0)=1,CATALOG_POINTS,0))),IFERROR(INDEX(CATALOG_POINTS,MATCH(A911,CATALOG_TASK,0)),""))</f>
        <v>1</v>
      </c>
      <c r="D911" s="10" t="s">
        <v>657</v>
      </c>
      <c r="E911" s="41" t="str">
        <f t="shared" si="1"/>
        <v>PROX3</v>
      </c>
    </row>
    <row r="912" ht="15.75" customHeight="1">
      <c r="A912" s="10" t="s">
        <v>37</v>
      </c>
      <c r="B912" s="10" t="s">
        <v>120</v>
      </c>
      <c r="C912" s="41">
        <f t="array" ref="C912">IF(IFERROR(INDEX(CATALOG_POINTS,MATCH(A912,CATALOG_TASK,0)),"")="",IF(MAX(IF(IFERROR(FIND(CATALOG_BASE,A912),0)=1,CATALOG_POINTS,0))=0,DAILY_POST_POINTS,MAX(IF(IFERROR(FIND(CATALOG_BASE,A912),0)=1,CATALOG_POINTS,0))),IFERROR(INDEX(CATALOG_POINTS,MATCH(A912,CATALOG_TASK,0)),""))</f>
        <v>2</v>
      </c>
      <c r="D912" s="10" t="s">
        <v>658</v>
      </c>
      <c r="E912" s="41" t="str">
        <f t="shared" si="1"/>
        <v>PROX3</v>
      </c>
    </row>
    <row r="913" ht="15.75" customHeight="1">
      <c r="A913" s="10" t="s">
        <v>658</v>
      </c>
      <c r="B913" s="10" t="s">
        <v>120</v>
      </c>
      <c r="C913" s="41">
        <f t="array" ref="C913">IF(IFERROR(INDEX(CATALOG_POINTS,MATCH(A913,CATALOG_TASK,0)),"")="",IF(MAX(IF(IFERROR(FIND(CATALOG_BASE,A913),0)=1,CATALOG_POINTS,0))=0,DAILY_POST_POINTS,MAX(IF(IFERROR(FIND(CATALOG_BASE,A913),0)=1,CATALOG_POINTS,0))),IFERROR(INDEX(CATALOG_POINTS,MATCH(A913,CATALOG_TASK,0)),""))</f>
        <v>1</v>
      </c>
      <c r="D913" s="10" t="s">
        <v>658</v>
      </c>
      <c r="E913" s="41" t="str">
        <f t="shared" si="1"/>
        <v>PROX3</v>
      </c>
    </row>
    <row r="914" ht="15.75" customHeight="1">
      <c r="A914" s="10" t="s">
        <v>659</v>
      </c>
      <c r="B914" s="10" t="s">
        <v>125</v>
      </c>
      <c r="C914" s="41">
        <f t="array" ref="C914">IF(IFERROR(INDEX(CATALOG_POINTS,MATCH(A914,CATALOG_TASK,0)),"")="",IF(MAX(IF(IFERROR(FIND(CATALOG_BASE,A914),0)=1,CATALOG_POINTS,0))=0,DAILY_POST_POINTS,MAX(IF(IFERROR(FIND(CATALOG_BASE,A914),0)=1,CATALOG_POINTS,0))),IFERROR(INDEX(CATALOG_POINTS,MATCH(A914,CATALOG_TASK,0)),""))</f>
        <v>1</v>
      </c>
      <c r="D914" s="10" t="s">
        <v>659</v>
      </c>
      <c r="E914" s="41" t="str">
        <f t="shared" si="1"/>
        <v>PROX3</v>
      </c>
    </row>
    <row r="915" ht="15.75" customHeight="1">
      <c r="A915" s="10" t="s">
        <v>660</v>
      </c>
      <c r="B915" s="10" t="s">
        <v>119</v>
      </c>
      <c r="C915" s="41">
        <f t="array" ref="C915">IF(IFERROR(INDEX(CATALOG_POINTS,MATCH(A915,CATALOG_TASK,0)),"")="",IF(MAX(IF(IFERROR(FIND(CATALOG_BASE,A915),0)=1,CATALOG_POINTS,0))=0,DAILY_POST_POINTS,MAX(IF(IFERROR(FIND(CATALOG_BASE,A915),0)=1,CATALOG_POINTS,0))),IFERROR(INDEX(CATALOG_POINTS,MATCH(A915,CATALOG_TASK,0)),""))</f>
        <v>1</v>
      </c>
      <c r="D915" s="10" t="s">
        <v>660</v>
      </c>
      <c r="E915" s="41" t="str">
        <f t="shared" si="1"/>
        <v>PROX3</v>
      </c>
    </row>
    <row r="916" ht="15.75" customHeight="1">
      <c r="A916" s="10" t="s">
        <v>661</v>
      </c>
      <c r="B916" s="10" t="s">
        <v>134</v>
      </c>
      <c r="C916" s="41">
        <f t="array" ref="C916">IF(IFERROR(INDEX(CATALOG_POINTS,MATCH(A916,CATALOG_TASK,0)),"")="",IF(MAX(IF(IFERROR(FIND(CATALOG_BASE,A916),0)=1,CATALOG_POINTS,0))=0,DAILY_POST_POINTS,MAX(IF(IFERROR(FIND(CATALOG_BASE,A916),0)=1,CATALOG_POINTS,0))),IFERROR(INDEX(CATALOG_POINTS,MATCH(A916,CATALOG_TASK,0)),""))</f>
        <v>1</v>
      </c>
      <c r="D916" s="10" t="s">
        <v>661</v>
      </c>
      <c r="E916" s="41" t="str">
        <f t="shared" si="1"/>
        <v>SE1</v>
      </c>
    </row>
    <row r="917" ht="15.75" customHeight="1">
      <c r="A917" s="10" t="s">
        <v>37</v>
      </c>
      <c r="B917" s="10" t="s">
        <v>128</v>
      </c>
      <c r="C917" s="41">
        <f t="array" ref="C917">IF(IFERROR(INDEX(CATALOG_POINTS,MATCH(A917,CATALOG_TASK,0)),"")="",IF(MAX(IF(IFERROR(FIND(CATALOG_BASE,A917),0)=1,CATALOG_POINTS,0))=0,DAILY_POST_POINTS,MAX(IF(IFERROR(FIND(CATALOG_BASE,A917),0)=1,CATALOG_POINTS,0))),IFERROR(INDEX(CATALOG_POINTS,MATCH(A917,CATALOG_TASK,0)),""))</f>
        <v>2</v>
      </c>
      <c r="D917" s="10" t="s">
        <v>662</v>
      </c>
      <c r="E917" s="41" t="str">
        <f t="shared" si="1"/>
        <v>PROX3</v>
      </c>
    </row>
    <row r="918" ht="15.75" customHeight="1">
      <c r="A918" s="10" t="s">
        <v>662</v>
      </c>
      <c r="B918" s="10" t="s">
        <v>122</v>
      </c>
      <c r="C918" s="41">
        <f t="array" ref="C918">IF(IFERROR(INDEX(CATALOG_POINTS,MATCH(A918,CATALOG_TASK,0)),"")="",IF(MAX(IF(IFERROR(FIND(CATALOG_BASE,A918),0)=1,CATALOG_POINTS,0))=0,DAILY_POST_POINTS,MAX(IF(IFERROR(FIND(CATALOG_BASE,A918),0)=1,CATALOG_POINTS,0))),IFERROR(INDEX(CATALOG_POINTS,MATCH(A918,CATALOG_TASK,0)),""))</f>
        <v>1</v>
      </c>
      <c r="D918" s="10" t="s">
        <v>662</v>
      </c>
      <c r="E918" s="41" t="str">
        <f t="shared" si="1"/>
        <v>PROX3</v>
      </c>
    </row>
    <row r="919" ht="15.75" customHeight="1">
      <c r="A919" s="10" t="s">
        <v>37</v>
      </c>
      <c r="B919" s="10" t="s">
        <v>120</v>
      </c>
      <c r="C919" s="41">
        <f t="array" ref="C919">IF(IFERROR(INDEX(CATALOG_POINTS,MATCH(A919,CATALOG_TASK,0)),"")="",IF(MAX(IF(IFERROR(FIND(CATALOG_BASE,A919),0)=1,CATALOG_POINTS,0))=0,DAILY_POST_POINTS,MAX(IF(IFERROR(FIND(CATALOG_BASE,A919),0)=1,CATALOG_POINTS,0))),IFERROR(INDEX(CATALOG_POINTS,MATCH(A919,CATALOG_TASK,0)),""))</f>
        <v>2</v>
      </c>
      <c r="D919" s="10" t="s">
        <v>662</v>
      </c>
      <c r="E919" s="41" t="str">
        <f t="shared" si="1"/>
        <v>PROX3</v>
      </c>
    </row>
    <row r="920" ht="15.75" customHeight="1">
      <c r="A920" s="10" t="s">
        <v>663</v>
      </c>
      <c r="B920" s="10" t="s">
        <v>132</v>
      </c>
      <c r="C920" s="41">
        <f t="array" ref="C920">IF(IFERROR(INDEX(CATALOG_POINTS,MATCH(A920,CATALOG_TASK,0)),"")="",IF(MAX(IF(IFERROR(FIND(CATALOG_BASE,A920),0)=1,CATALOG_POINTS,0))=0,DAILY_POST_POINTS,MAX(IF(IFERROR(FIND(CATALOG_BASE,A920),0)=1,CATALOG_POINTS,0))),IFERROR(INDEX(CATALOG_POINTS,MATCH(A920,CATALOG_TASK,0)),""))</f>
        <v>1</v>
      </c>
      <c r="D920" s="10" t="s">
        <v>663</v>
      </c>
      <c r="E920" s="41" t="str">
        <f t="shared" si="1"/>
        <v>E0</v>
      </c>
    </row>
    <row r="921" ht="15.75" customHeight="1">
      <c r="A921" s="10" t="s">
        <v>664</v>
      </c>
      <c r="B921" s="10" t="s">
        <v>132</v>
      </c>
      <c r="C921" s="41">
        <f t="array" ref="C921">IF(IFERROR(INDEX(CATALOG_POINTS,MATCH(A921,CATALOG_TASK,0)),"")="",IF(MAX(IF(IFERROR(FIND(CATALOG_BASE,A921),0)=1,CATALOG_POINTS,0))=0,DAILY_POST_POINTS,MAX(IF(IFERROR(FIND(CATALOG_BASE,A921),0)=1,CATALOG_POINTS,0))),IFERROR(INDEX(CATALOG_POINTS,MATCH(A921,CATALOG_TASK,0)),""))</f>
        <v>1</v>
      </c>
      <c r="D921" s="10" t="s">
        <v>664</v>
      </c>
      <c r="E921" s="41" t="str">
        <f t="shared" si="1"/>
        <v>PROX3</v>
      </c>
    </row>
    <row r="922" ht="15.75" customHeight="1">
      <c r="A922" s="10" t="s">
        <v>665</v>
      </c>
      <c r="B922" s="10" t="s">
        <v>128</v>
      </c>
      <c r="C922" s="41">
        <f t="array" ref="C922">IF(IFERROR(INDEX(CATALOG_POINTS,MATCH(A922,CATALOG_TASK,0)),"")="",IF(MAX(IF(IFERROR(FIND(CATALOG_BASE,A922),0)=1,CATALOG_POINTS,0))=0,DAILY_POST_POINTS,MAX(IF(IFERROR(FIND(CATALOG_BASE,A922),0)=1,CATALOG_POINTS,0))),IFERROR(INDEX(CATALOG_POINTS,MATCH(A922,CATALOG_TASK,0)),""))</f>
        <v>1</v>
      </c>
      <c r="D922" s="10" t="s">
        <v>665</v>
      </c>
      <c r="E922" s="41" t="str">
        <f t="shared" si="1"/>
        <v>PROX3</v>
      </c>
    </row>
    <row r="923" ht="15.75" customHeight="1">
      <c r="A923" s="10" t="s">
        <v>666</v>
      </c>
      <c r="B923" s="10" t="s">
        <v>124</v>
      </c>
      <c r="C923" s="41">
        <f t="array" ref="C923">IF(IFERROR(INDEX(CATALOG_POINTS,MATCH(A923,CATALOG_TASK,0)),"")="",IF(MAX(IF(IFERROR(FIND(CATALOG_BASE,A923),0)=1,CATALOG_POINTS,0))=0,DAILY_POST_POINTS,MAX(IF(IFERROR(FIND(CATALOG_BASE,A923),0)=1,CATALOG_POINTS,0))),IFERROR(INDEX(CATALOG_POINTS,MATCH(A923,CATALOG_TASK,0)),""))</f>
        <v>1</v>
      </c>
      <c r="D923" s="10" t="s">
        <v>666</v>
      </c>
      <c r="E923" s="41" t="str">
        <f t="shared" si="1"/>
        <v>PROX4</v>
      </c>
    </row>
    <row r="924" ht="15.75" customHeight="1">
      <c r="A924" s="10" t="s">
        <v>667</v>
      </c>
      <c r="B924" s="10" t="s">
        <v>132</v>
      </c>
      <c r="C924" s="41">
        <f t="array" ref="C924">IF(IFERROR(INDEX(CATALOG_POINTS,MATCH(A924,CATALOG_TASK,0)),"")="",IF(MAX(IF(IFERROR(FIND(CATALOG_BASE,A924),0)=1,CATALOG_POINTS,0))=0,DAILY_POST_POINTS,MAX(IF(IFERROR(FIND(CATALOG_BASE,A924),0)=1,CATALOG_POINTS,0))),IFERROR(INDEX(CATALOG_POINTS,MATCH(A924,CATALOG_TASK,0)),""))</f>
        <v>1</v>
      </c>
      <c r="D924" s="10" t="s">
        <v>667</v>
      </c>
      <c r="E924" s="41" t="str">
        <f t="shared" si="1"/>
        <v>PROX3</v>
      </c>
    </row>
    <row r="925" ht="15.75" customHeight="1">
      <c r="A925" s="10" t="s">
        <v>668</v>
      </c>
      <c r="B925" s="10" t="s">
        <v>128</v>
      </c>
      <c r="C925" s="41">
        <f t="array" ref="C925">IF(IFERROR(INDEX(CATALOG_POINTS,MATCH(A925,CATALOG_TASK,0)),"")="",IF(MAX(IF(IFERROR(FIND(CATALOG_BASE,A925),0)=1,CATALOG_POINTS,0))=0,DAILY_POST_POINTS,MAX(IF(IFERROR(FIND(CATALOG_BASE,A925),0)=1,CATALOG_POINTS,0))),IFERROR(INDEX(CATALOG_POINTS,MATCH(A925,CATALOG_TASK,0)),""))</f>
        <v>1</v>
      </c>
      <c r="D925" s="10" t="s">
        <v>668</v>
      </c>
      <c r="E925" s="41" t="str">
        <f t="shared" si="1"/>
        <v>PROX4</v>
      </c>
    </row>
    <row r="926" ht="15.75" customHeight="1">
      <c r="A926" s="10" t="s">
        <v>37</v>
      </c>
      <c r="B926" s="10" t="s">
        <v>120</v>
      </c>
      <c r="C926" s="41">
        <f t="array" ref="C926">IF(IFERROR(INDEX(CATALOG_POINTS,MATCH(A926,CATALOG_TASK,0)),"")="",IF(MAX(IF(IFERROR(FIND(CATALOG_BASE,A926),0)=1,CATALOG_POINTS,0))=0,DAILY_POST_POINTS,MAX(IF(IFERROR(FIND(CATALOG_BASE,A926),0)=1,CATALOG_POINTS,0))),IFERROR(INDEX(CATALOG_POINTS,MATCH(A926,CATALOG_TASK,0)),""))</f>
        <v>2</v>
      </c>
      <c r="D926" s="10" t="s">
        <v>668</v>
      </c>
      <c r="E926" s="41" t="str">
        <f t="shared" si="1"/>
        <v>PROX4</v>
      </c>
    </row>
    <row r="927" ht="15.75" customHeight="1">
      <c r="A927" s="10" t="s">
        <v>669</v>
      </c>
      <c r="B927" s="10" t="s">
        <v>121</v>
      </c>
      <c r="C927" s="41">
        <f t="array" ref="C927">IF(IFERROR(INDEX(CATALOG_POINTS,MATCH(A927,CATALOG_TASK,0)),"")="",IF(MAX(IF(IFERROR(FIND(CATALOG_BASE,A927),0)=1,CATALOG_POINTS,0))=0,DAILY_POST_POINTS,MAX(IF(IFERROR(FIND(CATALOG_BASE,A927),0)=1,CATALOG_POINTS,0))),IFERROR(INDEX(CATALOG_POINTS,MATCH(A927,CATALOG_TASK,0)),""))</f>
        <v>1</v>
      </c>
      <c r="D927" s="10" t="s">
        <v>669</v>
      </c>
      <c r="E927" s="41" t="str">
        <f t="shared" si="1"/>
        <v>PROX3</v>
      </c>
    </row>
    <row r="928" ht="15.75" customHeight="1">
      <c r="A928" s="10" t="s">
        <v>670</v>
      </c>
      <c r="B928" s="10" t="s">
        <v>125</v>
      </c>
      <c r="C928" s="41">
        <f t="array" ref="C928">IF(IFERROR(INDEX(CATALOG_POINTS,MATCH(A928,CATALOG_TASK,0)),"")="",IF(MAX(IF(IFERROR(FIND(CATALOG_BASE,A928),0)=1,CATALOG_POINTS,0))=0,DAILY_POST_POINTS,MAX(IF(IFERROR(FIND(CATALOG_BASE,A928),0)=1,CATALOG_POINTS,0))),IFERROR(INDEX(CATALOG_POINTS,MATCH(A928,CATALOG_TASK,0)),""))</f>
        <v>1</v>
      </c>
      <c r="D928" s="10" t="s">
        <v>670</v>
      </c>
      <c r="E928" s="41" t="str">
        <f t="shared" si="1"/>
        <v>PROX3</v>
      </c>
    </row>
    <row r="929" ht="15.75" customHeight="1">
      <c r="A929" s="10" t="s">
        <v>671</v>
      </c>
      <c r="B929" s="10" t="s">
        <v>137</v>
      </c>
      <c r="C929" s="41">
        <f t="array" ref="C929">IF(IFERROR(INDEX(CATALOG_POINTS,MATCH(A929,CATALOG_TASK,0)),"")="",IF(MAX(IF(IFERROR(FIND(CATALOG_BASE,A929),0)=1,CATALOG_POINTS,0))=0,DAILY_POST_POINTS,MAX(IF(IFERROR(FIND(CATALOG_BASE,A929),0)=1,CATALOG_POINTS,0))),IFERROR(INDEX(CATALOG_POINTS,MATCH(A929,CATALOG_TASK,0)),""))</f>
        <v>1</v>
      </c>
      <c r="D929" s="10" t="s">
        <v>671</v>
      </c>
      <c r="E929" s="41" t="str">
        <f t="shared" si="1"/>
        <v>PROX3</v>
      </c>
    </row>
    <row r="930" ht="15.75" customHeight="1">
      <c r="A930" s="10" t="s">
        <v>672</v>
      </c>
      <c r="B930" s="10" t="s">
        <v>124</v>
      </c>
      <c r="C930" s="41">
        <f t="array" ref="C930">IF(IFERROR(INDEX(CATALOG_POINTS,MATCH(A930,CATALOG_TASK,0)),"")="",IF(MAX(IF(IFERROR(FIND(CATALOG_BASE,A930),0)=1,CATALOG_POINTS,0))=0,DAILY_POST_POINTS,MAX(IF(IFERROR(FIND(CATALOG_BASE,A930),0)=1,CATALOG_POINTS,0))),IFERROR(INDEX(CATALOG_POINTS,MATCH(A930,CATALOG_TASK,0)),""))</f>
        <v>1</v>
      </c>
      <c r="D930" s="10" t="s">
        <v>672</v>
      </c>
      <c r="E930" s="41" t="str">
        <f t="shared" si="1"/>
        <v>PROX4</v>
      </c>
    </row>
    <row r="931" ht="15.75" customHeight="1">
      <c r="A931" s="10" t="s">
        <v>37</v>
      </c>
      <c r="B931" s="10" t="s">
        <v>125</v>
      </c>
      <c r="C931" s="41">
        <f t="array" ref="C931">IF(IFERROR(INDEX(CATALOG_POINTS,MATCH(A931,CATALOG_TASK,0)),"")="",IF(MAX(IF(IFERROR(FIND(CATALOG_BASE,A931),0)=1,CATALOG_POINTS,0))=0,DAILY_POST_POINTS,MAX(IF(IFERROR(FIND(CATALOG_BASE,A931),0)=1,CATALOG_POINTS,0))),IFERROR(INDEX(CATALOG_POINTS,MATCH(A931,CATALOG_TASK,0)),""))</f>
        <v>2</v>
      </c>
      <c r="D931" s="10" t="s">
        <v>672</v>
      </c>
      <c r="E931" s="41" t="str">
        <f t="shared" si="1"/>
        <v>PROX4</v>
      </c>
    </row>
    <row r="932" ht="15.75" customHeight="1">
      <c r="A932" s="10" t="s">
        <v>174</v>
      </c>
      <c r="B932" s="10" t="s">
        <v>127</v>
      </c>
      <c r="C932" s="41">
        <f t="array" ref="C932">IF(IFERROR(INDEX(CATALOG_POINTS,MATCH(A932,CATALOG_TASK,0)),"")="",IF(MAX(IF(IFERROR(FIND(CATALOG_BASE,A932),0)=1,CATALOG_POINTS,0))=0,DAILY_POST_POINTS,MAX(IF(IFERROR(FIND(CATALOG_BASE,A932),0)=1,CATALOG_POINTS,0))),IFERROR(INDEX(CATALOG_POINTS,MATCH(A932,CATALOG_TASK,0)),""))</f>
        <v>1</v>
      </c>
      <c r="D932" s="10" t="s">
        <v>672</v>
      </c>
      <c r="E932" s="41" t="str">
        <f t="shared" si="1"/>
        <v>PROX4</v>
      </c>
    </row>
    <row r="933" ht="15.75" customHeight="1">
      <c r="A933" s="10" t="s">
        <v>37</v>
      </c>
      <c r="B933" s="10" t="s">
        <v>117</v>
      </c>
      <c r="C933" s="41">
        <f t="array" ref="C933">IF(IFERROR(INDEX(CATALOG_POINTS,MATCH(A933,CATALOG_TASK,0)),"")="",IF(MAX(IF(IFERROR(FIND(CATALOG_BASE,A933),0)=1,CATALOG_POINTS,0))=0,DAILY_POST_POINTS,MAX(IF(IFERROR(FIND(CATALOG_BASE,A933),0)=1,CATALOG_POINTS,0))),IFERROR(INDEX(CATALOG_POINTS,MATCH(A933,CATALOG_TASK,0)),""))</f>
        <v>2</v>
      </c>
      <c r="D933" s="10" t="s">
        <v>672</v>
      </c>
      <c r="E933" s="41" t="str">
        <f t="shared" si="1"/>
        <v>PROX4</v>
      </c>
    </row>
    <row r="934" ht="15.75" customHeight="1">
      <c r="A934" s="10" t="s">
        <v>168</v>
      </c>
      <c r="B934" s="10" t="s">
        <v>125</v>
      </c>
      <c r="C934" s="41">
        <f t="array" ref="C934">IF(IFERROR(INDEX(CATALOG_POINTS,MATCH(A934,CATALOG_TASK,0)),"")="",IF(MAX(IF(IFERROR(FIND(CATALOG_BASE,A934),0)=1,CATALOG_POINTS,0))=0,DAILY_POST_POINTS,MAX(IF(IFERROR(FIND(CATALOG_BASE,A934),0)=1,CATALOG_POINTS,0))),IFERROR(INDEX(CATALOG_POINTS,MATCH(A934,CATALOG_TASK,0)),""))</f>
        <v>1</v>
      </c>
      <c r="D934" s="10" t="s">
        <v>672</v>
      </c>
      <c r="E934" s="41" t="str">
        <f t="shared" si="1"/>
        <v>PROX4</v>
      </c>
    </row>
    <row r="935" ht="15.75" customHeight="1">
      <c r="A935" s="10" t="s">
        <v>673</v>
      </c>
      <c r="B935" s="10" t="s">
        <v>129</v>
      </c>
      <c r="C935" s="41">
        <f t="array" ref="C935">IF(IFERROR(INDEX(CATALOG_POINTS,MATCH(A935,CATALOG_TASK,0)),"")="",IF(MAX(IF(IFERROR(FIND(CATALOG_BASE,A935),0)=1,CATALOG_POINTS,0))=0,DAILY_POST_POINTS,MAX(IF(IFERROR(FIND(CATALOG_BASE,A935),0)=1,CATALOG_POINTS,0))),IFERROR(INDEX(CATALOG_POINTS,MATCH(A935,CATALOG_TASK,0)),""))</f>
        <v>1</v>
      </c>
      <c r="D935" s="10" t="s">
        <v>673</v>
      </c>
      <c r="E935" s="41" t="str">
        <f t="shared" si="1"/>
        <v>PROX4</v>
      </c>
    </row>
    <row r="936" ht="15.75" customHeight="1">
      <c r="A936" s="10" t="s">
        <v>37</v>
      </c>
      <c r="B936" s="10" t="s">
        <v>127</v>
      </c>
      <c r="C936" s="41">
        <f t="array" ref="C936">IF(IFERROR(INDEX(CATALOG_POINTS,MATCH(A936,CATALOG_TASK,0)),"")="",IF(MAX(IF(IFERROR(FIND(CATALOG_BASE,A936),0)=1,CATALOG_POINTS,0))=0,DAILY_POST_POINTS,MAX(IF(IFERROR(FIND(CATALOG_BASE,A936),0)=1,CATALOG_POINTS,0))),IFERROR(INDEX(CATALOG_POINTS,MATCH(A936,CATALOG_TASK,0)),""))</f>
        <v>2</v>
      </c>
      <c r="D936" s="10" t="s">
        <v>673</v>
      </c>
      <c r="E936" s="41" t="str">
        <f t="shared" si="1"/>
        <v>PROX4</v>
      </c>
    </row>
    <row r="937" ht="15.75" customHeight="1">
      <c r="A937" s="10" t="s">
        <v>37</v>
      </c>
      <c r="B937" s="10" t="s">
        <v>123</v>
      </c>
      <c r="C937" s="41">
        <f t="array" ref="C937">IF(IFERROR(INDEX(CATALOG_POINTS,MATCH(A937,CATALOG_TASK,0)),"")="",IF(MAX(IF(IFERROR(FIND(CATALOG_BASE,A937),0)=1,CATALOG_POINTS,0))=0,DAILY_POST_POINTS,MAX(IF(IFERROR(FIND(CATALOG_BASE,A937),0)=1,CATALOG_POINTS,0))),IFERROR(INDEX(CATALOG_POINTS,MATCH(A937,CATALOG_TASK,0)),""))</f>
        <v>2</v>
      </c>
      <c r="D937" s="10" t="s">
        <v>673</v>
      </c>
      <c r="E937" s="41" t="str">
        <f t="shared" si="1"/>
        <v>PROX4</v>
      </c>
    </row>
    <row r="938" ht="15.75" customHeight="1">
      <c r="A938" s="10" t="s">
        <v>178</v>
      </c>
      <c r="B938" s="10" t="s">
        <v>119</v>
      </c>
      <c r="C938" s="41">
        <f t="array" ref="C938">IF(IFERROR(INDEX(CATALOG_POINTS,MATCH(A938,CATALOG_TASK,0)),"")="",IF(MAX(IF(IFERROR(FIND(CATALOG_BASE,A938),0)=1,CATALOG_POINTS,0))=0,DAILY_POST_POINTS,MAX(IF(IFERROR(FIND(CATALOG_BASE,A938),0)=1,CATALOG_POINTS,0))),IFERROR(INDEX(CATALOG_POINTS,MATCH(A938,CATALOG_TASK,0)),""))</f>
        <v>1</v>
      </c>
      <c r="D938" s="10" t="s">
        <v>674</v>
      </c>
      <c r="E938" s="41" t="str">
        <f t="shared" si="1"/>
        <v>PROX4</v>
      </c>
    </row>
    <row r="939" ht="15.75" customHeight="1">
      <c r="A939" s="10" t="s">
        <v>37</v>
      </c>
      <c r="B939" s="10" t="s">
        <v>117</v>
      </c>
      <c r="C939" s="41">
        <f t="array" ref="C939">IF(IFERROR(INDEX(CATALOG_POINTS,MATCH(A939,CATALOG_TASK,0)),"")="",IF(MAX(IF(IFERROR(FIND(CATALOG_BASE,A939),0)=1,CATALOG_POINTS,0))=0,DAILY_POST_POINTS,MAX(IF(IFERROR(FIND(CATALOG_BASE,A939),0)=1,CATALOG_POINTS,0))),IFERROR(INDEX(CATALOG_POINTS,MATCH(A939,CATALOG_TASK,0)),""))</f>
        <v>2</v>
      </c>
      <c r="D939" s="10" t="s">
        <v>674</v>
      </c>
      <c r="E939" s="41" t="str">
        <f t="shared" si="1"/>
        <v>PROX4</v>
      </c>
    </row>
    <row r="940" ht="15.75" customHeight="1">
      <c r="A940" s="10" t="s">
        <v>37</v>
      </c>
      <c r="B940" s="10" t="s">
        <v>123</v>
      </c>
      <c r="C940" s="41">
        <f t="array" ref="C940">IF(IFERROR(INDEX(CATALOG_POINTS,MATCH(A940,CATALOG_TASK,0)),"")="",IF(MAX(IF(IFERROR(FIND(CATALOG_BASE,A940),0)=1,CATALOG_POINTS,0))=0,DAILY_POST_POINTS,MAX(IF(IFERROR(FIND(CATALOG_BASE,A940),0)=1,CATALOG_POINTS,0))),IFERROR(INDEX(CATALOG_POINTS,MATCH(A940,CATALOG_TASK,0)),""))</f>
        <v>2</v>
      </c>
      <c r="D940" s="10" t="s">
        <v>674</v>
      </c>
      <c r="E940" s="41" t="str">
        <f t="shared" si="1"/>
        <v>PROX4</v>
      </c>
    </row>
    <row r="941" ht="15.75" customHeight="1">
      <c r="A941" s="10" t="s">
        <v>674</v>
      </c>
      <c r="B941" s="10" t="s">
        <v>123</v>
      </c>
      <c r="C941" s="41">
        <f t="array" ref="C941">IF(IFERROR(INDEX(CATALOG_POINTS,MATCH(A941,CATALOG_TASK,0)),"")="",IF(MAX(IF(IFERROR(FIND(CATALOG_BASE,A941),0)=1,CATALOG_POINTS,0))=0,DAILY_POST_POINTS,MAX(IF(IFERROR(FIND(CATALOG_BASE,A941),0)=1,CATALOG_POINTS,0))),IFERROR(INDEX(CATALOG_POINTS,MATCH(A941,CATALOG_TASK,0)),""))</f>
        <v>1</v>
      </c>
      <c r="D941" s="10" t="s">
        <v>674</v>
      </c>
      <c r="E941" s="41" t="str">
        <f t="shared" si="1"/>
        <v>PROX4</v>
      </c>
    </row>
    <row r="942" ht="15.75" customHeight="1">
      <c r="A942" s="10" t="s">
        <v>675</v>
      </c>
      <c r="B942" s="10" t="s">
        <v>125</v>
      </c>
      <c r="C942" s="41">
        <f t="array" ref="C942">IF(IFERROR(INDEX(CATALOG_POINTS,MATCH(A942,CATALOG_TASK,0)),"")="",IF(MAX(IF(IFERROR(FIND(CATALOG_BASE,A942),0)=1,CATALOG_POINTS,0))=0,DAILY_POST_POINTS,MAX(IF(IFERROR(FIND(CATALOG_BASE,A942),0)=1,CATALOG_POINTS,0))),IFERROR(INDEX(CATALOG_POINTS,MATCH(A942,CATALOG_TASK,0)),""))</f>
        <v>1</v>
      </c>
      <c r="D942" s="10" t="s">
        <v>675</v>
      </c>
      <c r="E942" s="41" t="str">
        <f t="shared" si="1"/>
        <v>PROX3</v>
      </c>
    </row>
    <row r="943" ht="15.75" customHeight="1">
      <c r="A943" s="10" t="s">
        <v>24</v>
      </c>
      <c r="B943" s="10" t="s">
        <v>121</v>
      </c>
      <c r="C943" s="41">
        <f t="array" ref="C943">IF(IFERROR(INDEX(CATALOG_POINTS,MATCH(A943,CATALOG_TASK,0)),"")="",IF(MAX(IF(IFERROR(FIND(CATALOG_BASE,A943),0)=1,CATALOG_POINTS,0))=0,DAILY_POST_POINTS,MAX(IF(IFERROR(FIND(CATALOG_BASE,A943),0)=1,CATALOG_POINTS,0))),IFERROR(INDEX(CATALOG_POINTS,MATCH(A943,CATALOG_TASK,0)),""))</f>
        <v>2</v>
      </c>
      <c r="D943" s="10" t="s">
        <v>676</v>
      </c>
      <c r="E943" s="41" t="str">
        <f t="shared" si="1"/>
        <v>PROX3</v>
      </c>
    </row>
    <row r="944" ht="15.75" customHeight="1">
      <c r="A944" s="10" t="s">
        <v>174</v>
      </c>
      <c r="B944" s="10" t="s">
        <v>125</v>
      </c>
      <c r="C944" s="41">
        <f t="array" ref="C944">IF(IFERROR(INDEX(CATALOG_POINTS,MATCH(A944,CATALOG_TASK,0)),"")="",IF(MAX(IF(IFERROR(FIND(CATALOG_BASE,A944),0)=1,CATALOG_POINTS,0))=0,DAILY_POST_POINTS,MAX(IF(IFERROR(FIND(CATALOG_BASE,A944),0)=1,CATALOG_POINTS,0))),IFERROR(INDEX(CATALOG_POINTS,MATCH(A944,CATALOG_TASK,0)),""))</f>
        <v>1</v>
      </c>
      <c r="D944" s="10" t="s">
        <v>676</v>
      </c>
      <c r="E944" s="41" t="str">
        <f t="shared" si="1"/>
        <v>PROX3</v>
      </c>
    </row>
    <row r="945" ht="15.75" customHeight="1">
      <c r="A945" s="10" t="s">
        <v>677</v>
      </c>
      <c r="B945" s="10" t="s">
        <v>136</v>
      </c>
      <c r="C945" s="41">
        <f t="array" ref="C945">IF(IFERROR(INDEX(CATALOG_POINTS,MATCH(A945,CATALOG_TASK,0)),"")="",IF(MAX(IF(IFERROR(FIND(CATALOG_BASE,A945),0)=1,CATALOG_POINTS,0))=0,DAILY_POST_POINTS,MAX(IF(IFERROR(FIND(CATALOG_BASE,A945),0)=1,CATALOG_POINTS,0))),IFERROR(INDEX(CATALOG_POINTS,MATCH(A945,CATALOG_TASK,0)),""))</f>
        <v>1</v>
      </c>
      <c r="D945" s="10" t="s">
        <v>677</v>
      </c>
      <c r="E945" s="41" t="str">
        <f t="shared" si="1"/>
        <v>PROX3</v>
      </c>
    </row>
    <row r="946" ht="15.75" customHeight="1">
      <c r="A946" s="10" t="s">
        <v>678</v>
      </c>
      <c r="B946" s="10" t="s">
        <v>128</v>
      </c>
      <c r="C946" s="41">
        <f t="array" ref="C946">IF(IFERROR(INDEX(CATALOG_POINTS,MATCH(A946,CATALOG_TASK,0)),"")="",IF(MAX(IF(IFERROR(FIND(CATALOG_BASE,A946),0)=1,CATALOG_POINTS,0))=0,DAILY_POST_POINTS,MAX(IF(IFERROR(FIND(CATALOG_BASE,A946),0)=1,CATALOG_POINTS,0))),IFERROR(INDEX(CATALOG_POINTS,MATCH(A946,CATALOG_TASK,0)),""))</f>
        <v>1</v>
      </c>
      <c r="D946" s="10" t="s">
        <v>678</v>
      </c>
      <c r="E946" s="41" t="str">
        <f t="shared" si="1"/>
        <v>PROX4</v>
      </c>
    </row>
    <row r="947" ht="15.75" customHeight="1">
      <c r="A947" s="10" t="s">
        <v>170</v>
      </c>
      <c r="B947" s="10" t="s">
        <v>117</v>
      </c>
      <c r="C947" s="41">
        <f t="array" ref="C947">IF(IFERROR(INDEX(CATALOG_POINTS,MATCH(A947,CATALOG_TASK,0)),"")="",IF(MAX(IF(IFERROR(FIND(CATALOG_BASE,A947),0)=1,CATALOG_POINTS,0))=0,DAILY_POST_POINTS,MAX(IF(IFERROR(FIND(CATALOG_BASE,A947),0)=1,CATALOG_POINTS,0))),IFERROR(INDEX(CATALOG_POINTS,MATCH(A947,CATALOG_TASK,0)),""))</f>
        <v>1</v>
      </c>
      <c r="D947" s="10" t="s">
        <v>679</v>
      </c>
      <c r="E947" s="41" t="str">
        <f t="shared" si="1"/>
        <v>PROX3</v>
      </c>
    </row>
    <row r="948" ht="15.75" customHeight="1">
      <c r="A948" s="10" t="s">
        <v>170</v>
      </c>
      <c r="B948" s="10" t="s">
        <v>117</v>
      </c>
      <c r="C948" s="41">
        <f t="array" ref="C948">IF(IFERROR(INDEX(CATALOG_POINTS,MATCH(A948,CATALOG_TASK,0)),"")="",IF(MAX(IF(IFERROR(FIND(CATALOG_BASE,A948),0)=1,CATALOG_POINTS,0))=0,DAILY_POST_POINTS,MAX(IF(IFERROR(FIND(CATALOG_BASE,A948),0)=1,CATALOG_POINTS,0))),IFERROR(INDEX(CATALOG_POINTS,MATCH(A948,CATALOG_TASK,0)),""))</f>
        <v>1</v>
      </c>
      <c r="D948" s="10" t="s">
        <v>679</v>
      </c>
      <c r="E948" s="41" t="str">
        <f t="shared" si="1"/>
        <v>PROX3</v>
      </c>
    </row>
    <row r="949" ht="15.75" customHeight="1">
      <c r="A949" s="10" t="s">
        <v>679</v>
      </c>
      <c r="B949" s="10" t="s">
        <v>128</v>
      </c>
      <c r="C949" s="41">
        <f t="array" ref="C949">IF(IFERROR(INDEX(CATALOG_POINTS,MATCH(A949,CATALOG_TASK,0)),"")="",IF(MAX(IF(IFERROR(FIND(CATALOG_BASE,A949),0)=1,CATALOG_POINTS,0))=0,DAILY_POST_POINTS,MAX(IF(IFERROR(FIND(CATALOG_BASE,A949),0)=1,CATALOG_POINTS,0))),IFERROR(INDEX(CATALOG_POINTS,MATCH(A949,CATALOG_TASK,0)),""))</f>
        <v>1</v>
      </c>
      <c r="D949" s="10" t="s">
        <v>679</v>
      </c>
      <c r="E949" s="41" t="str">
        <f t="shared" si="1"/>
        <v>PROX3</v>
      </c>
    </row>
    <row r="950" ht="15.75" customHeight="1">
      <c r="A950" s="10" t="s">
        <v>680</v>
      </c>
      <c r="B950" s="10" t="s">
        <v>129</v>
      </c>
      <c r="C950" s="41">
        <f t="array" ref="C950">IF(IFERROR(INDEX(CATALOG_POINTS,MATCH(A950,CATALOG_TASK,0)),"")="",IF(MAX(IF(IFERROR(FIND(CATALOG_BASE,A950),0)=1,CATALOG_POINTS,0))=0,DAILY_POST_POINTS,MAX(IF(IFERROR(FIND(CATALOG_BASE,A950),0)=1,CATALOG_POINTS,0))),IFERROR(INDEX(CATALOG_POINTS,MATCH(A950,CATALOG_TASK,0)),""))</f>
        <v>1</v>
      </c>
      <c r="D950" s="10" t="s">
        <v>680</v>
      </c>
      <c r="E950" s="41" t="str">
        <f t="shared" si="1"/>
        <v>PROX4</v>
      </c>
    </row>
    <row r="951" ht="15.75" customHeight="1">
      <c r="A951" s="10" t="s">
        <v>681</v>
      </c>
      <c r="B951" s="10" t="s">
        <v>134</v>
      </c>
      <c r="C951" s="41">
        <f t="array" ref="C951">IF(IFERROR(INDEX(CATALOG_POINTS,MATCH(A951,CATALOG_TASK,0)),"")="",IF(MAX(IF(IFERROR(FIND(CATALOG_BASE,A951),0)=1,CATALOG_POINTS,0))=0,DAILY_POST_POINTS,MAX(IF(IFERROR(FIND(CATALOG_BASE,A951),0)=1,CATALOG_POINTS,0))),IFERROR(INDEX(CATALOG_POINTS,MATCH(A951,CATALOG_TASK,0)),""))</f>
        <v>1</v>
      </c>
      <c r="D951" s="10" t="s">
        <v>681</v>
      </c>
      <c r="E951" s="41" t="str">
        <f t="shared" si="1"/>
        <v>PROX3</v>
      </c>
    </row>
    <row r="952" ht="15.75" customHeight="1">
      <c r="A952" s="10" t="s">
        <v>682</v>
      </c>
      <c r="B952" s="10" t="s">
        <v>133</v>
      </c>
      <c r="C952" s="41">
        <f t="array" ref="C952">IF(IFERROR(INDEX(CATALOG_POINTS,MATCH(A952,CATALOG_TASK,0)),"")="",IF(MAX(IF(IFERROR(FIND(CATALOG_BASE,A952),0)=1,CATALOG_POINTS,0))=0,DAILY_POST_POINTS,MAX(IF(IFERROR(FIND(CATALOG_BASE,A952),0)=1,CATALOG_POINTS,0))),IFERROR(INDEX(CATALOG_POINTS,MATCH(A952,CATALOG_TASK,0)),""))</f>
        <v>1</v>
      </c>
      <c r="D952" s="10" t="s">
        <v>682</v>
      </c>
      <c r="E952" s="41" t="str">
        <f t="shared" si="1"/>
        <v>PROX3</v>
      </c>
    </row>
    <row r="953" ht="15.75" customHeight="1">
      <c r="A953" s="10" t="s">
        <v>683</v>
      </c>
      <c r="B953" s="10" t="s">
        <v>136</v>
      </c>
      <c r="C953" s="41">
        <f t="array" ref="C953">IF(IFERROR(INDEX(CATALOG_POINTS,MATCH(A953,CATALOG_TASK,0)),"")="",IF(MAX(IF(IFERROR(FIND(CATALOG_BASE,A953),0)=1,CATALOG_POINTS,0))=0,DAILY_POST_POINTS,MAX(IF(IFERROR(FIND(CATALOG_BASE,A953),0)=1,CATALOG_POINTS,0))),IFERROR(INDEX(CATALOG_POINTS,MATCH(A953,CATALOG_TASK,0)),""))</f>
        <v>1</v>
      </c>
      <c r="D953" s="10" t="s">
        <v>683</v>
      </c>
      <c r="E953" s="41" t="str">
        <f t="shared" si="1"/>
        <v>PROX3</v>
      </c>
    </row>
    <row r="954" ht="15.75" customHeight="1">
      <c r="A954" s="10" t="s">
        <v>684</v>
      </c>
      <c r="B954" s="10" t="s">
        <v>132</v>
      </c>
      <c r="C954" s="41">
        <f t="array" ref="C954">IF(IFERROR(INDEX(CATALOG_POINTS,MATCH(A954,CATALOG_TASK,0)),"")="",IF(MAX(IF(IFERROR(FIND(CATALOG_BASE,A954),0)=1,CATALOG_POINTS,0))=0,DAILY_POST_POINTS,MAX(IF(IFERROR(FIND(CATALOG_BASE,A954),0)=1,CATALOG_POINTS,0))),IFERROR(INDEX(CATALOG_POINTS,MATCH(A954,CATALOG_TASK,0)),""))</f>
        <v>1</v>
      </c>
      <c r="D954" s="10" t="s">
        <v>684</v>
      </c>
      <c r="E954" s="41" t="str">
        <f t="shared" si="1"/>
        <v>PROX3</v>
      </c>
    </row>
    <row r="955" ht="15.75" customHeight="1">
      <c r="A955" s="10" t="s">
        <v>685</v>
      </c>
      <c r="B955" s="10" t="s">
        <v>132</v>
      </c>
      <c r="C955" s="41">
        <f t="array" ref="C955">IF(IFERROR(INDEX(CATALOG_POINTS,MATCH(A955,CATALOG_TASK,0)),"")="",IF(MAX(IF(IFERROR(FIND(CATALOG_BASE,A955),0)=1,CATALOG_POINTS,0))=0,DAILY_POST_POINTS,MAX(IF(IFERROR(FIND(CATALOG_BASE,A955),0)=1,CATALOG_POINTS,0))),IFERROR(INDEX(CATALOG_POINTS,MATCH(A955,CATALOG_TASK,0)),""))</f>
        <v>1</v>
      </c>
      <c r="D955" s="10" t="s">
        <v>685</v>
      </c>
      <c r="E955" s="41" t="str">
        <f t="shared" si="1"/>
        <v>PROX3</v>
      </c>
    </row>
    <row r="956" ht="15.75" customHeight="1">
      <c r="A956" s="10" t="s">
        <v>686</v>
      </c>
      <c r="B956" s="10" t="s">
        <v>137</v>
      </c>
      <c r="C956" s="41">
        <f t="array" ref="C956">IF(IFERROR(INDEX(CATALOG_POINTS,MATCH(A956,CATALOG_TASK,0)),"")="",IF(MAX(IF(IFERROR(FIND(CATALOG_BASE,A956),0)=1,CATALOG_POINTS,0))=0,DAILY_POST_POINTS,MAX(IF(IFERROR(FIND(CATALOG_BASE,A956),0)=1,CATALOG_POINTS,0))),IFERROR(INDEX(CATALOG_POINTS,MATCH(A956,CATALOG_TASK,0)),""))</f>
        <v>1</v>
      </c>
      <c r="D956" s="10" t="s">
        <v>686</v>
      </c>
      <c r="E956" s="41" t="str">
        <f t="shared" si="1"/>
        <v>PROX3</v>
      </c>
    </row>
    <row r="957" ht="15.75" customHeight="1">
      <c r="A957" s="10" t="s">
        <v>687</v>
      </c>
      <c r="B957" s="10" t="s">
        <v>121</v>
      </c>
      <c r="C957" s="41">
        <f t="array" ref="C957">IF(IFERROR(INDEX(CATALOG_POINTS,MATCH(A957,CATALOG_TASK,0)),"")="",IF(MAX(IF(IFERROR(FIND(CATALOG_BASE,A957),0)=1,CATALOG_POINTS,0))=0,DAILY_POST_POINTS,MAX(IF(IFERROR(FIND(CATALOG_BASE,A957),0)=1,CATALOG_POINTS,0))),IFERROR(INDEX(CATALOG_POINTS,MATCH(A957,CATALOG_TASK,0)),""))</f>
        <v>1</v>
      </c>
      <c r="D957" s="10" t="s">
        <v>687</v>
      </c>
      <c r="E957" s="41" t="str">
        <f t="shared" si="1"/>
        <v>PROX3</v>
      </c>
    </row>
    <row r="958" ht="15.75" customHeight="1">
      <c r="A958" s="10" t="s">
        <v>37</v>
      </c>
      <c r="B958" s="10" t="s">
        <v>121</v>
      </c>
      <c r="C958" s="41">
        <f t="array" ref="C958">IF(IFERROR(INDEX(CATALOG_POINTS,MATCH(A958,CATALOG_TASK,0)),"")="",IF(MAX(IF(IFERROR(FIND(CATALOG_BASE,A958),0)=1,CATALOG_POINTS,0))=0,DAILY_POST_POINTS,MAX(IF(IFERROR(FIND(CATALOG_BASE,A958),0)=1,CATALOG_POINTS,0))),IFERROR(INDEX(CATALOG_POINTS,MATCH(A958,CATALOG_TASK,0)),""))</f>
        <v>2</v>
      </c>
      <c r="D958" s="10" t="s">
        <v>687</v>
      </c>
      <c r="E958" s="41" t="str">
        <f t="shared" si="1"/>
        <v>PROX3</v>
      </c>
    </row>
    <row r="959" ht="15.75" customHeight="1">
      <c r="A959" s="10" t="s">
        <v>37</v>
      </c>
      <c r="B959" s="10" t="s">
        <v>121</v>
      </c>
      <c r="C959" s="41">
        <f t="array" ref="C959">IF(IFERROR(INDEX(CATALOG_POINTS,MATCH(A959,CATALOG_TASK,0)),"")="",IF(MAX(IF(IFERROR(FIND(CATALOG_BASE,A959),0)=1,CATALOG_POINTS,0))=0,DAILY_POST_POINTS,MAX(IF(IFERROR(FIND(CATALOG_BASE,A959),0)=1,CATALOG_POINTS,0))),IFERROR(INDEX(CATALOG_POINTS,MATCH(A959,CATALOG_TASK,0)),""))</f>
        <v>2</v>
      </c>
      <c r="D959" s="10" t="s">
        <v>687</v>
      </c>
      <c r="E959" s="41" t="str">
        <f t="shared" si="1"/>
        <v>PROX3</v>
      </c>
    </row>
    <row r="960" ht="15.75" customHeight="1">
      <c r="A960" s="10" t="s">
        <v>688</v>
      </c>
      <c r="B960" s="10" t="s">
        <v>121</v>
      </c>
      <c r="C960" s="41">
        <f t="array" ref="C960">IF(IFERROR(INDEX(CATALOG_POINTS,MATCH(A960,CATALOG_TASK,0)),"")="",IF(MAX(IF(IFERROR(FIND(CATALOG_BASE,A960),0)=1,CATALOG_POINTS,0))=0,DAILY_POST_POINTS,MAX(IF(IFERROR(FIND(CATALOG_BASE,A960),0)=1,CATALOG_POINTS,0))),IFERROR(INDEX(CATALOG_POINTS,MATCH(A960,CATALOG_TASK,0)),""))</f>
        <v>1</v>
      </c>
      <c r="D960" s="10" t="s">
        <v>688</v>
      </c>
      <c r="E960" s="41" t="str">
        <f t="shared" si="1"/>
        <v>PROX3</v>
      </c>
    </row>
    <row r="961" ht="15.75" customHeight="1">
      <c r="A961" s="10" t="s">
        <v>689</v>
      </c>
      <c r="B961" s="10" t="s">
        <v>128</v>
      </c>
      <c r="C961" s="41">
        <f t="array" ref="C961">IF(IFERROR(INDEX(CATALOG_POINTS,MATCH(A961,CATALOG_TASK,0)),"")="",IF(MAX(IF(IFERROR(FIND(CATALOG_BASE,A961),0)=1,CATALOG_POINTS,0))=0,DAILY_POST_POINTS,MAX(IF(IFERROR(FIND(CATALOG_BASE,A961),0)=1,CATALOG_POINTS,0))),IFERROR(INDEX(CATALOG_POINTS,MATCH(A961,CATALOG_TASK,0)),""))</f>
        <v>1</v>
      </c>
      <c r="D961" s="10" t="s">
        <v>689</v>
      </c>
      <c r="E961" s="41" t="str">
        <f t="shared" si="1"/>
        <v>PROX3</v>
      </c>
    </row>
    <row r="962" ht="15.75" customHeight="1">
      <c r="A962" s="10" t="s">
        <v>690</v>
      </c>
      <c r="B962" s="10" t="s">
        <v>135</v>
      </c>
      <c r="C962" s="41">
        <f t="array" ref="C962">IF(IFERROR(INDEX(CATALOG_POINTS,MATCH(A962,CATALOG_TASK,0)),"")="",IF(MAX(IF(IFERROR(FIND(CATALOG_BASE,A962),0)=1,CATALOG_POINTS,0))=0,DAILY_POST_POINTS,MAX(IF(IFERROR(FIND(CATALOG_BASE,A962),0)=1,CATALOG_POINTS,0))),IFERROR(INDEX(CATALOG_POINTS,MATCH(A962,CATALOG_TASK,0)),""))</f>
        <v>1</v>
      </c>
      <c r="D962" s="10" t="s">
        <v>690</v>
      </c>
      <c r="E962" s="41" t="str">
        <f t="shared" si="1"/>
        <v>PROX3</v>
      </c>
    </row>
    <row r="963" ht="15.75" customHeight="1">
      <c r="A963" s="10" t="s">
        <v>178</v>
      </c>
      <c r="B963" s="10" t="s">
        <v>123</v>
      </c>
      <c r="C963" s="41">
        <f t="array" ref="C963">IF(IFERROR(INDEX(CATALOG_POINTS,MATCH(A963,CATALOG_TASK,0)),"")="",IF(MAX(IF(IFERROR(FIND(CATALOG_BASE,A963),0)=1,CATALOG_POINTS,0))=0,DAILY_POST_POINTS,MAX(IF(IFERROR(FIND(CATALOG_BASE,A963),0)=1,CATALOG_POINTS,0))),IFERROR(INDEX(CATALOG_POINTS,MATCH(A963,CATALOG_TASK,0)),""))</f>
        <v>1</v>
      </c>
      <c r="D963" s="10" t="s">
        <v>691</v>
      </c>
      <c r="E963" s="41" t="str">
        <f t="shared" si="1"/>
        <v>PROX3</v>
      </c>
    </row>
    <row r="964" ht="15.75" customHeight="1">
      <c r="A964" s="10" t="s">
        <v>174</v>
      </c>
      <c r="B964" s="10" t="s">
        <v>124</v>
      </c>
      <c r="C964" s="41">
        <f t="array" ref="C964">IF(IFERROR(INDEX(CATALOG_POINTS,MATCH(A964,CATALOG_TASK,0)),"")="",IF(MAX(IF(IFERROR(FIND(CATALOG_BASE,A964),0)=1,CATALOG_POINTS,0))=0,DAILY_POST_POINTS,MAX(IF(IFERROR(FIND(CATALOG_BASE,A964),0)=1,CATALOG_POINTS,0))),IFERROR(INDEX(CATALOG_POINTS,MATCH(A964,CATALOG_TASK,0)),""))</f>
        <v>1</v>
      </c>
      <c r="D964" s="10" t="s">
        <v>691</v>
      </c>
      <c r="E964" s="41" t="str">
        <f t="shared" si="1"/>
        <v>PROX3</v>
      </c>
    </row>
    <row r="965" ht="15.75" customHeight="1">
      <c r="A965" s="10" t="s">
        <v>168</v>
      </c>
      <c r="B965" s="10" t="s">
        <v>126</v>
      </c>
      <c r="C965" s="41">
        <f t="array" ref="C965">IF(IFERROR(INDEX(CATALOG_POINTS,MATCH(A965,CATALOG_TASK,0)),"")="",IF(MAX(IF(IFERROR(FIND(CATALOG_BASE,A965),0)=1,CATALOG_POINTS,0))=0,DAILY_POST_POINTS,MAX(IF(IFERROR(FIND(CATALOG_BASE,A965),0)=1,CATALOG_POINTS,0))),IFERROR(INDEX(CATALOG_POINTS,MATCH(A965,CATALOG_TASK,0)),""))</f>
        <v>1</v>
      </c>
      <c r="D965" s="10" t="s">
        <v>691</v>
      </c>
      <c r="E965" s="41" t="str">
        <f t="shared" si="1"/>
        <v>PROX3</v>
      </c>
    </row>
    <row r="966" ht="15.75" customHeight="1">
      <c r="A966" s="10" t="s">
        <v>37</v>
      </c>
      <c r="B966" s="10" t="s">
        <v>126</v>
      </c>
      <c r="C966" s="41">
        <f t="array" ref="C966">IF(IFERROR(INDEX(CATALOG_POINTS,MATCH(A966,CATALOG_TASK,0)),"")="",IF(MAX(IF(IFERROR(FIND(CATALOG_BASE,A966),0)=1,CATALOG_POINTS,0))=0,DAILY_POST_POINTS,MAX(IF(IFERROR(FIND(CATALOG_BASE,A966),0)=1,CATALOG_POINTS,0))),IFERROR(INDEX(CATALOG_POINTS,MATCH(A966,CATALOG_TASK,0)),""))</f>
        <v>2</v>
      </c>
      <c r="D966" s="10" t="s">
        <v>691</v>
      </c>
      <c r="E966" s="41" t="str">
        <f t="shared" si="1"/>
        <v>PROX3</v>
      </c>
    </row>
    <row r="967" ht="15.75" customHeight="1">
      <c r="A967" s="10" t="s">
        <v>691</v>
      </c>
      <c r="B967" s="10" t="s">
        <v>117</v>
      </c>
      <c r="C967" s="41">
        <f t="array" ref="C967">IF(IFERROR(INDEX(CATALOG_POINTS,MATCH(A967,CATALOG_TASK,0)),"")="",IF(MAX(IF(IFERROR(FIND(CATALOG_BASE,A967),0)=1,CATALOG_POINTS,0))=0,DAILY_POST_POINTS,MAX(IF(IFERROR(FIND(CATALOG_BASE,A967),0)=1,CATALOG_POINTS,0))),IFERROR(INDEX(CATALOG_POINTS,MATCH(A967,CATALOG_TASK,0)),""))</f>
        <v>1</v>
      </c>
      <c r="D967" s="10" t="s">
        <v>691</v>
      </c>
      <c r="E967" s="41" t="str">
        <f t="shared" si="1"/>
        <v>PROX3</v>
      </c>
    </row>
    <row r="968" ht="15.75" customHeight="1">
      <c r="A968" s="10" t="s">
        <v>37</v>
      </c>
      <c r="B968" s="10" t="s">
        <v>117</v>
      </c>
      <c r="C968" s="41">
        <f t="array" ref="C968">IF(IFERROR(INDEX(CATALOG_POINTS,MATCH(A968,CATALOG_TASK,0)),"")="",IF(MAX(IF(IFERROR(FIND(CATALOG_BASE,A968),0)=1,CATALOG_POINTS,0))=0,DAILY_POST_POINTS,MAX(IF(IFERROR(FIND(CATALOG_BASE,A968),0)=1,CATALOG_POINTS,0))),IFERROR(INDEX(CATALOG_POINTS,MATCH(A968,CATALOG_TASK,0)),""))</f>
        <v>2</v>
      </c>
      <c r="D968" s="10" t="s">
        <v>692</v>
      </c>
      <c r="E968" s="41" t="str">
        <f t="shared" si="1"/>
        <v>PROX3</v>
      </c>
    </row>
    <row r="969" ht="15.75" customHeight="1">
      <c r="A969" s="10" t="s">
        <v>37</v>
      </c>
      <c r="B969" s="10" t="s">
        <v>123</v>
      </c>
      <c r="C969" s="41">
        <f t="array" ref="C969">IF(IFERROR(INDEX(CATALOG_POINTS,MATCH(A969,CATALOG_TASK,0)),"")="",IF(MAX(IF(IFERROR(FIND(CATALOG_BASE,A969),0)=1,CATALOG_POINTS,0))=0,DAILY_POST_POINTS,MAX(IF(IFERROR(FIND(CATALOG_BASE,A969),0)=1,CATALOG_POINTS,0))),IFERROR(INDEX(CATALOG_POINTS,MATCH(A969,CATALOG_TASK,0)),""))</f>
        <v>2</v>
      </c>
      <c r="D969" s="10" t="s">
        <v>692</v>
      </c>
      <c r="E969" s="41" t="str">
        <f t="shared" si="1"/>
        <v>PROX3</v>
      </c>
    </row>
    <row r="970" ht="15.75" customHeight="1">
      <c r="A970" s="10" t="s">
        <v>692</v>
      </c>
      <c r="B970" s="10" t="s">
        <v>132</v>
      </c>
      <c r="C970" s="41">
        <f t="array" ref="C970">IF(IFERROR(INDEX(CATALOG_POINTS,MATCH(A970,CATALOG_TASK,0)),"")="",IF(MAX(IF(IFERROR(FIND(CATALOG_BASE,A970),0)=1,CATALOG_POINTS,0))=0,DAILY_POST_POINTS,MAX(IF(IFERROR(FIND(CATALOG_BASE,A970),0)=1,CATALOG_POINTS,0))),IFERROR(INDEX(CATALOG_POINTS,MATCH(A970,CATALOG_TASK,0)),""))</f>
        <v>1</v>
      </c>
      <c r="D970" s="10" t="s">
        <v>692</v>
      </c>
      <c r="E970" s="41" t="str">
        <f t="shared" si="1"/>
        <v>PROX3</v>
      </c>
    </row>
    <row r="971" ht="15.75" customHeight="1">
      <c r="A971" s="10" t="s">
        <v>37</v>
      </c>
      <c r="B971" s="10" t="s">
        <v>119</v>
      </c>
      <c r="C971" s="41">
        <f t="array" ref="C971">IF(IFERROR(INDEX(CATALOG_POINTS,MATCH(A971,CATALOG_TASK,0)),"")="",IF(MAX(IF(IFERROR(FIND(CATALOG_BASE,A971),0)=1,CATALOG_POINTS,0))=0,DAILY_POST_POINTS,MAX(IF(IFERROR(FIND(CATALOG_BASE,A971),0)=1,CATALOG_POINTS,0))),IFERROR(INDEX(CATALOG_POINTS,MATCH(A971,CATALOG_TASK,0)),""))</f>
        <v>2</v>
      </c>
      <c r="D971" s="10" t="s">
        <v>692</v>
      </c>
      <c r="E971" s="41" t="str">
        <f t="shared" si="1"/>
        <v>PROX3</v>
      </c>
    </row>
    <row r="972" ht="15.75" customHeight="1">
      <c r="A972" s="10" t="s">
        <v>693</v>
      </c>
      <c r="B972" s="10" t="s">
        <v>131</v>
      </c>
      <c r="C972" s="41">
        <f t="array" ref="C972">IF(IFERROR(INDEX(CATALOG_POINTS,MATCH(A972,CATALOG_TASK,0)),"")="",IF(MAX(IF(IFERROR(FIND(CATALOG_BASE,A972),0)=1,CATALOG_POINTS,0))=0,DAILY_POST_POINTS,MAX(IF(IFERROR(FIND(CATALOG_BASE,A972),0)=1,CATALOG_POINTS,0))),IFERROR(INDEX(CATALOG_POINTS,MATCH(A972,CATALOG_TASK,0)),""))</f>
        <v>1</v>
      </c>
      <c r="D972" s="10" t="s">
        <v>693</v>
      </c>
      <c r="E972" s="41" t="str">
        <f t="shared" si="1"/>
        <v>PROX3</v>
      </c>
    </row>
    <row r="973" ht="15.75" customHeight="1">
      <c r="A973" s="10" t="s">
        <v>694</v>
      </c>
      <c r="B973" s="10" t="s">
        <v>134</v>
      </c>
      <c r="C973" s="41">
        <f t="array" ref="C973">IF(IFERROR(INDEX(CATALOG_POINTS,MATCH(A973,CATALOG_TASK,0)),"")="",IF(MAX(IF(IFERROR(FIND(CATALOG_BASE,A973),0)=1,CATALOG_POINTS,0))=0,DAILY_POST_POINTS,MAX(IF(IFERROR(FIND(CATALOG_BASE,A973),0)=1,CATALOG_POINTS,0))),IFERROR(INDEX(CATALOG_POINTS,MATCH(A973,CATALOG_TASK,0)),""))</f>
        <v>1</v>
      </c>
      <c r="D973" s="10" t="s">
        <v>694</v>
      </c>
      <c r="E973" s="41" t="str">
        <f t="shared" si="1"/>
        <v>PROX3</v>
      </c>
    </row>
    <row r="974" ht="15.75" customHeight="1">
      <c r="A974" s="10" t="s">
        <v>695</v>
      </c>
      <c r="B974" s="10" t="s">
        <v>125</v>
      </c>
      <c r="C974" s="41">
        <f t="array" ref="C974">IF(IFERROR(INDEX(CATALOG_POINTS,MATCH(A974,CATALOG_TASK,0)),"")="",IF(MAX(IF(IFERROR(FIND(CATALOG_BASE,A974),0)=1,CATALOG_POINTS,0))=0,DAILY_POST_POINTS,MAX(IF(IFERROR(FIND(CATALOG_BASE,A974),0)=1,CATALOG_POINTS,0))),IFERROR(INDEX(CATALOG_POINTS,MATCH(A974,CATALOG_TASK,0)),""))</f>
        <v>1</v>
      </c>
      <c r="D974" s="10" t="s">
        <v>695</v>
      </c>
      <c r="E974" s="41" t="str">
        <f t="shared" si="1"/>
        <v>PROX3</v>
      </c>
    </row>
    <row r="975" ht="15.75" customHeight="1">
      <c r="A975" s="10" t="s">
        <v>178</v>
      </c>
      <c r="B975" s="10" t="s">
        <v>122</v>
      </c>
      <c r="C975" s="41">
        <f t="array" ref="C975">IF(IFERROR(INDEX(CATALOG_POINTS,MATCH(A975,CATALOG_TASK,0)),"")="",IF(MAX(IF(IFERROR(FIND(CATALOG_BASE,A975),0)=1,CATALOG_POINTS,0))=0,DAILY_POST_POINTS,MAX(IF(IFERROR(FIND(CATALOG_BASE,A975),0)=1,CATALOG_POINTS,0))),IFERROR(INDEX(CATALOG_POINTS,MATCH(A975,CATALOG_TASK,0)),""))</f>
        <v>1</v>
      </c>
      <c r="D975" s="10" t="s">
        <v>696</v>
      </c>
      <c r="E975" s="41" t="str">
        <f t="shared" si="1"/>
        <v/>
      </c>
    </row>
    <row r="976" ht="15.75" customHeight="1">
      <c r="A976" s="10" t="s">
        <v>37</v>
      </c>
      <c r="B976" s="10" t="s">
        <v>119</v>
      </c>
      <c r="C976" s="41">
        <f t="array" ref="C976">IF(IFERROR(INDEX(CATALOG_POINTS,MATCH(A976,CATALOG_TASK,0)),"")="",IF(MAX(IF(IFERROR(FIND(CATALOG_BASE,A976),0)=1,CATALOG_POINTS,0))=0,DAILY_POST_POINTS,MAX(IF(IFERROR(FIND(CATALOG_BASE,A976),0)=1,CATALOG_POINTS,0))),IFERROR(INDEX(CATALOG_POINTS,MATCH(A976,CATALOG_TASK,0)),""))</f>
        <v>2</v>
      </c>
      <c r="D976" s="10" t="s">
        <v>697</v>
      </c>
      <c r="E976" s="41" t="str">
        <f t="shared" si="1"/>
        <v>PROX3</v>
      </c>
    </row>
    <row r="977" ht="15.75" customHeight="1">
      <c r="A977" s="10" t="s">
        <v>697</v>
      </c>
      <c r="B977" s="10" t="s">
        <v>137</v>
      </c>
      <c r="C977" s="41">
        <f t="array" ref="C977">IF(IFERROR(INDEX(CATALOG_POINTS,MATCH(A977,CATALOG_TASK,0)),"")="",IF(MAX(IF(IFERROR(FIND(CATALOG_BASE,A977),0)=1,CATALOG_POINTS,0))=0,DAILY_POST_POINTS,MAX(IF(IFERROR(FIND(CATALOG_BASE,A977),0)=1,CATALOG_POINTS,0))),IFERROR(INDEX(CATALOG_POINTS,MATCH(A977,CATALOG_TASK,0)),""))</f>
        <v>1</v>
      </c>
      <c r="D977" s="10" t="s">
        <v>697</v>
      </c>
      <c r="E977" s="41" t="str">
        <f t="shared" si="1"/>
        <v>PROX3</v>
      </c>
    </row>
    <row r="978" ht="15.75" customHeight="1">
      <c r="A978" s="10" t="s">
        <v>37</v>
      </c>
      <c r="B978" s="10" t="s">
        <v>119</v>
      </c>
      <c r="C978" s="41">
        <f t="array" ref="C978">IF(IFERROR(INDEX(CATALOG_POINTS,MATCH(A978,CATALOG_TASK,0)),"")="",IF(MAX(IF(IFERROR(FIND(CATALOG_BASE,A978),0)=1,CATALOG_POINTS,0))=0,DAILY_POST_POINTS,MAX(IF(IFERROR(FIND(CATALOG_BASE,A978),0)=1,CATALOG_POINTS,0))),IFERROR(INDEX(CATALOG_POINTS,MATCH(A978,CATALOG_TASK,0)),""))</f>
        <v>2</v>
      </c>
      <c r="D978" s="10" t="s">
        <v>697</v>
      </c>
      <c r="E978" s="41" t="str">
        <f t="shared" si="1"/>
        <v>PROX3</v>
      </c>
    </row>
    <row r="979" ht="15.75" customHeight="1">
      <c r="A979" s="10" t="s">
        <v>698</v>
      </c>
      <c r="B979" s="10" t="s">
        <v>123</v>
      </c>
      <c r="C979" s="41">
        <f t="array" ref="C979">IF(IFERROR(INDEX(CATALOG_POINTS,MATCH(A979,CATALOG_TASK,0)),"")="",IF(MAX(IF(IFERROR(FIND(CATALOG_BASE,A979),0)=1,CATALOG_POINTS,0))=0,DAILY_POST_POINTS,MAX(IF(IFERROR(FIND(CATALOG_BASE,A979),0)=1,CATALOG_POINTS,0))),IFERROR(INDEX(CATALOG_POINTS,MATCH(A979,CATALOG_TASK,0)),""))</f>
        <v>1</v>
      </c>
      <c r="D979" s="10" t="s">
        <v>698</v>
      </c>
      <c r="E979" s="41" t="str">
        <f t="shared" si="1"/>
        <v>PROX3</v>
      </c>
    </row>
    <row r="980" ht="15.75" customHeight="1">
      <c r="A980" s="10" t="s">
        <v>37</v>
      </c>
      <c r="B980" s="10" t="s">
        <v>125</v>
      </c>
      <c r="C980" s="41">
        <f t="array" ref="C980">IF(IFERROR(INDEX(CATALOG_POINTS,MATCH(A980,CATALOG_TASK,0)),"")="",IF(MAX(IF(IFERROR(FIND(CATALOG_BASE,A980),0)=1,CATALOG_POINTS,0))=0,DAILY_POST_POINTS,MAX(IF(IFERROR(FIND(CATALOG_BASE,A980),0)=1,CATALOG_POINTS,0))),IFERROR(INDEX(CATALOG_POINTS,MATCH(A980,CATALOG_TASK,0)),""))</f>
        <v>2</v>
      </c>
      <c r="D980" s="10" t="s">
        <v>698</v>
      </c>
      <c r="E980" s="41" t="str">
        <f t="shared" si="1"/>
        <v>PROX3</v>
      </c>
    </row>
    <row r="981" ht="15.75" customHeight="1">
      <c r="A981" s="10" t="s">
        <v>37</v>
      </c>
      <c r="B981" s="10" t="s">
        <v>120</v>
      </c>
      <c r="C981" s="41">
        <f t="array" ref="C981">IF(IFERROR(INDEX(CATALOG_POINTS,MATCH(A981,CATALOG_TASK,0)),"")="",IF(MAX(IF(IFERROR(FIND(CATALOG_BASE,A981),0)=1,CATALOG_POINTS,0))=0,DAILY_POST_POINTS,MAX(IF(IFERROR(FIND(CATALOG_BASE,A981),0)=1,CATALOG_POINTS,0))),IFERROR(INDEX(CATALOG_POINTS,MATCH(A981,CATALOG_TASK,0)),""))</f>
        <v>2</v>
      </c>
      <c r="D981" s="10" t="s">
        <v>698</v>
      </c>
      <c r="E981" s="41" t="str">
        <f t="shared" si="1"/>
        <v>PROX3</v>
      </c>
    </row>
    <row r="982" ht="15.75" customHeight="1">
      <c r="A982" s="10" t="s">
        <v>699</v>
      </c>
      <c r="B982" s="10" t="s">
        <v>129</v>
      </c>
      <c r="C982" s="41">
        <f t="array" ref="C982">IF(IFERROR(INDEX(CATALOG_POINTS,MATCH(A982,CATALOG_TASK,0)),"")="",IF(MAX(IF(IFERROR(FIND(CATALOG_BASE,A982),0)=1,CATALOG_POINTS,0))=0,DAILY_POST_POINTS,MAX(IF(IFERROR(FIND(CATALOG_BASE,A982),0)=1,CATALOG_POINTS,0))),IFERROR(INDEX(CATALOG_POINTS,MATCH(A982,CATALOG_TASK,0)),""))</f>
        <v>1</v>
      </c>
      <c r="D982" s="10" t="s">
        <v>699</v>
      </c>
      <c r="E982" s="41" t="str">
        <f t="shared" si="1"/>
        <v>PROX3</v>
      </c>
    </row>
    <row r="983" ht="15.75" customHeight="1">
      <c r="A983" s="10" t="s">
        <v>700</v>
      </c>
      <c r="B983" s="10" t="s">
        <v>135</v>
      </c>
      <c r="C983" s="41">
        <f t="array" ref="C983">IF(IFERROR(INDEX(CATALOG_POINTS,MATCH(A983,CATALOG_TASK,0)),"")="",IF(MAX(IF(IFERROR(FIND(CATALOG_BASE,A983),0)=1,CATALOG_POINTS,0))=0,DAILY_POST_POINTS,MAX(IF(IFERROR(FIND(CATALOG_BASE,A983),0)=1,CATALOG_POINTS,0))),IFERROR(INDEX(CATALOG_POINTS,MATCH(A983,CATALOG_TASK,0)),""))</f>
        <v>1</v>
      </c>
      <c r="D983" s="10" t="s">
        <v>700</v>
      </c>
      <c r="E983" s="41" t="str">
        <f t="shared" si="1"/>
        <v>PROX3</v>
      </c>
    </row>
    <row r="984" ht="15.75" customHeight="1">
      <c r="A984" s="10" t="s">
        <v>701</v>
      </c>
      <c r="B984" s="10" t="s">
        <v>122</v>
      </c>
      <c r="C984" s="41">
        <f t="array" ref="C984">IF(IFERROR(INDEX(CATALOG_POINTS,MATCH(A984,CATALOG_TASK,0)),"")="",IF(MAX(IF(IFERROR(FIND(CATALOG_BASE,A984),0)=1,CATALOG_POINTS,0))=0,DAILY_POST_POINTS,MAX(IF(IFERROR(FIND(CATALOG_BASE,A984),0)=1,CATALOG_POINTS,0))),IFERROR(INDEX(CATALOG_POINTS,MATCH(A984,CATALOG_TASK,0)),""))</f>
        <v>1</v>
      </c>
      <c r="D984" s="10" t="s">
        <v>701</v>
      </c>
      <c r="E984" s="41" t="str">
        <f t="shared" si="1"/>
        <v>PROX3</v>
      </c>
    </row>
    <row r="985" ht="15.75" customHeight="1">
      <c r="A985" s="10" t="s">
        <v>702</v>
      </c>
      <c r="B985" s="10" t="s">
        <v>134</v>
      </c>
      <c r="C985" s="41">
        <f t="array" ref="C985">IF(IFERROR(INDEX(CATALOG_POINTS,MATCH(A985,CATALOG_TASK,0)),"")="",IF(MAX(IF(IFERROR(FIND(CATALOG_BASE,A985),0)=1,CATALOG_POINTS,0))=0,DAILY_POST_POINTS,MAX(IF(IFERROR(FIND(CATALOG_BASE,A985),0)=1,CATALOG_POINTS,0))),IFERROR(INDEX(CATALOG_POINTS,MATCH(A985,CATALOG_TASK,0)),""))</f>
        <v>1</v>
      </c>
      <c r="D985" s="10" t="s">
        <v>702</v>
      </c>
      <c r="E985" s="41" t="str">
        <f t="shared" si="1"/>
        <v>PROX3</v>
      </c>
    </row>
    <row r="986" ht="15.75" customHeight="1">
      <c r="A986" s="10" t="s">
        <v>703</v>
      </c>
      <c r="B986" s="10" t="s">
        <v>135</v>
      </c>
      <c r="C986" s="41">
        <f t="array" ref="C986">IF(IFERROR(INDEX(CATALOG_POINTS,MATCH(A986,CATALOG_TASK,0)),"")="",IF(MAX(IF(IFERROR(FIND(CATALOG_BASE,A986),0)=1,CATALOG_POINTS,0))=0,DAILY_POST_POINTS,MAX(IF(IFERROR(FIND(CATALOG_BASE,A986),0)=1,CATALOG_POINTS,0))),IFERROR(INDEX(CATALOG_POINTS,MATCH(A986,CATALOG_TASK,0)),""))</f>
        <v>1</v>
      </c>
      <c r="D986" s="10" t="s">
        <v>703</v>
      </c>
      <c r="E986" s="41" t="str">
        <f t="shared" si="1"/>
        <v>PROX3</v>
      </c>
    </row>
    <row r="987" ht="15.75" customHeight="1">
      <c r="A987" s="10" t="s">
        <v>704</v>
      </c>
      <c r="B987" s="10" t="s">
        <v>133</v>
      </c>
      <c r="C987" s="41">
        <f t="array" ref="C987">IF(IFERROR(INDEX(CATALOG_POINTS,MATCH(A987,CATALOG_TASK,0)),"")="",IF(MAX(IF(IFERROR(FIND(CATALOG_BASE,A987),0)=1,CATALOG_POINTS,0))=0,DAILY_POST_POINTS,MAX(IF(IFERROR(FIND(CATALOG_BASE,A987),0)=1,CATALOG_POINTS,0))),IFERROR(INDEX(CATALOG_POINTS,MATCH(A987,CATALOG_TASK,0)),""))</f>
        <v>1</v>
      </c>
      <c r="D987" s="10" t="s">
        <v>704</v>
      </c>
      <c r="E987" s="41" t="str">
        <f t="shared" si="1"/>
        <v>PROX3</v>
      </c>
    </row>
    <row r="988" ht="15.75" customHeight="1">
      <c r="A988" s="10" t="s">
        <v>705</v>
      </c>
      <c r="B988" s="10" t="s">
        <v>136</v>
      </c>
      <c r="C988" s="41">
        <f t="array" ref="C988">IF(IFERROR(INDEX(CATALOG_POINTS,MATCH(A988,CATALOG_TASK,0)),"")="",IF(MAX(IF(IFERROR(FIND(CATALOG_BASE,A988),0)=1,CATALOG_POINTS,0))=0,DAILY_POST_POINTS,MAX(IF(IFERROR(FIND(CATALOG_BASE,A988),0)=1,CATALOG_POINTS,0))),IFERROR(INDEX(CATALOG_POINTS,MATCH(A988,CATALOG_TASK,0)),""))</f>
        <v>1</v>
      </c>
      <c r="D988" s="10" t="s">
        <v>705</v>
      </c>
      <c r="E988" s="41" t="str">
        <f t="shared" si="1"/>
        <v>PROX3</v>
      </c>
    </row>
    <row r="989" ht="15.75" customHeight="1">
      <c r="A989" s="10" t="s">
        <v>37</v>
      </c>
      <c r="B989" s="10" t="s">
        <v>120</v>
      </c>
      <c r="C989" s="41">
        <f t="array" ref="C989">IF(IFERROR(INDEX(CATALOG_POINTS,MATCH(A989,CATALOG_TASK,0)),"")="",IF(MAX(IF(IFERROR(FIND(CATALOG_BASE,A989),0)=1,CATALOG_POINTS,0))=0,DAILY_POST_POINTS,MAX(IF(IFERROR(FIND(CATALOG_BASE,A989),0)=1,CATALOG_POINTS,0))),IFERROR(INDEX(CATALOG_POINTS,MATCH(A989,CATALOG_TASK,0)),""))</f>
        <v>2</v>
      </c>
      <c r="D989" s="10" t="s">
        <v>705</v>
      </c>
      <c r="E989" s="41" t="str">
        <f t="shared" si="1"/>
        <v>PROX3</v>
      </c>
    </row>
    <row r="990" ht="15.75" customHeight="1">
      <c r="A990" s="10" t="s">
        <v>706</v>
      </c>
      <c r="B990" s="10" t="s">
        <v>126</v>
      </c>
      <c r="C990" s="41">
        <f t="array" ref="C990">IF(IFERROR(INDEX(CATALOG_POINTS,MATCH(A990,CATALOG_TASK,0)),"")="",IF(MAX(IF(IFERROR(FIND(CATALOG_BASE,A990),0)=1,CATALOG_POINTS,0))=0,DAILY_POST_POINTS,MAX(IF(IFERROR(FIND(CATALOG_BASE,A990),0)=1,CATALOG_POINTS,0))),IFERROR(INDEX(CATALOG_POINTS,MATCH(A990,CATALOG_TASK,0)),""))</f>
        <v>1</v>
      </c>
      <c r="D990" s="10" t="s">
        <v>706</v>
      </c>
      <c r="E990" s="41" t="str">
        <f t="shared" si="1"/>
        <v>PROX3</v>
      </c>
    </row>
    <row r="991" ht="15.75" customHeight="1">
      <c r="A991" s="10" t="s">
        <v>168</v>
      </c>
      <c r="B991" s="10" t="s">
        <v>126</v>
      </c>
      <c r="C991" s="41">
        <f t="array" ref="C991">IF(IFERROR(INDEX(CATALOG_POINTS,MATCH(A991,CATALOG_TASK,0)),"")="",IF(MAX(IF(IFERROR(FIND(CATALOG_BASE,A991),0)=1,CATALOG_POINTS,0))=0,DAILY_POST_POINTS,MAX(IF(IFERROR(FIND(CATALOG_BASE,A991),0)=1,CATALOG_POINTS,0))),IFERROR(INDEX(CATALOG_POINTS,MATCH(A991,CATALOG_TASK,0)),""))</f>
        <v>1</v>
      </c>
      <c r="D991" s="10" t="s">
        <v>707</v>
      </c>
      <c r="E991" s="41" t="str">
        <f t="shared" si="1"/>
        <v>PROX3</v>
      </c>
    </row>
    <row r="992" ht="15.75" customHeight="1">
      <c r="A992" s="10" t="s">
        <v>37</v>
      </c>
      <c r="B992" s="10" t="s">
        <v>126</v>
      </c>
      <c r="C992" s="41">
        <f t="array" ref="C992">IF(IFERROR(INDEX(CATALOG_POINTS,MATCH(A992,CATALOG_TASK,0)),"")="",IF(MAX(IF(IFERROR(FIND(CATALOG_BASE,A992),0)=1,CATALOG_POINTS,0))=0,DAILY_POST_POINTS,MAX(IF(IFERROR(FIND(CATALOG_BASE,A992),0)=1,CATALOG_POINTS,0))),IFERROR(INDEX(CATALOG_POINTS,MATCH(A992,CATALOG_TASK,0)),""))</f>
        <v>2</v>
      </c>
      <c r="D992" s="10" t="s">
        <v>707</v>
      </c>
      <c r="E992" s="41" t="str">
        <f t="shared" si="1"/>
        <v>PROX3</v>
      </c>
    </row>
    <row r="993" ht="15.75" customHeight="1">
      <c r="A993" s="10" t="s">
        <v>707</v>
      </c>
      <c r="B993" s="10" t="s">
        <v>131</v>
      </c>
      <c r="C993" s="41">
        <f t="array" ref="C993">IF(IFERROR(INDEX(CATALOG_POINTS,MATCH(A993,CATALOG_TASK,0)),"")="",IF(MAX(IF(IFERROR(FIND(CATALOG_BASE,A993),0)=1,CATALOG_POINTS,0))=0,DAILY_POST_POINTS,MAX(IF(IFERROR(FIND(CATALOG_BASE,A993),0)=1,CATALOG_POINTS,0))),IFERROR(INDEX(CATALOG_POINTS,MATCH(A993,CATALOG_TASK,0)),""))</f>
        <v>1</v>
      </c>
      <c r="D993" s="10" t="s">
        <v>707</v>
      </c>
      <c r="E993" s="41" t="str">
        <f t="shared" si="1"/>
        <v>PROX3</v>
      </c>
    </row>
    <row r="994" ht="15.75" customHeight="1">
      <c r="A994" s="10" t="s">
        <v>708</v>
      </c>
      <c r="B994" s="10" t="s">
        <v>128</v>
      </c>
      <c r="C994" s="41">
        <f t="array" ref="C994">IF(IFERROR(INDEX(CATALOG_POINTS,MATCH(A994,CATALOG_TASK,0)),"")="",IF(MAX(IF(IFERROR(FIND(CATALOG_BASE,A994),0)=1,CATALOG_POINTS,0))=0,DAILY_POST_POINTS,MAX(IF(IFERROR(FIND(CATALOG_BASE,A994),0)=1,CATALOG_POINTS,0))),IFERROR(INDEX(CATALOG_POINTS,MATCH(A994,CATALOG_TASK,0)),""))</f>
        <v>1</v>
      </c>
      <c r="D994" s="10" t="s">
        <v>708</v>
      </c>
      <c r="E994" s="41" t="str">
        <f t="shared" si="1"/>
        <v>PROX3</v>
      </c>
    </row>
    <row r="995" ht="15.75" customHeight="1">
      <c r="A995" s="10" t="s">
        <v>174</v>
      </c>
      <c r="B995" s="10" t="s">
        <v>123</v>
      </c>
      <c r="C995" s="41">
        <f t="array" ref="C995">IF(IFERROR(INDEX(CATALOG_POINTS,MATCH(A995,CATALOG_TASK,0)),"")="",IF(MAX(IF(IFERROR(FIND(CATALOG_BASE,A995),0)=1,CATALOG_POINTS,0))=0,DAILY_POST_POINTS,MAX(IF(IFERROR(FIND(CATALOG_BASE,A995),0)=1,CATALOG_POINTS,0))),IFERROR(INDEX(CATALOG_POINTS,MATCH(A995,CATALOG_TASK,0)),""))</f>
        <v>1</v>
      </c>
      <c r="D995" s="10" t="s">
        <v>709</v>
      </c>
      <c r="E995" s="41" t="str">
        <f t="shared" si="1"/>
        <v>PROX3</v>
      </c>
    </row>
    <row r="996" ht="15.75" customHeight="1">
      <c r="A996" s="10" t="s">
        <v>168</v>
      </c>
      <c r="B996" s="10" t="s">
        <v>123</v>
      </c>
      <c r="C996" s="41">
        <f t="array" ref="C996">IF(IFERROR(INDEX(CATALOG_POINTS,MATCH(A996,CATALOG_TASK,0)),"")="",IF(MAX(IF(IFERROR(FIND(CATALOG_BASE,A996),0)=1,CATALOG_POINTS,0))=0,DAILY_POST_POINTS,MAX(IF(IFERROR(FIND(CATALOG_BASE,A996),0)=1,CATALOG_POINTS,0))),IFERROR(INDEX(CATALOG_POINTS,MATCH(A996,CATALOG_TASK,0)),""))</f>
        <v>1</v>
      </c>
      <c r="D996" s="10" t="s">
        <v>709</v>
      </c>
      <c r="E996" s="41" t="str">
        <f t="shared" si="1"/>
        <v>PROX3</v>
      </c>
    </row>
    <row r="997" ht="15.75" customHeight="1">
      <c r="A997" s="10" t="s">
        <v>709</v>
      </c>
      <c r="B997" s="10" t="s">
        <v>123</v>
      </c>
      <c r="C997" s="41">
        <f t="array" ref="C997">IF(IFERROR(INDEX(CATALOG_POINTS,MATCH(A997,CATALOG_TASK,0)),"")="",IF(MAX(IF(IFERROR(FIND(CATALOG_BASE,A997),0)=1,CATALOG_POINTS,0))=0,DAILY_POST_POINTS,MAX(IF(IFERROR(FIND(CATALOG_BASE,A997),0)=1,CATALOG_POINTS,0))),IFERROR(INDEX(CATALOG_POINTS,MATCH(A997,CATALOG_TASK,0)),""))</f>
        <v>1</v>
      </c>
      <c r="D997" s="10" t="s">
        <v>709</v>
      </c>
      <c r="E997" s="41" t="str">
        <f t="shared" si="1"/>
        <v>PROX3</v>
      </c>
    </row>
    <row r="998" ht="15.75" customHeight="1">
      <c r="A998" s="10" t="s">
        <v>174</v>
      </c>
      <c r="B998" s="10" t="s">
        <v>123</v>
      </c>
      <c r="C998" s="41">
        <f t="array" ref="C998">IF(IFERROR(INDEX(CATALOG_POINTS,MATCH(A998,CATALOG_TASK,0)),"")="",IF(MAX(IF(IFERROR(FIND(CATALOG_BASE,A998),0)=1,CATALOG_POINTS,0))=0,DAILY_POST_POINTS,MAX(IF(IFERROR(FIND(CATALOG_BASE,A998),0)=1,CATALOG_POINTS,0))),IFERROR(INDEX(CATALOG_POINTS,MATCH(A998,CATALOG_TASK,0)),""))</f>
        <v>1</v>
      </c>
      <c r="D998" s="10" t="s">
        <v>709</v>
      </c>
      <c r="E998" s="41" t="str">
        <f t="shared" si="1"/>
        <v>PROX3</v>
      </c>
    </row>
    <row r="999" ht="15.75" customHeight="1">
      <c r="A999" s="10" t="s">
        <v>24</v>
      </c>
      <c r="B999" s="10" t="s">
        <v>121</v>
      </c>
      <c r="C999" s="41">
        <f t="array" ref="C999">IF(IFERROR(INDEX(CATALOG_POINTS,MATCH(A999,CATALOG_TASK,0)),"")="",IF(MAX(IF(IFERROR(FIND(CATALOG_BASE,A999),0)=1,CATALOG_POINTS,0))=0,DAILY_POST_POINTS,MAX(IF(IFERROR(FIND(CATALOG_BASE,A999),0)=1,CATALOG_POINTS,0))),IFERROR(INDEX(CATALOG_POINTS,MATCH(A999,CATALOG_TASK,0)),""))</f>
        <v>2</v>
      </c>
      <c r="D999" s="10" t="s">
        <v>710</v>
      </c>
      <c r="E999" s="41" t="str">
        <f t="shared" si="1"/>
        <v>PROX3</v>
      </c>
    </row>
    <row r="1000" ht="15.75" customHeight="1">
      <c r="A1000" s="10" t="s">
        <v>37</v>
      </c>
      <c r="B1000" s="10" t="s">
        <v>120</v>
      </c>
      <c r="C1000" s="41">
        <f t="array" ref="C1000">IF(IFERROR(INDEX(CATALOG_POINTS,MATCH(A1000,CATALOG_TASK,0)),"")="",IF(MAX(IF(IFERROR(FIND(CATALOG_BASE,A1000),0)=1,CATALOG_POINTS,0))=0,DAILY_POST_POINTS,MAX(IF(IFERROR(FIND(CATALOG_BASE,A1000),0)=1,CATALOG_POINTS,0))),IFERROR(INDEX(CATALOG_POINTS,MATCH(A1000,CATALOG_TASK,0)),""))</f>
        <v>2</v>
      </c>
      <c r="D1000" s="10" t="s">
        <v>710</v>
      </c>
      <c r="E1000" s="41" t="str">
        <f t="shared" si="1"/>
        <v>PROX3</v>
      </c>
    </row>
    <row r="1001" ht="15.75" customHeight="1">
      <c r="A1001" s="10" t="s">
        <v>174</v>
      </c>
      <c r="B1001" s="10" t="s">
        <v>124</v>
      </c>
      <c r="C1001" s="41">
        <f t="array" ref="C1001">IF(IFERROR(INDEX(CATALOG_POINTS,MATCH(A1001,CATALOG_TASK,0)),"")="",IF(MAX(IF(IFERROR(FIND(CATALOG_BASE,A1001),0)=1,CATALOG_POINTS,0))=0,DAILY_POST_POINTS,MAX(IF(IFERROR(FIND(CATALOG_BASE,A1001),0)=1,CATALOG_POINTS,0))),IFERROR(INDEX(CATALOG_POINTS,MATCH(A1001,CATALOG_TASK,0)),""))</f>
        <v>1</v>
      </c>
      <c r="D1001" s="10" t="s">
        <v>710</v>
      </c>
      <c r="E1001" s="41" t="str">
        <f t="shared" si="1"/>
        <v>PROX3</v>
      </c>
    </row>
    <row r="1002" ht="15.75" customHeight="1">
      <c r="A1002" s="10" t="s">
        <v>178</v>
      </c>
      <c r="B1002" s="10" t="s">
        <v>127</v>
      </c>
      <c r="C1002" s="41">
        <f t="array" ref="C1002">IF(IFERROR(INDEX(CATALOG_POINTS,MATCH(A1002,CATALOG_TASK,0)),"")="",IF(MAX(IF(IFERROR(FIND(CATALOG_BASE,A1002),0)=1,CATALOG_POINTS,0))=0,DAILY_POST_POINTS,MAX(IF(IFERROR(FIND(CATALOG_BASE,A1002),0)=1,CATALOG_POINTS,0))),IFERROR(INDEX(CATALOG_POINTS,MATCH(A1002,CATALOG_TASK,0)),""))</f>
        <v>1</v>
      </c>
      <c r="D1002" s="10" t="s">
        <v>710</v>
      </c>
      <c r="E1002" s="41" t="str">
        <f t="shared" si="1"/>
        <v>PROX3</v>
      </c>
    </row>
    <row r="1003" ht="15.75" customHeight="1">
      <c r="A1003" s="10" t="s">
        <v>37</v>
      </c>
      <c r="B1003" s="10" t="s">
        <v>117</v>
      </c>
      <c r="C1003" s="41">
        <f t="array" ref="C1003">IF(IFERROR(INDEX(CATALOG_POINTS,MATCH(A1003,CATALOG_TASK,0)),"")="",IF(MAX(IF(IFERROR(FIND(CATALOG_BASE,A1003),0)=1,CATALOG_POINTS,0))=0,DAILY_POST_POINTS,MAX(IF(IFERROR(FIND(CATALOG_BASE,A1003),0)=1,CATALOG_POINTS,0))),IFERROR(INDEX(CATALOG_POINTS,MATCH(A1003,CATALOG_TASK,0)),""))</f>
        <v>2</v>
      </c>
      <c r="D1003" s="10" t="s">
        <v>710</v>
      </c>
      <c r="E1003" s="41" t="str">
        <f t="shared" si="1"/>
        <v>PROX3</v>
      </c>
    </row>
    <row r="1004" ht="15.75" customHeight="1">
      <c r="A1004" s="10" t="s">
        <v>711</v>
      </c>
      <c r="B1004" s="10" t="s">
        <v>133</v>
      </c>
      <c r="C1004" s="41">
        <f t="array" ref="C1004">IF(IFERROR(INDEX(CATALOG_POINTS,MATCH(A1004,CATALOG_TASK,0)),"")="",IF(MAX(IF(IFERROR(FIND(CATALOG_BASE,A1004),0)=1,CATALOG_POINTS,0))=0,DAILY_POST_POINTS,MAX(IF(IFERROR(FIND(CATALOG_BASE,A1004),0)=1,CATALOG_POINTS,0))),IFERROR(INDEX(CATALOG_POINTS,MATCH(A1004,CATALOG_TASK,0)),""))</f>
        <v>1</v>
      </c>
      <c r="D1004" s="10" t="s">
        <v>711</v>
      </c>
      <c r="E1004" s="41" t="str">
        <f t="shared" si="1"/>
        <v>PROX3</v>
      </c>
    </row>
    <row r="1005" ht="15.75" customHeight="1">
      <c r="A1005" s="10" t="s">
        <v>712</v>
      </c>
      <c r="B1005" s="10" t="s">
        <v>124</v>
      </c>
      <c r="C1005" s="41">
        <f t="array" ref="C1005">IF(IFERROR(INDEX(CATALOG_POINTS,MATCH(A1005,CATALOG_TASK,0)),"")="",IF(MAX(IF(IFERROR(FIND(CATALOG_BASE,A1005),0)=1,CATALOG_POINTS,0))=0,DAILY_POST_POINTS,MAX(IF(IFERROR(FIND(CATALOG_BASE,A1005),0)=1,CATALOG_POINTS,0))),IFERROR(INDEX(CATALOG_POINTS,MATCH(A1005,CATALOG_TASK,0)),""))</f>
        <v>1</v>
      </c>
      <c r="D1005" s="10" t="s">
        <v>712</v>
      </c>
      <c r="E1005" s="41" t="str">
        <f t="shared" si="1"/>
        <v>PROX3</v>
      </c>
    </row>
    <row r="1006" ht="15.75" customHeight="1">
      <c r="A1006" s="10" t="s">
        <v>713</v>
      </c>
      <c r="B1006" s="10" t="s">
        <v>134</v>
      </c>
      <c r="C1006" s="41">
        <f t="array" ref="C1006">IF(IFERROR(INDEX(CATALOG_POINTS,MATCH(A1006,CATALOG_TASK,0)),"")="",IF(MAX(IF(IFERROR(FIND(CATALOG_BASE,A1006),0)=1,CATALOG_POINTS,0))=0,DAILY_POST_POINTS,MAX(IF(IFERROR(FIND(CATALOG_BASE,A1006),0)=1,CATALOG_POINTS,0))),IFERROR(INDEX(CATALOG_POINTS,MATCH(A1006,CATALOG_TASK,0)),""))</f>
        <v>1</v>
      </c>
      <c r="D1006" s="10" t="s">
        <v>713</v>
      </c>
      <c r="E1006" s="41" t="str">
        <f t="shared" si="1"/>
        <v>PROX4</v>
      </c>
    </row>
    <row r="1007" ht="15.75" customHeight="1">
      <c r="A1007" s="10" t="s">
        <v>714</v>
      </c>
      <c r="B1007" s="10" t="s">
        <v>137</v>
      </c>
      <c r="C1007" s="41">
        <f t="array" ref="C1007">IF(IFERROR(INDEX(CATALOG_POINTS,MATCH(A1007,CATALOG_TASK,0)),"")="",IF(MAX(IF(IFERROR(FIND(CATALOG_BASE,A1007),0)=1,CATALOG_POINTS,0))=0,DAILY_POST_POINTS,MAX(IF(IFERROR(FIND(CATALOG_BASE,A1007),0)=1,CATALOG_POINTS,0))),IFERROR(INDEX(CATALOG_POINTS,MATCH(A1007,CATALOG_TASK,0)),""))</f>
        <v>1</v>
      </c>
      <c r="D1007" s="10" t="s">
        <v>714</v>
      </c>
      <c r="E1007" s="41" t="str">
        <f t="shared" si="1"/>
        <v>PROX3</v>
      </c>
    </row>
    <row r="1008" ht="15.75" customHeight="1">
      <c r="A1008" s="10" t="s">
        <v>715</v>
      </c>
      <c r="B1008" s="10" t="s">
        <v>135</v>
      </c>
      <c r="C1008" s="41">
        <f t="array" ref="C1008">IF(IFERROR(INDEX(CATALOG_POINTS,MATCH(A1008,CATALOG_TASK,0)),"")="",IF(MAX(IF(IFERROR(FIND(CATALOG_BASE,A1008),0)=1,CATALOG_POINTS,0))=0,DAILY_POST_POINTS,MAX(IF(IFERROR(FIND(CATALOG_BASE,A1008),0)=1,CATALOG_POINTS,0))),IFERROR(INDEX(CATALOG_POINTS,MATCH(A1008,CATALOG_TASK,0)),""))</f>
        <v>1</v>
      </c>
      <c r="D1008" s="10" t="s">
        <v>715</v>
      </c>
      <c r="E1008" s="41" t="str">
        <f t="shared" si="1"/>
        <v>PROX3</v>
      </c>
    </row>
    <row r="1009" ht="15.75" customHeight="1">
      <c r="A1009" s="10" t="s">
        <v>716</v>
      </c>
      <c r="B1009" s="10" t="s">
        <v>132</v>
      </c>
      <c r="C1009" s="41">
        <f t="array" ref="C1009">IF(IFERROR(INDEX(CATALOG_POINTS,MATCH(A1009,CATALOG_TASK,0)),"")="",IF(MAX(IF(IFERROR(FIND(CATALOG_BASE,A1009),0)=1,CATALOG_POINTS,0))=0,DAILY_POST_POINTS,MAX(IF(IFERROR(FIND(CATALOG_BASE,A1009),0)=1,CATALOG_POINTS,0))),IFERROR(INDEX(CATALOG_POINTS,MATCH(A1009,CATALOG_TASK,0)),""))</f>
        <v>1</v>
      </c>
      <c r="D1009" s="10" t="s">
        <v>716</v>
      </c>
      <c r="E1009" s="41" t="str">
        <f t="shared" si="1"/>
        <v>SE1</v>
      </c>
    </row>
    <row r="1010" ht="15.75" customHeight="1">
      <c r="A1010" s="10" t="s">
        <v>717</v>
      </c>
      <c r="B1010" s="10" t="s">
        <v>137</v>
      </c>
      <c r="C1010" s="41">
        <f t="array" ref="C1010">IF(IFERROR(INDEX(CATALOG_POINTS,MATCH(A1010,CATALOG_TASK,0)),"")="",IF(MAX(IF(IFERROR(FIND(CATALOG_BASE,A1010),0)=1,CATALOG_POINTS,0))=0,DAILY_POST_POINTS,MAX(IF(IFERROR(FIND(CATALOG_BASE,A1010),0)=1,CATALOG_POINTS,0))),IFERROR(INDEX(CATALOG_POINTS,MATCH(A1010,CATALOG_TASK,0)),""))</f>
        <v>1</v>
      </c>
      <c r="D1010" s="10" t="s">
        <v>717</v>
      </c>
      <c r="E1010" s="41" t="str">
        <f t="shared" si="1"/>
        <v>PROX4</v>
      </c>
    </row>
    <row r="1011" ht="15.75" customHeight="1">
      <c r="A1011" s="10" t="s">
        <v>718</v>
      </c>
      <c r="B1011" s="10" t="s">
        <v>137</v>
      </c>
      <c r="C1011" s="41">
        <f t="array" ref="C1011">IF(IFERROR(INDEX(CATALOG_POINTS,MATCH(A1011,CATALOG_TASK,0)),"")="",IF(MAX(IF(IFERROR(FIND(CATALOG_BASE,A1011),0)=1,CATALOG_POINTS,0))=0,DAILY_POST_POINTS,MAX(IF(IFERROR(FIND(CATALOG_BASE,A1011),0)=1,CATALOG_POINTS,0))),IFERROR(INDEX(CATALOG_POINTS,MATCH(A1011,CATALOG_TASK,0)),""))</f>
        <v>1</v>
      </c>
      <c r="D1011" s="10" t="s">
        <v>718</v>
      </c>
      <c r="E1011" s="41" t="str">
        <f t="shared" si="1"/>
        <v>PROX3</v>
      </c>
    </row>
    <row r="1012" ht="15.75" customHeight="1">
      <c r="A1012" s="10" t="s">
        <v>37</v>
      </c>
      <c r="B1012" s="10" t="s">
        <v>127</v>
      </c>
      <c r="C1012" s="41">
        <f t="array" ref="C1012">IF(IFERROR(INDEX(CATALOG_POINTS,MATCH(A1012,CATALOG_TASK,0)),"")="",IF(MAX(IF(IFERROR(FIND(CATALOG_BASE,A1012),0)=1,CATALOG_POINTS,0))=0,DAILY_POST_POINTS,MAX(IF(IFERROR(FIND(CATALOG_BASE,A1012),0)=1,CATALOG_POINTS,0))),IFERROR(INDEX(CATALOG_POINTS,MATCH(A1012,CATALOG_TASK,0)),""))</f>
        <v>2</v>
      </c>
      <c r="D1012" s="10" t="s">
        <v>719</v>
      </c>
      <c r="E1012" s="41" t="str">
        <f t="shared" si="1"/>
        <v>PROX3</v>
      </c>
    </row>
    <row r="1013" ht="15.75" customHeight="1">
      <c r="A1013" s="10" t="s">
        <v>174</v>
      </c>
      <c r="B1013" s="10" t="s">
        <v>149</v>
      </c>
      <c r="C1013" s="41">
        <f t="array" ref="C1013">IF(IFERROR(INDEX(CATALOG_POINTS,MATCH(A1013,CATALOG_TASK,0)),"")="",IF(MAX(IF(IFERROR(FIND(CATALOG_BASE,A1013),0)=1,CATALOG_POINTS,0))=0,DAILY_POST_POINTS,MAX(IF(IFERROR(FIND(CATALOG_BASE,A1013),0)=1,CATALOG_POINTS,0))),IFERROR(INDEX(CATALOG_POINTS,MATCH(A1013,CATALOG_TASK,0)),""))</f>
        <v>1</v>
      </c>
      <c r="D1013" s="10" t="s">
        <v>719</v>
      </c>
      <c r="E1013" s="41" t="str">
        <f t="shared" si="1"/>
        <v>PROX3</v>
      </c>
    </row>
    <row r="1014" ht="15.75" customHeight="1">
      <c r="A1014" s="10" t="s">
        <v>178</v>
      </c>
      <c r="B1014" s="10" t="s">
        <v>119</v>
      </c>
      <c r="C1014" s="41">
        <f t="array" ref="C1014">IF(IFERROR(INDEX(CATALOG_POINTS,MATCH(A1014,CATALOG_TASK,0)),"")="",IF(MAX(IF(IFERROR(FIND(CATALOG_BASE,A1014),0)=1,CATALOG_POINTS,0))=0,DAILY_POST_POINTS,MAX(IF(IFERROR(FIND(CATALOG_BASE,A1014),0)=1,CATALOG_POINTS,0))),IFERROR(INDEX(CATALOG_POINTS,MATCH(A1014,CATALOG_TASK,0)),""))</f>
        <v>1</v>
      </c>
      <c r="D1014" s="10" t="s">
        <v>719</v>
      </c>
      <c r="E1014" s="41" t="str">
        <f t="shared" si="1"/>
        <v>PROX3</v>
      </c>
    </row>
    <row r="1015" ht="15.75" customHeight="1">
      <c r="A1015" s="10" t="s">
        <v>180</v>
      </c>
      <c r="B1015" s="10" t="s">
        <v>126</v>
      </c>
      <c r="C1015" s="41">
        <f t="array" ref="C1015">IF(IFERROR(INDEX(CATALOG_POINTS,MATCH(A1015,CATALOG_TASK,0)),"")="",IF(MAX(IF(IFERROR(FIND(CATALOG_BASE,A1015),0)=1,CATALOG_POINTS,0))=0,DAILY_POST_POINTS,MAX(IF(IFERROR(FIND(CATALOG_BASE,A1015),0)=1,CATALOG_POINTS,0))),IFERROR(INDEX(CATALOG_POINTS,MATCH(A1015,CATALOG_TASK,0)),""))</f>
        <v>1</v>
      </c>
      <c r="D1015" s="10" t="s">
        <v>719</v>
      </c>
      <c r="E1015" s="41" t="str">
        <f t="shared" si="1"/>
        <v>PROX3</v>
      </c>
    </row>
    <row r="1016" ht="15.75" customHeight="1">
      <c r="A1016" s="10" t="s">
        <v>720</v>
      </c>
      <c r="B1016" s="10" t="s">
        <v>126</v>
      </c>
      <c r="C1016" s="41">
        <f t="array" ref="C1016">IF(IFERROR(INDEX(CATALOG_POINTS,MATCH(A1016,CATALOG_TASK,0)),"")="",IF(MAX(IF(IFERROR(FIND(CATALOG_BASE,A1016),0)=1,CATALOG_POINTS,0))=0,DAILY_POST_POINTS,MAX(IF(IFERROR(FIND(CATALOG_BASE,A1016),0)=1,CATALOG_POINTS,0))),IFERROR(INDEX(CATALOG_POINTS,MATCH(A1016,CATALOG_TASK,0)),""))</f>
        <v>1</v>
      </c>
      <c r="D1016" s="10" t="s">
        <v>720</v>
      </c>
      <c r="E1016" s="41" t="str">
        <f t="shared" si="1"/>
        <v>PROX3</v>
      </c>
    </row>
    <row r="1017" ht="15.75" customHeight="1">
      <c r="A1017" s="10" t="s">
        <v>37</v>
      </c>
      <c r="B1017" s="10" t="s">
        <v>127</v>
      </c>
      <c r="C1017" s="41">
        <f t="array" ref="C1017">IF(IFERROR(INDEX(CATALOG_POINTS,MATCH(A1017,CATALOG_TASK,0)),"")="",IF(MAX(IF(IFERROR(FIND(CATALOG_BASE,A1017),0)=1,CATALOG_POINTS,0))=0,DAILY_POST_POINTS,MAX(IF(IFERROR(FIND(CATALOG_BASE,A1017),0)=1,CATALOG_POINTS,0))),IFERROR(INDEX(CATALOG_POINTS,MATCH(A1017,CATALOG_TASK,0)),""))</f>
        <v>2</v>
      </c>
      <c r="D1017" s="10" t="s">
        <v>720</v>
      </c>
      <c r="E1017" s="41" t="str">
        <f t="shared" si="1"/>
        <v>PROX3</v>
      </c>
    </row>
    <row r="1018" ht="15.75" customHeight="1">
      <c r="A1018" s="10" t="s">
        <v>721</v>
      </c>
      <c r="B1018" s="10" t="s">
        <v>126</v>
      </c>
      <c r="C1018" s="41">
        <f t="array" ref="C1018">IF(IFERROR(INDEX(CATALOG_POINTS,MATCH(A1018,CATALOG_TASK,0)),"")="",IF(MAX(IF(IFERROR(FIND(CATALOG_BASE,A1018),0)=1,CATALOG_POINTS,0))=0,DAILY_POST_POINTS,MAX(IF(IFERROR(FIND(CATALOG_BASE,A1018),0)=1,CATALOG_POINTS,0))),IFERROR(INDEX(CATALOG_POINTS,MATCH(A1018,CATALOG_TASK,0)),""))</f>
        <v>1</v>
      </c>
      <c r="D1018" s="10" t="s">
        <v>721</v>
      </c>
      <c r="E1018" s="41" t="str">
        <f t="shared" si="1"/>
        <v>PROX3</v>
      </c>
    </row>
    <row r="1019" ht="15.75" customHeight="1">
      <c r="A1019" s="10" t="s">
        <v>722</v>
      </c>
      <c r="B1019" s="10" t="s">
        <v>120</v>
      </c>
      <c r="C1019" s="41">
        <f t="array" ref="C1019">IF(IFERROR(INDEX(CATALOG_POINTS,MATCH(A1019,CATALOG_TASK,0)),"")="",IF(MAX(IF(IFERROR(FIND(CATALOG_BASE,A1019),0)=1,CATALOG_POINTS,0))=0,DAILY_POST_POINTS,MAX(IF(IFERROR(FIND(CATALOG_BASE,A1019),0)=1,CATALOG_POINTS,0))),IFERROR(INDEX(CATALOG_POINTS,MATCH(A1019,CATALOG_TASK,0)),""))</f>
        <v>1</v>
      </c>
      <c r="D1019" s="10" t="s">
        <v>722</v>
      </c>
      <c r="E1019" s="41" t="str">
        <f t="shared" si="1"/>
        <v>PROX4</v>
      </c>
    </row>
    <row r="1020" ht="15.75" customHeight="1">
      <c r="A1020" s="10" t="s">
        <v>177</v>
      </c>
      <c r="B1020" s="10" t="s">
        <v>141</v>
      </c>
      <c r="C1020" s="41">
        <f t="array" ref="C1020">IF(IFERROR(INDEX(CATALOG_POINTS,MATCH(A1020,CATALOG_TASK,0)),"")="",IF(MAX(IF(IFERROR(FIND(CATALOG_BASE,A1020),0)=1,CATALOG_POINTS,0))=0,DAILY_POST_POINTS,MAX(IF(IFERROR(FIND(CATALOG_BASE,A1020),0)=1,CATALOG_POINTS,0))),IFERROR(INDEX(CATALOG_POINTS,MATCH(A1020,CATALOG_TASK,0)),""))</f>
        <v>6</v>
      </c>
      <c r="D1020" s="10" t="s">
        <v>722</v>
      </c>
      <c r="E1020" s="41" t="str">
        <f t="shared" si="1"/>
        <v>PROX4</v>
      </c>
    </row>
    <row r="1021" ht="15.75" customHeight="1">
      <c r="A1021" s="10" t="s">
        <v>179</v>
      </c>
      <c r="B1021" s="10" t="s">
        <v>141</v>
      </c>
      <c r="C1021" s="41">
        <f t="array" ref="C1021">IF(IFERROR(INDEX(CATALOG_POINTS,MATCH(A1021,CATALOG_TASK,0)),"")="",IF(MAX(IF(IFERROR(FIND(CATALOG_BASE,A1021),0)=1,CATALOG_POINTS,0))=0,DAILY_POST_POINTS,MAX(IF(IFERROR(FIND(CATALOG_BASE,A1021),0)=1,CATALOG_POINTS,0))),IFERROR(INDEX(CATALOG_POINTS,MATCH(A1021,CATALOG_TASK,0)),""))</f>
        <v>1</v>
      </c>
      <c r="D1021" s="10" t="s">
        <v>722</v>
      </c>
      <c r="E1021" s="41" t="str">
        <f t="shared" si="1"/>
        <v>PROX4</v>
      </c>
    </row>
    <row r="1022" ht="15.75" customHeight="1">
      <c r="A1022" s="10" t="s">
        <v>37</v>
      </c>
      <c r="B1022" s="10" t="s">
        <v>121</v>
      </c>
      <c r="C1022" s="41">
        <f t="array" ref="C1022">IF(IFERROR(INDEX(CATALOG_POINTS,MATCH(A1022,CATALOG_TASK,0)),"")="",IF(MAX(IF(IFERROR(FIND(CATALOG_BASE,A1022),0)=1,CATALOG_POINTS,0))=0,DAILY_POST_POINTS,MAX(IF(IFERROR(FIND(CATALOG_BASE,A1022),0)=1,CATALOG_POINTS,0))),IFERROR(INDEX(CATALOG_POINTS,MATCH(A1022,CATALOG_TASK,0)),""))</f>
        <v>2</v>
      </c>
      <c r="D1022" s="10" t="s">
        <v>723</v>
      </c>
      <c r="E1022" s="41" t="str">
        <f t="shared" si="1"/>
        <v>PROX4</v>
      </c>
    </row>
    <row r="1023" ht="15.75" customHeight="1">
      <c r="A1023" s="10" t="s">
        <v>37</v>
      </c>
      <c r="B1023" s="10" t="s">
        <v>127</v>
      </c>
      <c r="C1023" s="41">
        <f t="array" ref="C1023">IF(IFERROR(INDEX(CATALOG_POINTS,MATCH(A1023,CATALOG_TASK,0)),"")="",IF(MAX(IF(IFERROR(FIND(CATALOG_BASE,A1023),0)=1,CATALOG_POINTS,0))=0,DAILY_POST_POINTS,MAX(IF(IFERROR(FIND(CATALOG_BASE,A1023),0)=1,CATALOG_POINTS,0))),IFERROR(INDEX(CATALOG_POINTS,MATCH(A1023,CATALOG_TASK,0)),""))</f>
        <v>2</v>
      </c>
      <c r="D1023" s="10" t="s">
        <v>723</v>
      </c>
      <c r="E1023" s="41" t="str">
        <f t="shared" si="1"/>
        <v>PROX4</v>
      </c>
    </row>
    <row r="1024" ht="15.75" customHeight="1">
      <c r="A1024" s="10" t="s">
        <v>37</v>
      </c>
      <c r="B1024" s="10" t="s">
        <v>117</v>
      </c>
      <c r="C1024" s="41">
        <f t="array" ref="C1024">IF(IFERROR(INDEX(CATALOG_POINTS,MATCH(A1024,CATALOG_TASK,0)),"")="",IF(MAX(IF(IFERROR(FIND(CATALOG_BASE,A1024),0)=1,CATALOG_POINTS,0))=0,DAILY_POST_POINTS,MAX(IF(IFERROR(FIND(CATALOG_BASE,A1024),0)=1,CATALOG_POINTS,0))),IFERROR(INDEX(CATALOG_POINTS,MATCH(A1024,CATALOG_TASK,0)),""))</f>
        <v>2</v>
      </c>
      <c r="D1024" s="10" t="s">
        <v>723</v>
      </c>
      <c r="E1024" s="41" t="str">
        <f t="shared" si="1"/>
        <v>PROX4</v>
      </c>
    </row>
    <row r="1025" ht="15.75" customHeight="1">
      <c r="A1025" s="10" t="s">
        <v>37</v>
      </c>
      <c r="B1025" s="10" t="s">
        <v>125</v>
      </c>
      <c r="C1025" s="41">
        <f t="array" ref="C1025">IF(IFERROR(INDEX(CATALOG_POINTS,MATCH(A1025,CATALOG_TASK,0)),"")="",IF(MAX(IF(IFERROR(FIND(CATALOG_BASE,A1025),0)=1,CATALOG_POINTS,0))=0,DAILY_POST_POINTS,MAX(IF(IFERROR(FIND(CATALOG_BASE,A1025),0)=1,CATALOG_POINTS,0))),IFERROR(INDEX(CATALOG_POINTS,MATCH(A1025,CATALOG_TASK,0)),""))</f>
        <v>2</v>
      </c>
      <c r="D1025" s="10" t="s">
        <v>723</v>
      </c>
      <c r="E1025" s="41" t="str">
        <f t="shared" si="1"/>
        <v>PROX4</v>
      </c>
    </row>
    <row r="1026" ht="15.75" customHeight="1">
      <c r="A1026" s="10" t="s">
        <v>724</v>
      </c>
      <c r="B1026" s="10" t="s">
        <v>133</v>
      </c>
      <c r="C1026" s="41">
        <f t="array" ref="C1026">IF(IFERROR(INDEX(CATALOG_POINTS,MATCH(A1026,CATALOG_TASK,0)),"")="",IF(MAX(IF(IFERROR(FIND(CATALOG_BASE,A1026),0)=1,CATALOG_POINTS,0))=0,DAILY_POST_POINTS,MAX(IF(IFERROR(FIND(CATALOG_BASE,A1026),0)=1,CATALOG_POINTS,0))),IFERROR(INDEX(CATALOG_POINTS,MATCH(A1026,CATALOG_TASK,0)),""))</f>
        <v>1</v>
      </c>
      <c r="D1026" s="10" t="s">
        <v>724</v>
      </c>
      <c r="E1026" s="41" t="str">
        <f t="shared" si="1"/>
        <v>PROX4</v>
      </c>
    </row>
    <row r="1027" ht="15.75" customHeight="1">
      <c r="A1027" s="10" t="s">
        <v>725</v>
      </c>
      <c r="B1027" s="10" t="s">
        <v>134</v>
      </c>
      <c r="C1027" s="41">
        <f t="array" ref="C1027">IF(IFERROR(INDEX(CATALOG_POINTS,MATCH(A1027,CATALOG_TASK,0)),"")="",IF(MAX(IF(IFERROR(FIND(CATALOG_BASE,A1027),0)=1,CATALOG_POINTS,0))=0,DAILY_POST_POINTS,MAX(IF(IFERROR(FIND(CATALOG_BASE,A1027),0)=1,CATALOG_POINTS,0))),IFERROR(INDEX(CATALOG_POINTS,MATCH(A1027,CATALOG_TASK,0)),""))</f>
        <v>1</v>
      </c>
      <c r="D1027" s="10" t="s">
        <v>725</v>
      </c>
      <c r="E1027" s="41" t="str">
        <f t="shared" si="1"/>
        <v>PROX3</v>
      </c>
    </row>
    <row r="1028" ht="15.75" customHeight="1">
      <c r="A1028" s="10" t="s">
        <v>170</v>
      </c>
      <c r="B1028" s="10" t="s">
        <v>122</v>
      </c>
      <c r="C1028" s="41">
        <f t="array" ref="C1028">IF(IFERROR(INDEX(CATALOG_POINTS,MATCH(A1028,CATALOG_TASK,0)),"")="",IF(MAX(IF(IFERROR(FIND(CATALOG_BASE,A1028),0)=1,CATALOG_POINTS,0))=0,DAILY_POST_POINTS,MAX(IF(IFERROR(FIND(CATALOG_BASE,A1028),0)=1,CATALOG_POINTS,0))),IFERROR(INDEX(CATALOG_POINTS,MATCH(A1028,CATALOG_TASK,0)),""))</f>
        <v>1</v>
      </c>
      <c r="D1028" s="10" t="s">
        <v>726</v>
      </c>
      <c r="E1028" s="41" t="str">
        <f t="shared" si="1"/>
        <v>E0</v>
      </c>
    </row>
    <row r="1029" ht="15.75" customHeight="1">
      <c r="A1029" s="10" t="s">
        <v>170</v>
      </c>
      <c r="B1029" s="10" t="s">
        <v>126</v>
      </c>
      <c r="C1029" s="41">
        <f t="array" ref="C1029">IF(IFERROR(INDEX(CATALOG_POINTS,MATCH(A1029,CATALOG_TASK,0)),"")="",IF(MAX(IF(IFERROR(FIND(CATALOG_BASE,A1029),0)=1,CATALOG_POINTS,0))=0,DAILY_POST_POINTS,MAX(IF(IFERROR(FIND(CATALOG_BASE,A1029),0)=1,CATALOG_POINTS,0))),IFERROR(INDEX(CATALOG_POINTS,MATCH(A1029,CATALOG_TASK,0)),""))</f>
        <v>1</v>
      </c>
      <c r="D1029" s="10" t="s">
        <v>726</v>
      </c>
      <c r="E1029" s="41" t="str">
        <f t="shared" si="1"/>
        <v>E0</v>
      </c>
    </row>
    <row r="1030" ht="15.75" customHeight="1">
      <c r="A1030" s="10" t="s">
        <v>726</v>
      </c>
      <c r="B1030" s="10" t="s">
        <v>126</v>
      </c>
      <c r="C1030" s="41">
        <f t="array" ref="C1030">IF(IFERROR(INDEX(CATALOG_POINTS,MATCH(A1030,CATALOG_TASK,0)),"")="",IF(MAX(IF(IFERROR(FIND(CATALOG_BASE,A1030),0)=1,CATALOG_POINTS,0))=0,DAILY_POST_POINTS,MAX(IF(IFERROR(FIND(CATALOG_BASE,A1030),0)=1,CATALOG_POINTS,0))),IFERROR(INDEX(CATALOG_POINTS,MATCH(A1030,CATALOG_TASK,0)),""))</f>
        <v>1</v>
      </c>
      <c r="D1030" s="10" t="s">
        <v>726</v>
      </c>
      <c r="E1030" s="41" t="str">
        <f t="shared" si="1"/>
        <v>E0</v>
      </c>
    </row>
    <row r="1031" ht="15.75" customHeight="1">
      <c r="A1031" s="10" t="s">
        <v>170</v>
      </c>
      <c r="B1031" s="10" t="s">
        <v>122</v>
      </c>
      <c r="C1031" s="41">
        <f t="array" ref="C1031">IF(IFERROR(INDEX(CATALOG_POINTS,MATCH(A1031,CATALOG_TASK,0)),"")="",IF(MAX(IF(IFERROR(FIND(CATALOG_BASE,A1031),0)=1,CATALOG_POINTS,0))=0,DAILY_POST_POINTS,MAX(IF(IFERROR(FIND(CATALOG_BASE,A1031),0)=1,CATALOG_POINTS,0))),IFERROR(INDEX(CATALOG_POINTS,MATCH(A1031,CATALOG_TASK,0)),""))</f>
        <v>1</v>
      </c>
      <c r="D1031" s="10" t="s">
        <v>726</v>
      </c>
      <c r="E1031" s="41" t="str">
        <f t="shared" si="1"/>
        <v>E0</v>
      </c>
    </row>
    <row r="1032" ht="15.75" customHeight="1">
      <c r="A1032" s="10" t="s">
        <v>170</v>
      </c>
      <c r="B1032" s="10" t="s">
        <v>120</v>
      </c>
      <c r="C1032" s="41">
        <f t="array" ref="C1032">IF(IFERROR(INDEX(CATALOG_POINTS,MATCH(A1032,CATALOG_TASK,0)),"")="",IF(MAX(IF(IFERROR(FIND(CATALOG_BASE,A1032),0)=1,CATALOG_POINTS,0))=0,DAILY_POST_POINTS,MAX(IF(IFERROR(FIND(CATALOG_BASE,A1032),0)=1,CATALOG_POINTS,0))),IFERROR(INDEX(CATALOG_POINTS,MATCH(A1032,CATALOG_TASK,0)),""))</f>
        <v>1</v>
      </c>
      <c r="D1032" s="10" t="s">
        <v>726</v>
      </c>
      <c r="E1032" s="41" t="str">
        <f t="shared" si="1"/>
        <v>E0</v>
      </c>
    </row>
    <row r="1033" ht="15.75" customHeight="1">
      <c r="A1033" s="10" t="s">
        <v>170</v>
      </c>
      <c r="B1033" s="10" t="s">
        <v>126</v>
      </c>
      <c r="C1033" s="41">
        <f t="array" ref="C1033">IF(IFERROR(INDEX(CATALOG_POINTS,MATCH(A1033,CATALOG_TASK,0)),"")="",IF(MAX(IF(IFERROR(FIND(CATALOG_BASE,A1033),0)=1,CATALOG_POINTS,0))=0,DAILY_POST_POINTS,MAX(IF(IFERROR(FIND(CATALOG_BASE,A1033),0)=1,CATALOG_POINTS,0))),IFERROR(INDEX(CATALOG_POINTS,MATCH(A1033,CATALOG_TASK,0)),""))</f>
        <v>1</v>
      </c>
      <c r="D1033" s="10" t="s">
        <v>726</v>
      </c>
      <c r="E1033" s="41" t="str">
        <f t="shared" si="1"/>
        <v>E0</v>
      </c>
    </row>
    <row r="1034" ht="15.75" customHeight="1">
      <c r="A1034" s="10" t="s">
        <v>174</v>
      </c>
      <c r="B1034" s="10" t="s">
        <v>123</v>
      </c>
      <c r="C1034" s="41">
        <f t="array" ref="C1034">IF(IFERROR(INDEX(CATALOG_POINTS,MATCH(A1034,CATALOG_TASK,0)),"")="",IF(MAX(IF(IFERROR(FIND(CATALOG_BASE,A1034),0)=1,CATALOG_POINTS,0))=0,DAILY_POST_POINTS,MAX(IF(IFERROR(FIND(CATALOG_BASE,A1034),0)=1,CATALOG_POINTS,0))),IFERROR(INDEX(CATALOG_POINTS,MATCH(A1034,CATALOG_TASK,0)),""))</f>
        <v>1</v>
      </c>
      <c r="D1034" s="10" t="s">
        <v>727</v>
      </c>
      <c r="E1034" s="41" t="str">
        <f t="shared" si="1"/>
        <v>PROX3</v>
      </c>
    </row>
    <row r="1035" ht="15.75" customHeight="1">
      <c r="A1035" s="10" t="s">
        <v>174</v>
      </c>
      <c r="B1035" s="10" t="s">
        <v>123</v>
      </c>
      <c r="C1035" s="41">
        <f t="array" ref="C1035">IF(IFERROR(INDEX(CATALOG_POINTS,MATCH(A1035,CATALOG_TASK,0)),"")="",IF(MAX(IF(IFERROR(FIND(CATALOG_BASE,A1035),0)=1,CATALOG_POINTS,0))=0,DAILY_POST_POINTS,MAX(IF(IFERROR(FIND(CATALOG_BASE,A1035),0)=1,CATALOG_POINTS,0))),IFERROR(INDEX(CATALOG_POINTS,MATCH(A1035,CATALOG_TASK,0)),""))</f>
        <v>1</v>
      </c>
      <c r="D1035" s="10" t="s">
        <v>727</v>
      </c>
      <c r="E1035" s="41" t="str">
        <f t="shared" si="1"/>
        <v>PROX3</v>
      </c>
    </row>
    <row r="1036" ht="15.75" customHeight="1">
      <c r="A1036" s="10" t="s">
        <v>728</v>
      </c>
      <c r="B1036" s="10" t="s">
        <v>128</v>
      </c>
      <c r="C1036" s="41">
        <f t="array" ref="C1036">IF(IFERROR(INDEX(CATALOG_POINTS,MATCH(A1036,CATALOG_TASK,0)),"")="",IF(MAX(IF(IFERROR(FIND(CATALOG_BASE,A1036),0)=1,CATALOG_POINTS,0))=0,DAILY_POST_POINTS,MAX(IF(IFERROR(FIND(CATALOG_BASE,A1036),0)=1,CATALOG_POINTS,0))),IFERROR(INDEX(CATALOG_POINTS,MATCH(A1036,CATALOG_TASK,0)),""))</f>
        <v>1</v>
      </c>
      <c r="D1036" s="10" t="s">
        <v>728</v>
      </c>
      <c r="E1036" s="41" t="str">
        <f t="shared" si="1"/>
        <v>PROX3</v>
      </c>
    </row>
    <row r="1037" ht="15.75" customHeight="1">
      <c r="A1037" s="10" t="s">
        <v>380</v>
      </c>
      <c r="B1037" s="10" t="s">
        <v>139</v>
      </c>
      <c r="C1037" s="41">
        <f t="array" ref="C1037">IF(IFERROR(INDEX(CATALOG_POINTS,MATCH(A1037,CATALOG_TASK,0)),"")="",IF(MAX(IF(IFERROR(FIND(CATALOG_BASE,A1037),0)=1,CATALOG_POINTS,0))=0,DAILY_POST_POINTS,MAX(IF(IFERROR(FIND(CATALOG_BASE,A1037),0)=1,CATALOG_POINTS,0))),IFERROR(INDEX(CATALOG_POINTS,MATCH(A1037,CATALOG_TASK,0)),""))</f>
        <v>1</v>
      </c>
      <c r="D1037" s="10" t="s">
        <v>728</v>
      </c>
      <c r="E1037" s="41" t="str">
        <f t="shared" si="1"/>
        <v>PROX3</v>
      </c>
    </row>
    <row r="1038" ht="15.75" customHeight="1">
      <c r="A1038" s="10" t="s">
        <v>729</v>
      </c>
      <c r="B1038" s="10" t="s">
        <v>127</v>
      </c>
      <c r="C1038" s="41">
        <f t="array" ref="C1038">IF(IFERROR(INDEX(CATALOG_POINTS,MATCH(A1038,CATALOG_TASK,0)),"")="",IF(MAX(IF(IFERROR(FIND(CATALOG_BASE,A1038),0)=1,CATALOG_POINTS,0))=0,DAILY_POST_POINTS,MAX(IF(IFERROR(FIND(CATALOG_BASE,A1038),0)=1,CATALOG_POINTS,0))),IFERROR(INDEX(CATALOG_POINTS,MATCH(A1038,CATALOG_TASK,0)),""))</f>
        <v>1</v>
      </c>
      <c r="D1038" s="10" t="s">
        <v>729</v>
      </c>
      <c r="E1038" s="41" t="str">
        <f t="shared" si="1"/>
        <v>PROX3</v>
      </c>
    </row>
    <row r="1039" ht="15.75" customHeight="1">
      <c r="A1039" s="10" t="s">
        <v>730</v>
      </c>
      <c r="B1039" s="10" t="s">
        <v>123</v>
      </c>
      <c r="C1039" s="41">
        <f t="array" ref="C1039">IF(IFERROR(INDEX(CATALOG_POINTS,MATCH(A1039,CATALOG_TASK,0)),"")="",IF(MAX(IF(IFERROR(FIND(CATALOG_BASE,A1039),0)=1,CATALOG_POINTS,0))=0,DAILY_POST_POINTS,MAX(IF(IFERROR(FIND(CATALOG_BASE,A1039),0)=1,CATALOG_POINTS,0))),IFERROR(INDEX(CATALOG_POINTS,MATCH(A1039,CATALOG_TASK,0)),""))</f>
        <v>1</v>
      </c>
      <c r="D1039" s="10" t="s">
        <v>730</v>
      </c>
      <c r="E1039" s="41" t="str">
        <f t="shared" si="1"/>
        <v>E0</v>
      </c>
    </row>
    <row r="1040" ht="15.75" customHeight="1">
      <c r="A1040" s="10" t="s">
        <v>170</v>
      </c>
      <c r="B1040" s="10" t="s">
        <v>122</v>
      </c>
      <c r="C1040" s="41">
        <f t="array" ref="C1040">IF(IFERROR(INDEX(CATALOG_POINTS,MATCH(A1040,CATALOG_TASK,0)),"")="",IF(MAX(IF(IFERROR(FIND(CATALOG_BASE,A1040),0)=1,CATALOG_POINTS,0))=0,DAILY_POST_POINTS,MAX(IF(IFERROR(FIND(CATALOG_BASE,A1040),0)=1,CATALOG_POINTS,0))),IFERROR(INDEX(CATALOG_POINTS,MATCH(A1040,CATALOG_TASK,0)),""))</f>
        <v>1</v>
      </c>
      <c r="D1040" s="10" t="s">
        <v>730</v>
      </c>
      <c r="E1040" s="41" t="str">
        <f t="shared" si="1"/>
        <v>E0</v>
      </c>
    </row>
    <row r="1041" ht="15.75" customHeight="1">
      <c r="A1041" s="10" t="s">
        <v>731</v>
      </c>
      <c r="B1041" s="10" t="s">
        <v>123</v>
      </c>
      <c r="C1041" s="41">
        <f t="array" ref="C1041">IF(IFERROR(INDEX(CATALOG_POINTS,MATCH(A1041,CATALOG_TASK,0)),"")="",IF(MAX(IF(IFERROR(FIND(CATALOG_BASE,A1041),0)=1,CATALOG_POINTS,0))=0,DAILY_POST_POINTS,MAX(IF(IFERROR(FIND(CATALOG_BASE,A1041),0)=1,CATALOG_POINTS,0))),IFERROR(INDEX(CATALOG_POINTS,MATCH(A1041,CATALOG_TASK,0)),""))</f>
        <v>1</v>
      </c>
      <c r="D1041" s="10" t="s">
        <v>731</v>
      </c>
      <c r="E1041" s="41" t="str">
        <f t="shared" si="1"/>
        <v>PROX3</v>
      </c>
    </row>
    <row r="1042" ht="15.75" customHeight="1">
      <c r="A1042" s="10" t="s">
        <v>37</v>
      </c>
      <c r="B1042" s="10" t="s">
        <v>119</v>
      </c>
      <c r="C1042" s="41">
        <f t="array" ref="C1042">IF(IFERROR(INDEX(CATALOG_POINTS,MATCH(A1042,CATALOG_TASK,0)),"")="",IF(MAX(IF(IFERROR(FIND(CATALOG_BASE,A1042),0)=1,CATALOG_POINTS,0))=0,DAILY_POST_POINTS,MAX(IF(IFERROR(FIND(CATALOG_BASE,A1042),0)=1,CATALOG_POINTS,0))),IFERROR(INDEX(CATALOG_POINTS,MATCH(A1042,CATALOG_TASK,0)),""))</f>
        <v>2</v>
      </c>
      <c r="D1042" s="10" t="s">
        <v>731</v>
      </c>
      <c r="E1042" s="41" t="str">
        <f t="shared" si="1"/>
        <v>PROX3</v>
      </c>
    </row>
    <row r="1043" ht="15.75" customHeight="1">
      <c r="A1043" s="10" t="s">
        <v>37</v>
      </c>
      <c r="B1043" s="10" t="s">
        <v>122</v>
      </c>
      <c r="C1043" s="41">
        <f t="array" ref="C1043">IF(IFERROR(INDEX(CATALOG_POINTS,MATCH(A1043,CATALOG_TASK,0)),"")="",IF(MAX(IF(IFERROR(FIND(CATALOG_BASE,A1043),0)=1,CATALOG_POINTS,0))=0,DAILY_POST_POINTS,MAX(IF(IFERROR(FIND(CATALOG_BASE,A1043),0)=1,CATALOG_POINTS,0))),IFERROR(INDEX(CATALOG_POINTS,MATCH(A1043,CATALOG_TASK,0)),""))</f>
        <v>2</v>
      </c>
      <c r="D1043" s="10" t="s">
        <v>732</v>
      </c>
      <c r="E1043" s="41" t="str">
        <f t="shared" si="1"/>
        <v>PROX3</v>
      </c>
    </row>
    <row r="1044" ht="15.75" customHeight="1">
      <c r="A1044" s="10" t="s">
        <v>732</v>
      </c>
      <c r="B1044" s="10" t="s">
        <v>117</v>
      </c>
      <c r="C1044" s="41">
        <f t="array" ref="C1044">IF(IFERROR(INDEX(CATALOG_POINTS,MATCH(A1044,CATALOG_TASK,0)),"")="",IF(MAX(IF(IFERROR(FIND(CATALOG_BASE,A1044),0)=1,CATALOG_POINTS,0))=0,DAILY_POST_POINTS,MAX(IF(IFERROR(FIND(CATALOG_BASE,A1044),0)=1,CATALOG_POINTS,0))),IFERROR(INDEX(CATALOG_POINTS,MATCH(A1044,CATALOG_TASK,0)),""))</f>
        <v>1</v>
      </c>
      <c r="D1044" s="10" t="s">
        <v>732</v>
      </c>
      <c r="E1044" s="41" t="str">
        <f t="shared" si="1"/>
        <v>PROX3</v>
      </c>
    </row>
    <row r="1045" ht="15.75" customHeight="1">
      <c r="A1045" s="10" t="s">
        <v>37</v>
      </c>
      <c r="B1045" s="10" t="s">
        <v>117</v>
      </c>
      <c r="C1045" s="41">
        <f t="array" ref="C1045">IF(IFERROR(INDEX(CATALOG_POINTS,MATCH(A1045,CATALOG_TASK,0)),"")="",IF(MAX(IF(IFERROR(FIND(CATALOG_BASE,A1045),0)=1,CATALOG_POINTS,0))=0,DAILY_POST_POINTS,MAX(IF(IFERROR(FIND(CATALOG_BASE,A1045),0)=1,CATALOG_POINTS,0))),IFERROR(INDEX(CATALOG_POINTS,MATCH(A1045,CATALOG_TASK,0)),""))</f>
        <v>2</v>
      </c>
      <c r="D1045" s="10" t="s">
        <v>733</v>
      </c>
      <c r="E1045" s="41" t="str">
        <f t="shared" si="1"/>
        <v>PROX3</v>
      </c>
    </row>
    <row r="1046" ht="15.75" customHeight="1">
      <c r="A1046" s="10" t="s">
        <v>168</v>
      </c>
      <c r="B1046" s="10" t="s">
        <v>121</v>
      </c>
      <c r="C1046" s="41">
        <f t="array" ref="C1046">IF(IFERROR(INDEX(CATALOG_POINTS,MATCH(A1046,CATALOG_TASK,0)),"")="",IF(MAX(IF(IFERROR(FIND(CATALOG_BASE,A1046),0)=1,CATALOG_POINTS,0))=0,DAILY_POST_POINTS,MAX(IF(IFERROR(FIND(CATALOG_BASE,A1046),0)=1,CATALOG_POINTS,0))),IFERROR(INDEX(CATALOG_POINTS,MATCH(A1046,CATALOG_TASK,0)),""))</f>
        <v>1</v>
      </c>
      <c r="D1046" s="10" t="s">
        <v>733</v>
      </c>
      <c r="E1046" s="41" t="str">
        <f t="shared" si="1"/>
        <v>PROX3</v>
      </c>
    </row>
    <row r="1047" ht="15.75" customHeight="1">
      <c r="A1047" s="10" t="s">
        <v>168</v>
      </c>
      <c r="B1047" s="10" t="s">
        <v>121</v>
      </c>
      <c r="C1047" s="41">
        <f t="array" ref="C1047">IF(IFERROR(INDEX(CATALOG_POINTS,MATCH(A1047,CATALOG_TASK,0)),"")="",IF(MAX(IF(IFERROR(FIND(CATALOG_BASE,A1047),0)=1,CATALOG_POINTS,0))=0,DAILY_POST_POINTS,MAX(IF(IFERROR(FIND(CATALOG_BASE,A1047),0)=1,CATALOG_POINTS,0))),IFERROR(INDEX(CATALOG_POINTS,MATCH(A1047,CATALOG_TASK,0)),""))</f>
        <v>1</v>
      </c>
      <c r="D1047" s="10" t="s">
        <v>733</v>
      </c>
      <c r="E1047" s="41" t="str">
        <f t="shared" si="1"/>
        <v>PROX3</v>
      </c>
    </row>
    <row r="1048" ht="15.75" customHeight="1">
      <c r="A1048" s="10" t="s">
        <v>168</v>
      </c>
      <c r="B1048" s="10" t="s">
        <v>121</v>
      </c>
      <c r="C1048" s="41">
        <f t="array" ref="C1048">IF(IFERROR(INDEX(CATALOG_POINTS,MATCH(A1048,CATALOG_TASK,0)),"")="",IF(MAX(IF(IFERROR(FIND(CATALOG_BASE,A1048),0)=1,CATALOG_POINTS,0))=0,DAILY_POST_POINTS,MAX(IF(IFERROR(FIND(CATALOG_BASE,A1048),0)=1,CATALOG_POINTS,0))),IFERROR(INDEX(CATALOG_POINTS,MATCH(A1048,CATALOG_TASK,0)),""))</f>
        <v>1</v>
      </c>
      <c r="D1048" s="10" t="s">
        <v>733</v>
      </c>
      <c r="E1048" s="41" t="str">
        <f t="shared" si="1"/>
        <v>PROX3</v>
      </c>
    </row>
    <row r="1049" ht="15.75" customHeight="1">
      <c r="A1049" s="10" t="s">
        <v>734</v>
      </c>
      <c r="B1049" s="10" t="s">
        <v>136</v>
      </c>
      <c r="C1049" s="41">
        <f t="array" ref="C1049">IF(IFERROR(INDEX(CATALOG_POINTS,MATCH(A1049,CATALOG_TASK,0)),"")="",IF(MAX(IF(IFERROR(FIND(CATALOG_BASE,A1049),0)=1,CATALOG_POINTS,0))=0,DAILY_POST_POINTS,MAX(IF(IFERROR(FIND(CATALOG_BASE,A1049),0)=1,CATALOG_POINTS,0))),IFERROR(INDEX(CATALOG_POINTS,MATCH(A1049,CATALOG_TASK,0)),""))</f>
        <v>1</v>
      </c>
      <c r="D1049" s="10" t="s">
        <v>735</v>
      </c>
      <c r="E1049" s="41" t="str">
        <f t="shared" si="1"/>
        <v/>
      </c>
    </row>
    <row r="1050" ht="15.75" customHeight="1">
      <c r="A1050" s="10" t="s">
        <v>37</v>
      </c>
      <c r="B1050" s="10" t="s">
        <v>121</v>
      </c>
      <c r="C1050" s="41">
        <f t="array" ref="C1050">IF(IFERROR(INDEX(CATALOG_POINTS,MATCH(A1050,CATALOG_TASK,0)),"")="",IF(MAX(IF(IFERROR(FIND(CATALOG_BASE,A1050),0)=1,CATALOG_POINTS,0))=0,DAILY_POST_POINTS,MAX(IF(IFERROR(FIND(CATALOG_BASE,A1050),0)=1,CATALOG_POINTS,0))),IFERROR(INDEX(CATALOG_POINTS,MATCH(A1050,CATALOG_TASK,0)),""))</f>
        <v>2</v>
      </c>
      <c r="D1050" s="10" t="s">
        <v>736</v>
      </c>
      <c r="E1050" s="41" t="str">
        <f t="shared" si="1"/>
        <v>PROX3</v>
      </c>
    </row>
    <row r="1051" ht="15.75" customHeight="1">
      <c r="A1051" s="10" t="s">
        <v>736</v>
      </c>
      <c r="B1051" s="10" t="s">
        <v>121</v>
      </c>
      <c r="C1051" s="41">
        <f t="array" ref="C1051">IF(IFERROR(INDEX(CATALOG_POINTS,MATCH(A1051,CATALOG_TASK,0)),"")="",IF(MAX(IF(IFERROR(FIND(CATALOG_BASE,A1051),0)=1,CATALOG_POINTS,0))=0,DAILY_POST_POINTS,MAX(IF(IFERROR(FIND(CATALOG_BASE,A1051),0)=1,CATALOG_POINTS,0))),IFERROR(INDEX(CATALOG_POINTS,MATCH(A1051,CATALOG_TASK,0)),""))</f>
        <v>1</v>
      </c>
      <c r="D1051" s="10" t="s">
        <v>736</v>
      </c>
      <c r="E1051" s="41" t="str">
        <f t="shared" si="1"/>
        <v>PROX3</v>
      </c>
    </row>
    <row r="1052" ht="15.75" customHeight="1">
      <c r="A1052" s="10" t="s">
        <v>737</v>
      </c>
      <c r="B1052" s="10" t="s">
        <v>125</v>
      </c>
      <c r="C1052" s="41">
        <f t="array" ref="C1052">IF(IFERROR(INDEX(CATALOG_POINTS,MATCH(A1052,CATALOG_TASK,0)),"")="",IF(MAX(IF(IFERROR(FIND(CATALOG_BASE,A1052),0)=1,CATALOG_POINTS,0))=0,DAILY_POST_POINTS,MAX(IF(IFERROR(FIND(CATALOG_BASE,A1052),0)=1,CATALOG_POINTS,0))),IFERROR(INDEX(CATALOG_POINTS,MATCH(A1052,CATALOG_TASK,0)),""))</f>
        <v>1</v>
      </c>
      <c r="D1052" s="10" t="s">
        <v>737</v>
      </c>
      <c r="E1052" s="41" t="str">
        <f t="shared" si="1"/>
        <v>PROX4</v>
      </c>
    </row>
    <row r="1053" ht="15.75" customHeight="1">
      <c r="A1053" s="10" t="s">
        <v>37</v>
      </c>
      <c r="B1053" s="10" t="s">
        <v>120</v>
      </c>
      <c r="C1053" s="41">
        <f t="array" ref="C1053">IF(IFERROR(INDEX(CATALOG_POINTS,MATCH(A1053,CATALOG_TASK,0)),"")="",IF(MAX(IF(IFERROR(FIND(CATALOG_BASE,A1053),0)=1,CATALOG_POINTS,0))=0,DAILY_POST_POINTS,MAX(IF(IFERROR(FIND(CATALOG_BASE,A1053),0)=1,CATALOG_POINTS,0))),IFERROR(INDEX(CATALOG_POINTS,MATCH(A1053,CATALOG_TASK,0)),""))</f>
        <v>2</v>
      </c>
      <c r="D1053" s="10" t="s">
        <v>738</v>
      </c>
      <c r="E1053" s="41" t="str">
        <f t="shared" si="1"/>
        <v>PROX3</v>
      </c>
    </row>
    <row r="1054" ht="15.75" customHeight="1">
      <c r="A1054" s="10" t="s">
        <v>738</v>
      </c>
      <c r="B1054" s="10" t="s">
        <v>121</v>
      </c>
      <c r="C1054" s="41">
        <f t="array" ref="C1054">IF(IFERROR(INDEX(CATALOG_POINTS,MATCH(A1054,CATALOG_TASK,0)),"")="",IF(MAX(IF(IFERROR(FIND(CATALOG_BASE,A1054),0)=1,CATALOG_POINTS,0))=0,DAILY_POST_POINTS,MAX(IF(IFERROR(FIND(CATALOG_BASE,A1054),0)=1,CATALOG_POINTS,0))),IFERROR(INDEX(CATALOG_POINTS,MATCH(A1054,CATALOG_TASK,0)),""))</f>
        <v>1</v>
      </c>
      <c r="D1054" s="10" t="s">
        <v>738</v>
      </c>
      <c r="E1054" s="41" t="str">
        <f t="shared" si="1"/>
        <v>PROX3</v>
      </c>
    </row>
    <row r="1055" ht="15.75" customHeight="1">
      <c r="A1055" s="10" t="s">
        <v>37</v>
      </c>
      <c r="B1055" s="10" t="s">
        <v>119</v>
      </c>
      <c r="C1055" s="41">
        <f t="array" ref="C1055">IF(IFERROR(INDEX(CATALOG_POINTS,MATCH(A1055,CATALOG_TASK,0)),"")="",IF(MAX(IF(IFERROR(FIND(CATALOG_BASE,A1055),0)=1,CATALOG_POINTS,0))=0,DAILY_POST_POINTS,MAX(IF(IFERROR(FIND(CATALOG_BASE,A1055),0)=1,CATALOG_POINTS,0))),IFERROR(INDEX(CATALOG_POINTS,MATCH(A1055,CATALOG_TASK,0)),""))</f>
        <v>2</v>
      </c>
      <c r="D1055" s="10" t="s">
        <v>738</v>
      </c>
      <c r="E1055" s="41" t="str">
        <f t="shared" si="1"/>
        <v>PROX3</v>
      </c>
    </row>
    <row r="1056" ht="15.75" customHeight="1">
      <c r="A1056" s="10" t="s">
        <v>24</v>
      </c>
      <c r="B1056" s="10" t="s">
        <v>121</v>
      </c>
      <c r="C1056" s="41">
        <f t="array" ref="C1056">IF(IFERROR(INDEX(CATALOG_POINTS,MATCH(A1056,CATALOG_TASK,0)),"")="",IF(MAX(IF(IFERROR(FIND(CATALOG_BASE,A1056),0)=1,CATALOG_POINTS,0))=0,DAILY_POST_POINTS,MAX(IF(IFERROR(FIND(CATALOG_BASE,A1056),0)=1,CATALOG_POINTS,0))),IFERROR(INDEX(CATALOG_POINTS,MATCH(A1056,CATALOG_TASK,0)),""))</f>
        <v>2</v>
      </c>
      <c r="D1056" s="10" t="s">
        <v>739</v>
      </c>
      <c r="E1056" s="41" t="str">
        <f t="shared" si="1"/>
        <v>PROX3</v>
      </c>
    </row>
    <row r="1057" ht="15.75" customHeight="1">
      <c r="A1057" s="10" t="s">
        <v>740</v>
      </c>
      <c r="B1057" s="10" t="s">
        <v>134</v>
      </c>
      <c r="C1057" s="41">
        <f t="array" ref="C1057">IF(IFERROR(INDEX(CATALOG_POINTS,MATCH(A1057,CATALOG_TASK,0)),"")="",IF(MAX(IF(IFERROR(FIND(CATALOG_BASE,A1057),0)=1,CATALOG_POINTS,0))=0,DAILY_POST_POINTS,MAX(IF(IFERROR(FIND(CATALOG_BASE,A1057),0)=1,CATALOG_POINTS,0))),IFERROR(INDEX(CATALOG_POINTS,MATCH(A1057,CATALOG_TASK,0)),""))</f>
        <v>1</v>
      </c>
      <c r="D1057" s="10" t="s">
        <v>740</v>
      </c>
      <c r="E1057" s="41" t="str">
        <f t="shared" si="1"/>
        <v>PROX3</v>
      </c>
    </row>
    <row r="1058" ht="15.75" customHeight="1">
      <c r="A1058" s="10" t="s">
        <v>741</v>
      </c>
      <c r="B1058" s="10" t="s">
        <v>125</v>
      </c>
      <c r="C1058" s="41">
        <f t="array" ref="C1058">IF(IFERROR(INDEX(CATALOG_POINTS,MATCH(A1058,CATALOG_TASK,0)),"")="",IF(MAX(IF(IFERROR(FIND(CATALOG_BASE,A1058),0)=1,CATALOG_POINTS,0))=0,DAILY_POST_POINTS,MAX(IF(IFERROR(FIND(CATALOG_BASE,A1058),0)=1,CATALOG_POINTS,0))),IFERROR(INDEX(CATALOG_POINTS,MATCH(A1058,CATALOG_TASK,0)),""))</f>
        <v>1</v>
      </c>
      <c r="D1058" s="10" t="s">
        <v>741</v>
      </c>
      <c r="E1058" s="41" t="str">
        <f t="shared" si="1"/>
        <v>PROX3</v>
      </c>
    </row>
    <row r="1059" ht="15.75" customHeight="1">
      <c r="A1059" s="10" t="s">
        <v>742</v>
      </c>
      <c r="B1059" s="10" t="s">
        <v>121</v>
      </c>
      <c r="C1059" s="41">
        <f t="array" ref="C1059">IF(IFERROR(INDEX(CATALOG_POINTS,MATCH(A1059,CATALOG_TASK,0)),"")="",IF(MAX(IF(IFERROR(FIND(CATALOG_BASE,A1059),0)=1,CATALOG_POINTS,0))=0,DAILY_POST_POINTS,MAX(IF(IFERROR(FIND(CATALOG_BASE,A1059),0)=1,CATALOG_POINTS,0))),IFERROR(INDEX(CATALOG_POINTS,MATCH(A1059,CATALOG_TASK,0)),""))</f>
        <v>1</v>
      </c>
      <c r="D1059" s="10" t="s">
        <v>742</v>
      </c>
      <c r="E1059" s="41" t="str">
        <f t="shared" si="1"/>
        <v>PROX3</v>
      </c>
    </row>
    <row r="1060" ht="15.75" customHeight="1">
      <c r="A1060" s="10" t="s">
        <v>743</v>
      </c>
      <c r="B1060" s="10" t="s">
        <v>132</v>
      </c>
      <c r="C1060" s="41">
        <f t="array" ref="C1060">IF(IFERROR(INDEX(CATALOG_POINTS,MATCH(A1060,CATALOG_TASK,0)),"")="",IF(MAX(IF(IFERROR(FIND(CATALOG_BASE,A1060),0)=1,CATALOG_POINTS,0))=0,DAILY_POST_POINTS,MAX(IF(IFERROR(FIND(CATALOG_BASE,A1060),0)=1,CATALOG_POINTS,0))),IFERROR(INDEX(CATALOG_POINTS,MATCH(A1060,CATALOG_TASK,0)),""))</f>
        <v>1</v>
      </c>
      <c r="D1060" s="10" t="s">
        <v>743</v>
      </c>
      <c r="E1060" s="41" t="str">
        <f t="shared" si="1"/>
        <v>E0</v>
      </c>
    </row>
    <row r="1061" ht="15.75" customHeight="1">
      <c r="A1061" s="10" t="s">
        <v>37</v>
      </c>
      <c r="B1061" s="10" t="s">
        <v>123</v>
      </c>
      <c r="C1061" s="41">
        <f t="array" ref="C1061">IF(IFERROR(INDEX(CATALOG_POINTS,MATCH(A1061,CATALOG_TASK,0)),"")="",IF(MAX(IF(IFERROR(FIND(CATALOG_BASE,A1061),0)=1,CATALOG_POINTS,0))=0,DAILY_POST_POINTS,MAX(IF(IFERROR(FIND(CATALOG_BASE,A1061),0)=1,CATALOG_POINTS,0))),IFERROR(INDEX(CATALOG_POINTS,MATCH(A1061,CATALOG_TASK,0)),""))</f>
        <v>2</v>
      </c>
      <c r="D1061" s="10" t="s">
        <v>744</v>
      </c>
      <c r="E1061" s="41" t="str">
        <f t="shared" si="1"/>
        <v/>
      </c>
    </row>
    <row r="1062" ht="15.75" customHeight="1">
      <c r="A1062" s="10" t="s">
        <v>744</v>
      </c>
      <c r="B1062" s="10" t="s">
        <v>129</v>
      </c>
      <c r="C1062" s="41">
        <f t="array" ref="C1062">IF(IFERROR(INDEX(CATALOG_POINTS,MATCH(A1062,CATALOG_TASK,0)),"")="",IF(MAX(IF(IFERROR(FIND(CATALOG_BASE,A1062),0)=1,CATALOG_POINTS,0))=0,DAILY_POST_POINTS,MAX(IF(IFERROR(FIND(CATALOG_BASE,A1062),0)=1,CATALOG_POINTS,0))),IFERROR(INDEX(CATALOG_POINTS,MATCH(A1062,CATALOG_TASK,0)),""))</f>
        <v>1</v>
      </c>
      <c r="D1062" s="10" t="s">
        <v>744</v>
      </c>
      <c r="E1062" s="41" t="str">
        <f t="shared" si="1"/>
        <v/>
      </c>
    </row>
    <row r="1063" ht="15.75" customHeight="1">
      <c r="A1063" s="10" t="s">
        <v>745</v>
      </c>
      <c r="B1063" s="10" t="s">
        <v>135</v>
      </c>
      <c r="C1063" s="41">
        <f t="array" ref="C1063">IF(IFERROR(INDEX(CATALOG_POINTS,MATCH(A1063,CATALOG_TASK,0)),"")="",IF(MAX(IF(IFERROR(FIND(CATALOG_BASE,A1063),0)=1,CATALOG_POINTS,0))=0,DAILY_POST_POINTS,MAX(IF(IFERROR(FIND(CATALOG_BASE,A1063),0)=1,CATALOG_POINTS,0))),IFERROR(INDEX(CATALOG_POINTS,MATCH(A1063,CATALOG_TASK,0)),""))</f>
        <v>1</v>
      </c>
      <c r="D1063" s="10" t="s">
        <v>745</v>
      </c>
      <c r="E1063" s="41" t="str">
        <f t="shared" si="1"/>
        <v>PROX3</v>
      </c>
    </row>
    <row r="1064" ht="15.75" customHeight="1">
      <c r="A1064" s="10" t="s">
        <v>746</v>
      </c>
      <c r="B1064" s="10" t="s">
        <v>122</v>
      </c>
      <c r="C1064" s="41">
        <f t="array" ref="C1064">IF(IFERROR(INDEX(CATALOG_POINTS,MATCH(A1064,CATALOG_TASK,0)),"")="",IF(MAX(IF(IFERROR(FIND(CATALOG_BASE,A1064),0)=1,CATALOG_POINTS,0))=0,DAILY_POST_POINTS,MAX(IF(IFERROR(FIND(CATALOG_BASE,A1064),0)=1,CATALOG_POINTS,0))),IFERROR(INDEX(CATALOG_POINTS,MATCH(A1064,CATALOG_TASK,0)),""))</f>
        <v>1</v>
      </c>
      <c r="D1064" s="10" t="s">
        <v>746</v>
      </c>
      <c r="E1064" s="41" t="str">
        <f t="shared" si="1"/>
        <v>PROX4</v>
      </c>
    </row>
    <row r="1065" ht="15.75" customHeight="1">
      <c r="A1065" s="10" t="s">
        <v>168</v>
      </c>
      <c r="B1065" s="10" t="s">
        <v>119</v>
      </c>
      <c r="C1065" s="41">
        <f t="array" ref="C1065">IF(IFERROR(INDEX(CATALOG_POINTS,MATCH(A1065,CATALOG_TASK,0)),"")="",IF(MAX(IF(IFERROR(FIND(CATALOG_BASE,A1065),0)=1,CATALOG_POINTS,0))=0,DAILY_POST_POINTS,MAX(IF(IFERROR(FIND(CATALOG_BASE,A1065),0)=1,CATALOG_POINTS,0))),IFERROR(INDEX(CATALOG_POINTS,MATCH(A1065,CATALOG_TASK,0)),""))</f>
        <v>1</v>
      </c>
      <c r="D1065" s="10" t="s">
        <v>747</v>
      </c>
      <c r="E1065" s="41" t="str">
        <f t="shared" si="1"/>
        <v>PROX3</v>
      </c>
    </row>
    <row r="1066" ht="15.75" customHeight="1">
      <c r="A1066" s="10" t="s">
        <v>168</v>
      </c>
      <c r="B1066" s="10" t="s">
        <v>119</v>
      </c>
      <c r="C1066" s="41">
        <f t="array" ref="C1066">IF(IFERROR(INDEX(CATALOG_POINTS,MATCH(A1066,CATALOG_TASK,0)),"")="",IF(MAX(IF(IFERROR(FIND(CATALOG_BASE,A1066),0)=1,CATALOG_POINTS,0))=0,DAILY_POST_POINTS,MAX(IF(IFERROR(FIND(CATALOG_BASE,A1066),0)=1,CATALOG_POINTS,0))),IFERROR(INDEX(CATALOG_POINTS,MATCH(A1066,CATALOG_TASK,0)),""))</f>
        <v>1</v>
      </c>
      <c r="D1066" s="10" t="s">
        <v>747</v>
      </c>
      <c r="E1066" s="41" t="str">
        <f t="shared" si="1"/>
        <v>PROX3</v>
      </c>
    </row>
    <row r="1067" ht="15.75" customHeight="1">
      <c r="A1067" s="10" t="s">
        <v>178</v>
      </c>
      <c r="B1067" s="10" t="s">
        <v>119</v>
      </c>
      <c r="C1067" s="41">
        <f t="array" ref="C1067">IF(IFERROR(INDEX(CATALOG_POINTS,MATCH(A1067,CATALOG_TASK,0)),"")="",IF(MAX(IF(IFERROR(FIND(CATALOG_BASE,A1067),0)=1,CATALOG_POINTS,0))=0,DAILY_POST_POINTS,MAX(IF(IFERROR(FIND(CATALOG_BASE,A1067),0)=1,CATALOG_POINTS,0))),IFERROR(INDEX(CATALOG_POINTS,MATCH(A1067,CATALOG_TASK,0)),""))</f>
        <v>1</v>
      </c>
      <c r="D1067" s="10" t="s">
        <v>748</v>
      </c>
      <c r="E1067" s="41" t="str">
        <f t="shared" si="1"/>
        <v>PROX3</v>
      </c>
    </row>
    <row r="1068" ht="15.75" customHeight="1">
      <c r="A1068" s="10" t="s">
        <v>749</v>
      </c>
      <c r="B1068" s="10" t="s">
        <v>117</v>
      </c>
      <c r="C1068" s="41">
        <f t="array" ref="C1068">IF(IFERROR(INDEX(CATALOG_POINTS,MATCH(A1068,CATALOG_TASK,0)),"")="",IF(MAX(IF(IFERROR(FIND(CATALOG_BASE,A1068),0)=1,CATALOG_POINTS,0))=0,DAILY_POST_POINTS,MAX(IF(IFERROR(FIND(CATALOG_BASE,A1068),0)=1,CATALOG_POINTS,0))),IFERROR(INDEX(CATALOG_POINTS,MATCH(A1068,CATALOG_TASK,0)),""))</f>
        <v>1</v>
      </c>
      <c r="D1068" s="10" t="s">
        <v>749</v>
      </c>
      <c r="E1068" s="41" t="str">
        <f t="shared" si="1"/>
        <v>PROX4</v>
      </c>
    </row>
    <row r="1069" ht="15.75" customHeight="1">
      <c r="A1069" s="10" t="s">
        <v>174</v>
      </c>
      <c r="B1069" s="10" t="s">
        <v>128</v>
      </c>
      <c r="C1069" s="41">
        <f t="array" ref="C1069">IF(IFERROR(INDEX(CATALOG_POINTS,MATCH(A1069,CATALOG_TASK,0)),"")="",IF(MAX(IF(IFERROR(FIND(CATALOG_BASE,A1069),0)=1,CATALOG_POINTS,0))=0,DAILY_POST_POINTS,MAX(IF(IFERROR(FIND(CATALOG_BASE,A1069),0)=1,CATALOG_POINTS,0))),IFERROR(INDEX(CATALOG_POINTS,MATCH(A1069,CATALOG_TASK,0)),""))</f>
        <v>1</v>
      </c>
      <c r="D1069" s="10" t="s">
        <v>750</v>
      </c>
      <c r="E1069" s="41" t="str">
        <f t="shared" si="1"/>
        <v>PROX3</v>
      </c>
    </row>
    <row r="1070" ht="15.75" customHeight="1">
      <c r="A1070" s="10" t="s">
        <v>168</v>
      </c>
      <c r="B1070" s="10" t="s">
        <v>119</v>
      </c>
      <c r="C1070" s="41">
        <f t="array" ref="C1070">IF(IFERROR(INDEX(CATALOG_POINTS,MATCH(A1070,CATALOG_TASK,0)),"")="",IF(MAX(IF(IFERROR(FIND(CATALOG_BASE,A1070),0)=1,CATALOG_POINTS,0))=0,DAILY_POST_POINTS,MAX(IF(IFERROR(FIND(CATALOG_BASE,A1070),0)=1,CATALOG_POINTS,0))),IFERROR(INDEX(CATALOG_POINTS,MATCH(A1070,CATALOG_TASK,0)),""))</f>
        <v>1</v>
      </c>
      <c r="D1070" s="10" t="s">
        <v>750</v>
      </c>
      <c r="E1070" s="41" t="str">
        <f t="shared" si="1"/>
        <v>PROX3</v>
      </c>
    </row>
    <row r="1071" ht="15.75" customHeight="1">
      <c r="A1071" s="10" t="s">
        <v>34</v>
      </c>
      <c r="B1071" s="10" t="s">
        <v>119</v>
      </c>
      <c r="C1071" s="41">
        <f t="array" ref="C1071">IF(IFERROR(INDEX(CATALOG_POINTS,MATCH(A1071,CATALOG_TASK,0)),"")="",IF(MAX(IF(IFERROR(FIND(CATALOG_BASE,A1071),0)=1,CATALOG_POINTS,0))=0,DAILY_POST_POINTS,MAX(IF(IFERROR(FIND(CATALOG_BASE,A1071),0)=1,CATALOG_POINTS,0))),IFERROR(INDEX(CATALOG_POINTS,MATCH(A1071,CATALOG_TASK,0)),""))</f>
        <v>2</v>
      </c>
      <c r="D1071" s="10" t="s">
        <v>750</v>
      </c>
      <c r="E1071" s="41" t="str">
        <f t="shared" si="1"/>
        <v>PROX3</v>
      </c>
    </row>
    <row r="1072" ht="15.75" customHeight="1">
      <c r="A1072" s="10" t="s">
        <v>168</v>
      </c>
      <c r="B1072" s="10" t="s">
        <v>119</v>
      </c>
      <c r="C1072" s="41">
        <f t="array" ref="C1072">IF(IFERROR(INDEX(CATALOG_POINTS,MATCH(A1072,CATALOG_TASK,0)),"")="",IF(MAX(IF(IFERROR(FIND(CATALOG_BASE,A1072),0)=1,CATALOG_POINTS,0))=0,DAILY_POST_POINTS,MAX(IF(IFERROR(FIND(CATALOG_BASE,A1072),0)=1,CATALOG_POINTS,0))),IFERROR(INDEX(CATALOG_POINTS,MATCH(A1072,CATALOG_TASK,0)),""))</f>
        <v>1</v>
      </c>
      <c r="D1072" s="10" t="s">
        <v>750</v>
      </c>
      <c r="E1072" s="41" t="str">
        <f t="shared" si="1"/>
        <v>PROX3</v>
      </c>
    </row>
    <row r="1073" ht="15.75" customHeight="1">
      <c r="A1073" s="10" t="s">
        <v>180</v>
      </c>
      <c r="B1073" s="10" t="s">
        <v>138</v>
      </c>
      <c r="C1073" s="41">
        <f t="array" ref="C1073">IF(IFERROR(INDEX(CATALOG_POINTS,MATCH(A1073,CATALOG_TASK,0)),"")="",IF(MAX(IF(IFERROR(FIND(CATALOG_BASE,A1073),0)=1,CATALOG_POINTS,0))=0,DAILY_POST_POINTS,MAX(IF(IFERROR(FIND(CATALOG_BASE,A1073),0)=1,CATALOG_POINTS,0))),IFERROR(INDEX(CATALOG_POINTS,MATCH(A1073,CATALOG_TASK,0)),""))</f>
        <v>1</v>
      </c>
      <c r="D1073" s="10" t="s">
        <v>751</v>
      </c>
      <c r="E1073" s="41" t="str">
        <f t="shared" si="1"/>
        <v>PROX3</v>
      </c>
    </row>
    <row r="1074" ht="15.75" customHeight="1">
      <c r="A1074" s="10" t="s">
        <v>34</v>
      </c>
      <c r="B1074" s="10" t="s">
        <v>119</v>
      </c>
      <c r="C1074" s="41">
        <f t="array" ref="C1074">IF(IFERROR(INDEX(CATALOG_POINTS,MATCH(A1074,CATALOG_TASK,0)),"")="",IF(MAX(IF(IFERROR(FIND(CATALOG_BASE,A1074),0)=1,CATALOG_POINTS,0))=0,DAILY_POST_POINTS,MAX(IF(IFERROR(FIND(CATALOG_BASE,A1074),0)=1,CATALOG_POINTS,0))),IFERROR(INDEX(CATALOG_POINTS,MATCH(A1074,CATALOG_TASK,0)),""))</f>
        <v>2</v>
      </c>
      <c r="D1074" s="10" t="s">
        <v>752</v>
      </c>
      <c r="E1074" s="41" t="str">
        <f t="shared" si="1"/>
        <v/>
      </c>
    </row>
    <row r="1075" ht="15.75" customHeight="1">
      <c r="A1075" s="10" t="s">
        <v>24</v>
      </c>
      <c r="B1075" s="10" t="s">
        <v>117</v>
      </c>
      <c r="C1075" s="41">
        <f t="array" ref="C1075">IF(IFERROR(INDEX(CATALOG_POINTS,MATCH(A1075,CATALOG_TASK,0)),"")="",IF(MAX(IF(IFERROR(FIND(CATALOG_BASE,A1075),0)=1,CATALOG_POINTS,0))=0,DAILY_POST_POINTS,MAX(IF(IFERROR(FIND(CATALOG_BASE,A1075),0)=1,CATALOG_POINTS,0))),IFERROR(INDEX(CATALOG_POINTS,MATCH(A1075,CATALOG_TASK,0)),""))</f>
        <v>2</v>
      </c>
      <c r="D1075" s="10" t="s">
        <v>752</v>
      </c>
      <c r="E1075" s="41" t="str">
        <f t="shared" si="1"/>
        <v/>
      </c>
    </row>
    <row r="1076" ht="15.75" customHeight="1">
      <c r="A1076" s="10" t="s">
        <v>168</v>
      </c>
      <c r="B1076" s="10" t="s">
        <v>119</v>
      </c>
      <c r="C1076" s="41">
        <f t="array" ref="C1076">IF(IFERROR(INDEX(CATALOG_POINTS,MATCH(A1076,CATALOG_TASK,0)),"")="",IF(MAX(IF(IFERROR(FIND(CATALOG_BASE,A1076),0)=1,CATALOG_POINTS,0))=0,DAILY_POST_POINTS,MAX(IF(IFERROR(FIND(CATALOG_BASE,A1076),0)=1,CATALOG_POINTS,0))),IFERROR(INDEX(CATALOG_POINTS,MATCH(A1076,CATALOG_TASK,0)),""))</f>
        <v>1</v>
      </c>
      <c r="D1076" s="10" t="s">
        <v>752</v>
      </c>
      <c r="E1076" s="41" t="str">
        <f t="shared" si="1"/>
        <v/>
      </c>
    </row>
    <row r="1077" ht="15.75" customHeight="1">
      <c r="A1077" s="10" t="s">
        <v>753</v>
      </c>
      <c r="B1077" s="10" t="s">
        <v>122</v>
      </c>
      <c r="C1077" s="41">
        <f t="array" ref="C1077">IF(IFERROR(INDEX(CATALOG_POINTS,MATCH(A1077,CATALOG_TASK,0)),"")="",IF(MAX(IF(IFERROR(FIND(CATALOG_BASE,A1077),0)=1,CATALOG_POINTS,0))=0,DAILY_POST_POINTS,MAX(IF(IFERROR(FIND(CATALOG_BASE,A1077),0)=1,CATALOG_POINTS,0))),IFERROR(INDEX(CATALOG_POINTS,MATCH(A1077,CATALOG_TASK,0)),""))</f>
        <v>1</v>
      </c>
      <c r="D1077" s="10" t="s">
        <v>753</v>
      </c>
      <c r="E1077" s="41" t="str">
        <f t="shared" si="1"/>
        <v>PROX3</v>
      </c>
    </row>
    <row r="1078" ht="15.75" customHeight="1">
      <c r="A1078" s="10" t="s">
        <v>37</v>
      </c>
      <c r="B1078" s="10" t="s">
        <v>122</v>
      </c>
      <c r="C1078" s="41">
        <f t="array" ref="C1078">IF(IFERROR(INDEX(CATALOG_POINTS,MATCH(A1078,CATALOG_TASK,0)),"")="",IF(MAX(IF(IFERROR(FIND(CATALOG_BASE,A1078),0)=1,CATALOG_POINTS,0))=0,DAILY_POST_POINTS,MAX(IF(IFERROR(FIND(CATALOG_BASE,A1078),0)=1,CATALOG_POINTS,0))),IFERROR(INDEX(CATALOG_POINTS,MATCH(A1078,CATALOG_TASK,0)),""))</f>
        <v>2</v>
      </c>
      <c r="D1078" s="10" t="s">
        <v>754</v>
      </c>
      <c r="E1078" s="41" t="str">
        <f t="shared" si="1"/>
        <v>PROX3</v>
      </c>
    </row>
    <row r="1079" ht="15.75" customHeight="1">
      <c r="A1079" s="10" t="s">
        <v>37</v>
      </c>
      <c r="B1079" s="10" t="s">
        <v>120</v>
      </c>
      <c r="C1079" s="41">
        <f t="array" ref="C1079">IF(IFERROR(INDEX(CATALOG_POINTS,MATCH(A1079,CATALOG_TASK,0)),"")="",IF(MAX(IF(IFERROR(FIND(CATALOG_BASE,A1079),0)=1,CATALOG_POINTS,0))=0,DAILY_POST_POINTS,MAX(IF(IFERROR(FIND(CATALOG_BASE,A1079),0)=1,CATALOG_POINTS,0))),IFERROR(INDEX(CATALOG_POINTS,MATCH(A1079,CATALOG_TASK,0)),""))</f>
        <v>2</v>
      </c>
      <c r="D1079" s="10" t="s">
        <v>754</v>
      </c>
      <c r="E1079" s="41" t="str">
        <f t="shared" si="1"/>
        <v>PROX3</v>
      </c>
    </row>
    <row r="1080" ht="15.75" customHeight="1">
      <c r="A1080" s="10" t="s">
        <v>754</v>
      </c>
      <c r="B1080" s="10" t="s">
        <v>135</v>
      </c>
      <c r="C1080" s="41">
        <f t="array" ref="C1080">IF(IFERROR(INDEX(CATALOG_POINTS,MATCH(A1080,CATALOG_TASK,0)),"")="",IF(MAX(IF(IFERROR(FIND(CATALOG_BASE,A1080),0)=1,CATALOG_POINTS,0))=0,DAILY_POST_POINTS,MAX(IF(IFERROR(FIND(CATALOG_BASE,A1080),0)=1,CATALOG_POINTS,0))),IFERROR(INDEX(CATALOG_POINTS,MATCH(A1080,CATALOG_TASK,0)),""))</f>
        <v>1</v>
      </c>
      <c r="D1080" s="10" t="s">
        <v>754</v>
      </c>
      <c r="E1080" s="41" t="str">
        <f t="shared" si="1"/>
        <v>PROX3</v>
      </c>
    </row>
    <row r="1081" ht="15.75" customHeight="1">
      <c r="A1081" s="10" t="s">
        <v>174</v>
      </c>
      <c r="B1081" s="10" t="s">
        <v>123</v>
      </c>
      <c r="C1081" s="41">
        <f t="array" ref="C1081">IF(IFERROR(INDEX(CATALOG_POINTS,MATCH(A1081,CATALOG_TASK,0)),"")="",IF(MAX(IF(IFERROR(FIND(CATALOG_BASE,A1081),0)=1,CATALOG_POINTS,0))=0,DAILY_POST_POINTS,MAX(IF(IFERROR(FIND(CATALOG_BASE,A1081),0)=1,CATALOG_POINTS,0))),IFERROR(INDEX(CATALOG_POINTS,MATCH(A1081,CATALOG_TASK,0)),""))</f>
        <v>1</v>
      </c>
      <c r="D1081" s="10" t="s">
        <v>755</v>
      </c>
      <c r="E1081" s="41" t="str">
        <f t="shared" si="1"/>
        <v>PROX3</v>
      </c>
    </row>
    <row r="1082" ht="15.75" customHeight="1">
      <c r="A1082" s="10" t="s">
        <v>755</v>
      </c>
      <c r="B1082" s="10" t="s">
        <v>125</v>
      </c>
      <c r="C1082" s="41">
        <f t="array" ref="C1082">IF(IFERROR(INDEX(CATALOG_POINTS,MATCH(A1082,CATALOG_TASK,0)),"")="",IF(MAX(IF(IFERROR(FIND(CATALOG_BASE,A1082),0)=1,CATALOG_POINTS,0))=0,DAILY_POST_POINTS,MAX(IF(IFERROR(FIND(CATALOG_BASE,A1082),0)=1,CATALOG_POINTS,0))),IFERROR(INDEX(CATALOG_POINTS,MATCH(A1082,CATALOG_TASK,0)),""))</f>
        <v>1</v>
      </c>
      <c r="D1082" s="10" t="s">
        <v>755</v>
      </c>
      <c r="E1082" s="41" t="str">
        <f t="shared" si="1"/>
        <v>PROX3</v>
      </c>
    </row>
    <row r="1083" ht="15.75" customHeight="1">
      <c r="A1083" s="10" t="s">
        <v>170</v>
      </c>
      <c r="B1083" s="10" t="s">
        <v>121</v>
      </c>
      <c r="C1083" s="41">
        <f t="array" ref="C1083">IF(IFERROR(INDEX(CATALOG_POINTS,MATCH(A1083,CATALOG_TASK,0)),"")="",IF(MAX(IF(IFERROR(FIND(CATALOG_BASE,A1083),0)=1,CATALOG_POINTS,0))=0,DAILY_POST_POINTS,MAX(IF(IFERROR(FIND(CATALOG_BASE,A1083),0)=1,CATALOG_POINTS,0))),IFERROR(INDEX(CATALOG_POINTS,MATCH(A1083,CATALOG_TASK,0)),""))</f>
        <v>1</v>
      </c>
      <c r="D1083" s="10" t="s">
        <v>755</v>
      </c>
      <c r="E1083" s="41" t="str">
        <f t="shared" si="1"/>
        <v>PROX3</v>
      </c>
    </row>
    <row r="1084" ht="15.75" customHeight="1">
      <c r="A1084" s="10" t="s">
        <v>37</v>
      </c>
      <c r="B1084" s="10" t="s">
        <v>125</v>
      </c>
      <c r="C1084" s="41">
        <f t="array" ref="C1084">IF(IFERROR(INDEX(CATALOG_POINTS,MATCH(A1084,CATALOG_TASK,0)),"")="",IF(MAX(IF(IFERROR(FIND(CATALOG_BASE,A1084),0)=1,CATALOG_POINTS,0))=0,DAILY_POST_POINTS,MAX(IF(IFERROR(FIND(CATALOG_BASE,A1084),0)=1,CATALOG_POINTS,0))),IFERROR(INDEX(CATALOG_POINTS,MATCH(A1084,CATALOG_TASK,0)),""))</f>
        <v>2</v>
      </c>
      <c r="D1084" s="10" t="s">
        <v>756</v>
      </c>
      <c r="E1084" s="41" t="str">
        <f t="shared" si="1"/>
        <v>PROX3</v>
      </c>
    </row>
    <row r="1085" ht="15.75" customHeight="1">
      <c r="A1085" s="10" t="s">
        <v>756</v>
      </c>
      <c r="B1085" s="10" t="s">
        <v>117</v>
      </c>
      <c r="C1085" s="41">
        <f t="array" ref="C1085">IF(IFERROR(INDEX(CATALOG_POINTS,MATCH(A1085,CATALOG_TASK,0)),"")="",IF(MAX(IF(IFERROR(FIND(CATALOG_BASE,A1085),0)=1,CATALOG_POINTS,0))=0,DAILY_POST_POINTS,MAX(IF(IFERROR(FIND(CATALOG_BASE,A1085),0)=1,CATALOG_POINTS,0))),IFERROR(INDEX(CATALOG_POINTS,MATCH(A1085,CATALOG_TASK,0)),""))</f>
        <v>1</v>
      </c>
      <c r="D1085" s="10" t="s">
        <v>756</v>
      </c>
      <c r="E1085" s="41" t="str">
        <f t="shared" si="1"/>
        <v>PROX3</v>
      </c>
    </row>
    <row r="1086" ht="15.75" customHeight="1">
      <c r="A1086" s="10" t="s">
        <v>757</v>
      </c>
      <c r="B1086" s="10" t="s">
        <v>124</v>
      </c>
      <c r="C1086" s="41">
        <f t="array" ref="C1086">IF(IFERROR(INDEX(CATALOG_POINTS,MATCH(A1086,CATALOG_TASK,0)),"")="",IF(MAX(IF(IFERROR(FIND(CATALOG_BASE,A1086),0)=1,CATALOG_POINTS,0))=0,DAILY_POST_POINTS,MAX(IF(IFERROR(FIND(CATALOG_BASE,A1086),0)=1,CATALOG_POINTS,0))),IFERROR(INDEX(CATALOG_POINTS,MATCH(A1086,CATALOG_TASK,0)),""))</f>
        <v>1</v>
      </c>
      <c r="D1086" s="10" t="s">
        <v>757</v>
      </c>
      <c r="E1086" s="41" t="str">
        <f t="shared" si="1"/>
        <v>PROX4</v>
      </c>
    </row>
    <row r="1087" ht="15.75" customHeight="1">
      <c r="A1087" s="10" t="s">
        <v>758</v>
      </c>
      <c r="B1087" s="10" t="s">
        <v>124</v>
      </c>
      <c r="C1087" s="41">
        <f t="array" ref="C1087">IF(IFERROR(INDEX(CATALOG_POINTS,MATCH(A1087,CATALOG_TASK,0)),"")="",IF(MAX(IF(IFERROR(FIND(CATALOG_BASE,A1087),0)=1,CATALOG_POINTS,0))=0,DAILY_POST_POINTS,MAX(IF(IFERROR(FIND(CATALOG_BASE,A1087),0)=1,CATALOG_POINTS,0))),IFERROR(INDEX(CATALOG_POINTS,MATCH(A1087,CATALOG_TASK,0)),""))</f>
        <v>1</v>
      </c>
      <c r="D1087" s="10" t="s">
        <v>758</v>
      </c>
      <c r="E1087" s="41" t="str">
        <f t="shared" si="1"/>
        <v>PROX3</v>
      </c>
    </row>
    <row r="1088" ht="15.75" customHeight="1">
      <c r="A1088" s="10" t="s">
        <v>759</v>
      </c>
      <c r="B1088" s="10" t="s">
        <v>126</v>
      </c>
      <c r="C1088" s="41">
        <f t="array" ref="C1088">IF(IFERROR(INDEX(CATALOG_POINTS,MATCH(A1088,CATALOG_TASK,0)),"")="",IF(MAX(IF(IFERROR(FIND(CATALOG_BASE,A1088),0)=1,CATALOG_POINTS,0))=0,DAILY_POST_POINTS,MAX(IF(IFERROR(FIND(CATALOG_BASE,A1088),0)=1,CATALOG_POINTS,0))),IFERROR(INDEX(CATALOG_POINTS,MATCH(A1088,CATALOG_TASK,0)),""))</f>
        <v>1</v>
      </c>
      <c r="D1088" s="10" t="s">
        <v>759</v>
      </c>
      <c r="E1088" s="41" t="str">
        <f t="shared" si="1"/>
        <v>PROX3</v>
      </c>
    </row>
    <row r="1089" ht="15.75" customHeight="1">
      <c r="A1089" s="10" t="s">
        <v>760</v>
      </c>
      <c r="B1089" s="10" t="s">
        <v>122</v>
      </c>
      <c r="C1089" s="41">
        <f t="array" ref="C1089">IF(IFERROR(INDEX(CATALOG_POINTS,MATCH(A1089,CATALOG_TASK,0)),"")="",IF(MAX(IF(IFERROR(FIND(CATALOG_BASE,A1089),0)=1,CATALOG_POINTS,0))=0,DAILY_POST_POINTS,MAX(IF(IFERROR(FIND(CATALOG_BASE,A1089),0)=1,CATALOG_POINTS,0))),IFERROR(INDEX(CATALOG_POINTS,MATCH(A1089,CATALOG_TASK,0)),""))</f>
        <v>1</v>
      </c>
      <c r="D1089" s="10" t="s">
        <v>760</v>
      </c>
      <c r="E1089" s="41" t="str">
        <f t="shared" si="1"/>
        <v>PROX3</v>
      </c>
    </row>
    <row r="1090" ht="15.75" customHeight="1">
      <c r="A1090" s="10" t="s">
        <v>761</v>
      </c>
      <c r="B1090" s="10" t="s">
        <v>132</v>
      </c>
      <c r="C1090" s="41">
        <f t="array" ref="C1090">IF(IFERROR(INDEX(CATALOG_POINTS,MATCH(A1090,CATALOG_TASK,0)),"")="",IF(MAX(IF(IFERROR(FIND(CATALOG_BASE,A1090),0)=1,CATALOG_POINTS,0))=0,DAILY_POST_POINTS,MAX(IF(IFERROR(FIND(CATALOG_BASE,A1090),0)=1,CATALOG_POINTS,0))),IFERROR(INDEX(CATALOG_POINTS,MATCH(A1090,CATALOG_TASK,0)),""))</f>
        <v>1</v>
      </c>
      <c r="D1090" s="10" t="s">
        <v>761</v>
      </c>
      <c r="E1090" s="41" t="str">
        <f t="shared" si="1"/>
        <v>PROX4</v>
      </c>
    </row>
    <row r="1091" ht="15.75" customHeight="1">
      <c r="A1091" s="10" t="s">
        <v>170</v>
      </c>
      <c r="B1091" s="10" t="s">
        <v>127</v>
      </c>
      <c r="C1091" s="41">
        <f t="array" ref="C1091">IF(IFERROR(INDEX(CATALOG_POINTS,MATCH(A1091,CATALOG_TASK,0)),"")="",IF(MAX(IF(IFERROR(FIND(CATALOG_BASE,A1091),0)=1,CATALOG_POINTS,0))=0,DAILY_POST_POINTS,MAX(IF(IFERROR(FIND(CATALOG_BASE,A1091),0)=1,CATALOG_POINTS,0))),IFERROR(INDEX(CATALOG_POINTS,MATCH(A1091,CATALOG_TASK,0)),""))</f>
        <v>1</v>
      </c>
      <c r="D1091" s="10" t="s">
        <v>762</v>
      </c>
      <c r="E1091" s="41" t="str">
        <f t="shared" si="1"/>
        <v>PROX3</v>
      </c>
    </row>
    <row r="1092" ht="15.75" customHeight="1">
      <c r="A1092" s="10" t="s">
        <v>762</v>
      </c>
      <c r="B1092" s="10" t="s">
        <v>134</v>
      </c>
      <c r="C1092" s="41">
        <f t="array" ref="C1092">IF(IFERROR(INDEX(CATALOG_POINTS,MATCH(A1092,CATALOG_TASK,0)),"")="",IF(MAX(IF(IFERROR(FIND(CATALOG_BASE,A1092),0)=1,CATALOG_POINTS,0))=0,DAILY_POST_POINTS,MAX(IF(IFERROR(FIND(CATALOG_BASE,A1092),0)=1,CATALOG_POINTS,0))),IFERROR(INDEX(CATALOG_POINTS,MATCH(A1092,CATALOG_TASK,0)),""))</f>
        <v>1</v>
      </c>
      <c r="D1092" s="10" t="s">
        <v>762</v>
      </c>
      <c r="E1092" s="41" t="str">
        <f t="shared" si="1"/>
        <v>PROX3</v>
      </c>
    </row>
    <row r="1093" ht="15.75" customHeight="1">
      <c r="A1093" s="10" t="s">
        <v>763</v>
      </c>
      <c r="B1093" s="10" t="s">
        <v>127</v>
      </c>
      <c r="C1093" s="41">
        <f t="array" ref="C1093">IF(IFERROR(INDEX(CATALOG_POINTS,MATCH(A1093,CATALOG_TASK,0)),"")="",IF(MAX(IF(IFERROR(FIND(CATALOG_BASE,A1093),0)=1,CATALOG_POINTS,0))=0,DAILY_POST_POINTS,MAX(IF(IFERROR(FIND(CATALOG_BASE,A1093),0)=1,CATALOG_POINTS,0))),IFERROR(INDEX(CATALOG_POINTS,MATCH(A1093,CATALOG_TASK,0)),""))</f>
        <v>1</v>
      </c>
      <c r="D1093" s="10" t="s">
        <v>763</v>
      </c>
      <c r="E1093" s="41" t="str">
        <f t="shared" si="1"/>
        <v>PROX3</v>
      </c>
    </row>
    <row r="1094" ht="15.75" customHeight="1">
      <c r="A1094" s="10" t="s">
        <v>37</v>
      </c>
      <c r="B1094" s="10" t="s">
        <v>123</v>
      </c>
      <c r="C1094" s="41">
        <f t="array" ref="C1094">IF(IFERROR(INDEX(CATALOG_POINTS,MATCH(A1094,CATALOG_TASK,0)),"")="",IF(MAX(IF(IFERROR(FIND(CATALOG_BASE,A1094),0)=1,CATALOG_POINTS,0))=0,DAILY_POST_POINTS,MAX(IF(IFERROR(FIND(CATALOG_BASE,A1094),0)=1,CATALOG_POINTS,0))),IFERROR(INDEX(CATALOG_POINTS,MATCH(A1094,CATALOG_TASK,0)),""))</f>
        <v>2</v>
      </c>
      <c r="D1094" s="10" t="s">
        <v>763</v>
      </c>
      <c r="E1094" s="41" t="str">
        <f t="shared" si="1"/>
        <v>PROX3</v>
      </c>
    </row>
    <row r="1095" ht="15.75" customHeight="1">
      <c r="A1095" s="10" t="s">
        <v>764</v>
      </c>
      <c r="B1095" s="10" t="s">
        <v>117</v>
      </c>
      <c r="C1095" s="41">
        <f t="array" ref="C1095">IF(IFERROR(INDEX(CATALOG_POINTS,MATCH(A1095,CATALOG_TASK,0)),"")="",IF(MAX(IF(IFERROR(FIND(CATALOG_BASE,A1095),0)=1,CATALOG_POINTS,0))=0,DAILY_POST_POINTS,MAX(IF(IFERROR(FIND(CATALOG_BASE,A1095),0)=1,CATALOG_POINTS,0))),IFERROR(INDEX(CATALOG_POINTS,MATCH(A1095,CATALOG_TASK,0)),""))</f>
        <v>1</v>
      </c>
      <c r="D1095" s="10" t="s">
        <v>764</v>
      </c>
      <c r="E1095" s="41" t="str">
        <f t="shared" si="1"/>
        <v>PROX4</v>
      </c>
    </row>
    <row r="1096" ht="15.75" customHeight="1">
      <c r="A1096" s="10" t="s">
        <v>765</v>
      </c>
      <c r="B1096" s="10" t="s">
        <v>133</v>
      </c>
      <c r="C1096" s="41">
        <f t="array" ref="C1096">IF(IFERROR(INDEX(CATALOG_POINTS,MATCH(A1096,CATALOG_TASK,0)),"")="",IF(MAX(IF(IFERROR(FIND(CATALOG_BASE,A1096),0)=1,CATALOG_POINTS,0))=0,DAILY_POST_POINTS,MAX(IF(IFERROR(FIND(CATALOG_BASE,A1096),0)=1,CATALOG_POINTS,0))),IFERROR(INDEX(CATALOG_POINTS,MATCH(A1096,CATALOG_TASK,0)),""))</f>
        <v>1</v>
      </c>
      <c r="D1096" s="10" t="s">
        <v>765</v>
      </c>
      <c r="E1096" s="41" t="str">
        <f t="shared" si="1"/>
        <v/>
      </c>
    </row>
    <row r="1097" ht="15.75" customHeight="1">
      <c r="A1097" s="10" t="s">
        <v>766</v>
      </c>
      <c r="B1097" s="10" t="s">
        <v>123</v>
      </c>
      <c r="C1097" s="41">
        <f t="array" ref="C1097">IF(IFERROR(INDEX(CATALOG_POINTS,MATCH(A1097,CATALOG_TASK,0)),"")="",IF(MAX(IF(IFERROR(FIND(CATALOG_BASE,A1097),0)=1,CATALOG_POINTS,0))=0,DAILY_POST_POINTS,MAX(IF(IFERROR(FIND(CATALOG_BASE,A1097),0)=1,CATALOG_POINTS,0))),IFERROR(INDEX(CATALOG_POINTS,MATCH(A1097,CATALOG_TASK,0)),""))</f>
        <v>1</v>
      </c>
      <c r="D1097" s="10" t="s">
        <v>766</v>
      </c>
      <c r="E1097" s="41" t="str">
        <f t="shared" si="1"/>
        <v>PROX3</v>
      </c>
    </row>
    <row r="1098" ht="15.75" customHeight="1">
      <c r="A1098" s="10" t="s">
        <v>37</v>
      </c>
      <c r="B1098" s="10" t="s">
        <v>121</v>
      </c>
      <c r="C1098" s="41">
        <f t="array" ref="C1098">IF(IFERROR(INDEX(CATALOG_POINTS,MATCH(A1098,CATALOG_TASK,0)),"")="",IF(MAX(IF(IFERROR(FIND(CATALOG_BASE,A1098),0)=1,CATALOG_POINTS,0))=0,DAILY_POST_POINTS,MAX(IF(IFERROR(FIND(CATALOG_BASE,A1098),0)=1,CATALOG_POINTS,0))),IFERROR(INDEX(CATALOG_POINTS,MATCH(A1098,CATALOG_TASK,0)),""))</f>
        <v>2</v>
      </c>
      <c r="D1098" s="10" t="s">
        <v>767</v>
      </c>
      <c r="E1098" s="41" t="str">
        <f t="shared" si="1"/>
        <v>PROX3</v>
      </c>
    </row>
    <row r="1099" ht="15.75" customHeight="1">
      <c r="A1099" s="10" t="s">
        <v>767</v>
      </c>
      <c r="B1099" s="10" t="s">
        <v>119</v>
      </c>
      <c r="C1099" s="41">
        <f t="array" ref="C1099">IF(IFERROR(INDEX(CATALOG_POINTS,MATCH(A1099,CATALOG_TASK,0)),"")="",IF(MAX(IF(IFERROR(FIND(CATALOG_BASE,A1099),0)=1,CATALOG_POINTS,0))=0,DAILY_POST_POINTS,MAX(IF(IFERROR(FIND(CATALOG_BASE,A1099),0)=1,CATALOG_POINTS,0))),IFERROR(INDEX(CATALOG_POINTS,MATCH(A1099,CATALOG_TASK,0)),""))</f>
        <v>1</v>
      </c>
      <c r="D1099" s="10" t="s">
        <v>767</v>
      </c>
      <c r="E1099" s="41" t="str">
        <f t="shared" si="1"/>
        <v>PROX3</v>
      </c>
    </row>
    <row r="1100" ht="15.75" customHeight="1">
      <c r="A1100" s="10" t="s">
        <v>768</v>
      </c>
      <c r="B1100" s="10" t="s">
        <v>125</v>
      </c>
      <c r="C1100" s="41">
        <f t="array" ref="C1100">IF(IFERROR(INDEX(CATALOG_POINTS,MATCH(A1100,CATALOG_TASK,0)),"")="",IF(MAX(IF(IFERROR(FIND(CATALOG_BASE,A1100),0)=1,CATALOG_POINTS,0))=0,DAILY_POST_POINTS,MAX(IF(IFERROR(FIND(CATALOG_BASE,A1100),0)=1,CATALOG_POINTS,0))),IFERROR(INDEX(CATALOG_POINTS,MATCH(A1100,CATALOG_TASK,0)),""))</f>
        <v>1</v>
      </c>
      <c r="D1100" s="10" t="s">
        <v>768</v>
      </c>
      <c r="E1100" s="41" t="str">
        <f t="shared" si="1"/>
        <v>PROX3</v>
      </c>
    </row>
    <row r="1101" ht="15.75" customHeight="1">
      <c r="A1101" s="10" t="s">
        <v>769</v>
      </c>
      <c r="B1101" s="10" t="s">
        <v>132</v>
      </c>
      <c r="C1101" s="41">
        <f t="array" ref="C1101">IF(IFERROR(INDEX(CATALOG_POINTS,MATCH(A1101,CATALOG_TASK,0)),"")="",IF(MAX(IF(IFERROR(FIND(CATALOG_BASE,A1101),0)=1,CATALOG_POINTS,0))=0,DAILY_POST_POINTS,MAX(IF(IFERROR(FIND(CATALOG_BASE,A1101),0)=1,CATALOG_POINTS,0))),IFERROR(INDEX(CATALOG_POINTS,MATCH(A1101,CATALOG_TASK,0)),""))</f>
        <v>1</v>
      </c>
      <c r="D1101" s="10" t="s">
        <v>769</v>
      </c>
      <c r="E1101" s="41" t="str">
        <f t="shared" si="1"/>
        <v/>
      </c>
    </row>
    <row r="1102" ht="15.75" customHeight="1">
      <c r="A1102" s="10" t="s">
        <v>770</v>
      </c>
      <c r="B1102" s="10" t="s">
        <v>117</v>
      </c>
      <c r="C1102" s="41">
        <f t="array" ref="C1102">IF(IFERROR(INDEX(CATALOG_POINTS,MATCH(A1102,CATALOG_TASK,0)),"")="",IF(MAX(IF(IFERROR(FIND(CATALOG_BASE,A1102),0)=1,CATALOG_POINTS,0))=0,DAILY_POST_POINTS,MAX(IF(IFERROR(FIND(CATALOG_BASE,A1102),0)=1,CATALOG_POINTS,0))),IFERROR(INDEX(CATALOG_POINTS,MATCH(A1102,CATALOG_TASK,0)),""))</f>
        <v>1</v>
      </c>
      <c r="D1102" s="10" t="s">
        <v>770</v>
      </c>
      <c r="E1102" s="41" t="str">
        <f t="shared" si="1"/>
        <v>PROX3</v>
      </c>
    </row>
    <row r="1103" ht="15.75" customHeight="1">
      <c r="A1103" s="10" t="s">
        <v>771</v>
      </c>
      <c r="B1103" s="10" t="s">
        <v>134</v>
      </c>
      <c r="C1103" s="41">
        <f t="array" ref="C1103">IF(IFERROR(INDEX(CATALOG_POINTS,MATCH(A1103,CATALOG_TASK,0)),"")="",IF(MAX(IF(IFERROR(FIND(CATALOG_BASE,A1103),0)=1,CATALOG_POINTS,0))=0,DAILY_POST_POINTS,MAX(IF(IFERROR(FIND(CATALOG_BASE,A1103),0)=1,CATALOG_POINTS,0))),IFERROR(INDEX(CATALOG_POINTS,MATCH(A1103,CATALOG_TASK,0)),""))</f>
        <v>1</v>
      </c>
      <c r="D1103" s="10" t="s">
        <v>771</v>
      </c>
      <c r="E1103" s="41" t="str">
        <f t="shared" si="1"/>
        <v>E0</v>
      </c>
    </row>
    <row r="1104" ht="15.75" customHeight="1">
      <c r="A1104" s="10" t="s">
        <v>37</v>
      </c>
      <c r="B1104" s="10" t="s">
        <v>126</v>
      </c>
      <c r="C1104" s="41">
        <f t="array" ref="C1104">IF(IFERROR(INDEX(CATALOG_POINTS,MATCH(A1104,CATALOG_TASK,0)),"")="",IF(MAX(IF(IFERROR(FIND(CATALOG_BASE,A1104),0)=1,CATALOG_POINTS,0))=0,DAILY_POST_POINTS,MAX(IF(IFERROR(FIND(CATALOG_BASE,A1104),0)=1,CATALOG_POINTS,0))),IFERROR(INDEX(CATALOG_POINTS,MATCH(A1104,CATALOG_TASK,0)),""))</f>
        <v>2</v>
      </c>
      <c r="D1104" s="10" t="s">
        <v>772</v>
      </c>
      <c r="E1104" s="41" t="str">
        <f t="shared" si="1"/>
        <v>E0</v>
      </c>
    </row>
    <row r="1105" ht="15.75" customHeight="1">
      <c r="A1105" s="10" t="s">
        <v>37</v>
      </c>
      <c r="B1105" s="10" t="s">
        <v>121</v>
      </c>
      <c r="C1105" s="41">
        <f t="array" ref="C1105">IF(IFERROR(INDEX(CATALOG_POINTS,MATCH(A1105,CATALOG_TASK,0)),"")="",IF(MAX(IF(IFERROR(FIND(CATALOG_BASE,A1105),0)=1,CATALOG_POINTS,0))=0,DAILY_POST_POINTS,MAX(IF(IFERROR(FIND(CATALOG_BASE,A1105),0)=1,CATALOG_POINTS,0))),IFERROR(INDEX(CATALOG_POINTS,MATCH(A1105,CATALOG_TASK,0)),""))</f>
        <v>2</v>
      </c>
      <c r="D1105" s="10" t="s">
        <v>772</v>
      </c>
      <c r="E1105" s="41" t="str">
        <f t="shared" si="1"/>
        <v>E0</v>
      </c>
    </row>
    <row r="1106" ht="15.75" customHeight="1">
      <c r="A1106" s="10" t="s">
        <v>772</v>
      </c>
      <c r="B1106" s="10" t="s">
        <v>133</v>
      </c>
      <c r="C1106" s="41">
        <f t="array" ref="C1106">IF(IFERROR(INDEX(CATALOG_POINTS,MATCH(A1106,CATALOG_TASK,0)),"")="",IF(MAX(IF(IFERROR(FIND(CATALOG_BASE,A1106),0)=1,CATALOG_POINTS,0))=0,DAILY_POST_POINTS,MAX(IF(IFERROR(FIND(CATALOG_BASE,A1106),0)=1,CATALOG_POINTS,0))),IFERROR(INDEX(CATALOG_POINTS,MATCH(A1106,CATALOG_TASK,0)),""))</f>
        <v>1</v>
      </c>
      <c r="D1106" s="10" t="s">
        <v>772</v>
      </c>
      <c r="E1106" s="41" t="str">
        <f t="shared" si="1"/>
        <v>E0</v>
      </c>
    </row>
    <row r="1107" ht="15.75" customHeight="1">
      <c r="A1107" s="10" t="s">
        <v>773</v>
      </c>
      <c r="B1107" s="10" t="s">
        <v>127</v>
      </c>
      <c r="C1107" s="41">
        <f t="array" ref="C1107">IF(IFERROR(INDEX(CATALOG_POINTS,MATCH(A1107,CATALOG_TASK,0)),"")="",IF(MAX(IF(IFERROR(FIND(CATALOG_BASE,A1107),0)=1,CATALOG_POINTS,0))=0,DAILY_POST_POINTS,MAX(IF(IFERROR(FIND(CATALOG_BASE,A1107),0)=1,CATALOG_POINTS,0))),IFERROR(INDEX(CATALOG_POINTS,MATCH(A1107,CATALOG_TASK,0)),""))</f>
        <v>1</v>
      </c>
      <c r="D1107" s="10" t="s">
        <v>773</v>
      </c>
      <c r="E1107" s="41" t="str">
        <f t="shared" si="1"/>
        <v>PROX4</v>
      </c>
    </row>
    <row r="1108" ht="15.75" customHeight="1">
      <c r="A1108" s="10" t="s">
        <v>774</v>
      </c>
      <c r="B1108" s="10" t="s">
        <v>117</v>
      </c>
      <c r="C1108" s="41">
        <f t="array" ref="C1108">IF(IFERROR(INDEX(CATALOG_POINTS,MATCH(A1108,CATALOG_TASK,0)),"")="",IF(MAX(IF(IFERROR(FIND(CATALOG_BASE,A1108),0)=1,CATALOG_POINTS,0))=0,DAILY_POST_POINTS,MAX(IF(IFERROR(FIND(CATALOG_BASE,A1108),0)=1,CATALOG_POINTS,0))),IFERROR(INDEX(CATALOG_POINTS,MATCH(A1108,CATALOG_TASK,0)),""))</f>
        <v>1</v>
      </c>
      <c r="D1108" s="10" t="s">
        <v>774</v>
      </c>
      <c r="E1108" s="41" t="str">
        <f t="shared" si="1"/>
        <v>PROX4</v>
      </c>
    </row>
    <row r="1109" ht="15.75" customHeight="1">
      <c r="A1109" s="10" t="s">
        <v>775</v>
      </c>
      <c r="B1109" s="10" t="s">
        <v>126</v>
      </c>
      <c r="C1109" s="41">
        <f t="array" ref="C1109">IF(IFERROR(INDEX(CATALOG_POINTS,MATCH(A1109,CATALOG_TASK,0)),"")="",IF(MAX(IF(IFERROR(FIND(CATALOG_BASE,A1109),0)=1,CATALOG_POINTS,0))=0,DAILY_POST_POINTS,MAX(IF(IFERROR(FIND(CATALOG_BASE,A1109),0)=1,CATALOG_POINTS,0))),IFERROR(INDEX(CATALOG_POINTS,MATCH(A1109,CATALOG_TASK,0)),""))</f>
        <v>1</v>
      </c>
      <c r="D1109" s="10" t="s">
        <v>775</v>
      </c>
      <c r="E1109" s="41" t="str">
        <f t="shared" si="1"/>
        <v>PROX4</v>
      </c>
    </row>
    <row r="1110" ht="15.75" customHeight="1">
      <c r="A1110" s="10" t="s">
        <v>180</v>
      </c>
      <c r="B1110" s="10" t="s">
        <v>138</v>
      </c>
      <c r="C1110" s="41">
        <f t="array" ref="C1110">IF(IFERROR(INDEX(CATALOG_POINTS,MATCH(A1110,CATALOG_TASK,0)),"")="",IF(MAX(IF(IFERROR(FIND(CATALOG_BASE,A1110),0)=1,CATALOG_POINTS,0))=0,DAILY_POST_POINTS,MAX(IF(IFERROR(FIND(CATALOG_BASE,A1110),0)=1,CATALOG_POINTS,0))),IFERROR(INDEX(CATALOG_POINTS,MATCH(A1110,CATALOG_TASK,0)),""))</f>
        <v>1</v>
      </c>
      <c r="D1110" s="10" t="s">
        <v>776</v>
      </c>
      <c r="E1110" s="41" t="str">
        <f t="shared" si="1"/>
        <v>PROX3</v>
      </c>
    </row>
    <row r="1111" ht="15.75" customHeight="1">
      <c r="A1111" s="10" t="s">
        <v>777</v>
      </c>
      <c r="B1111" s="10" t="s">
        <v>127</v>
      </c>
      <c r="C1111" s="41">
        <f t="array" ref="C1111">IF(IFERROR(INDEX(CATALOG_POINTS,MATCH(A1111,CATALOG_TASK,0)),"")="",IF(MAX(IF(IFERROR(FIND(CATALOG_BASE,A1111),0)=1,CATALOG_POINTS,0))=0,DAILY_POST_POINTS,MAX(IF(IFERROR(FIND(CATALOG_BASE,A1111),0)=1,CATALOG_POINTS,0))),IFERROR(INDEX(CATALOG_POINTS,MATCH(A1111,CATALOG_TASK,0)),""))</f>
        <v>1</v>
      </c>
      <c r="D1111" s="10" t="s">
        <v>777</v>
      </c>
      <c r="E1111" s="41" t="str">
        <f t="shared" si="1"/>
        <v>PROX4</v>
      </c>
    </row>
    <row r="1112" ht="15.75" customHeight="1">
      <c r="A1112" s="10" t="s">
        <v>778</v>
      </c>
      <c r="B1112" s="10" t="s">
        <v>131</v>
      </c>
      <c r="C1112" s="41">
        <f t="array" ref="C1112">IF(IFERROR(INDEX(CATALOG_POINTS,MATCH(A1112,CATALOG_TASK,0)),"")="",IF(MAX(IF(IFERROR(FIND(CATALOG_BASE,A1112),0)=1,CATALOG_POINTS,0))=0,DAILY_POST_POINTS,MAX(IF(IFERROR(FIND(CATALOG_BASE,A1112),0)=1,CATALOG_POINTS,0))),IFERROR(INDEX(CATALOG_POINTS,MATCH(A1112,CATALOG_TASK,0)),""))</f>
        <v>1</v>
      </c>
      <c r="D1112" s="10" t="s">
        <v>778</v>
      </c>
      <c r="E1112" s="41" t="str">
        <f t="shared" si="1"/>
        <v>PROX3</v>
      </c>
    </row>
    <row r="1113" ht="15.75" customHeight="1">
      <c r="A1113" s="10" t="s">
        <v>779</v>
      </c>
      <c r="B1113" s="10" t="s">
        <v>125</v>
      </c>
      <c r="C1113" s="41">
        <f t="array" ref="C1113">IF(IFERROR(INDEX(CATALOG_POINTS,MATCH(A1113,CATALOG_TASK,0)),"")="",IF(MAX(IF(IFERROR(FIND(CATALOG_BASE,A1113),0)=1,CATALOG_POINTS,0))=0,DAILY_POST_POINTS,MAX(IF(IFERROR(FIND(CATALOG_BASE,A1113),0)=1,CATALOG_POINTS,0))),IFERROR(INDEX(CATALOG_POINTS,MATCH(A1113,CATALOG_TASK,0)),""))</f>
        <v>1</v>
      </c>
      <c r="D1113" s="10" t="s">
        <v>779</v>
      </c>
      <c r="E1113" s="41" t="str">
        <f t="shared" si="1"/>
        <v>PROX3</v>
      </c>
    </row>
    <row r="1114" ht="15.75" customHeight="1">
      <c r="A1114" s="10" t="s">
        <v>37</v>
      </c>
      <c r="B1114" s="10" t="s">
        <v>126</v>
      </c>
      <c r="C1114" s="41">
        <f t="array" ref="C1114">IF(IFERROR(INDEX(CATALOG_POINTS,MATCH(A1114,CATALOG_TASK,0)),"")="",IF(MAX(IF(IFERROR(FIND(CATALOG_BASE,A1114),0)=1,CATALOG_POINTS,0))=0,DAILY_POST_POINTS,MAX(IF(IFERROR(FIND(CATALOG_BASE,A1114),0)=1,CATALOG_POINTS,0))),IFERROR(INDEX(CATALOG_POINTS,MATCH(A1114,CATALOG_TASK,0)),""))</f>
        <v>2</v>
      </c>
      <c r="D1114" s="10" t="s">
        <v>779</v>
      </c>
      <c r="E1114" s="41" t="str">
        <f t="shared" si="1"/>
        <v>PROX3</v>
      </c>
    </row>
    <row r="1115" ht="15.75" customHeight="1">
      <c r="A1115" s="10" t="s">
        <v>168</v>
      </c>
      <c r="B1115" s="10" t="s">
        <v>127</v>
      </c>
      <c r="C1115" s="41">
        <f t="array" ref="C1115">IF(IFERROR(INDEX(CATALOG_POINTS,MATCH(A1115,CATALOG_TASK,0)),"")="",IF(MAX(IF(IFERROR(FIND(CATALOG_BASE,A1115),0)=1,CATALOG_POINTS,0))=0,DAILY_POST_POINTS,MAX(IF(IFERROR(FIND(CATALOG_BASE,A1115),0)=1,CATALOG_POINTS,0))),IFERROR(INDEX(CATALOG_POINTS,MATCH(A1115,CATALOG_TASK,0)),""))</f>
        <v>1</v>
      </c>
      <c r="D1115" s="10" t="s">
        <v>780</v>
      </c>
      <c r="E1115" s="41" t="str">
        <f t="shared" si="1"/>
        <v>PROX3</v>
      </c>
    </row>
    <row r="1116" ht="15.75" customHeight="1">
      <c r="A1116" s="10" t="s">
        <v>168</v>
      </c>
      <c r="B1116" s="10" t="s">
        <v>128</v>
      </c>
      <c r="C1116" s="41">
        <f t="array" ref="C1116">IF(IFERROR(INDEX(CATALOG_POINTS,MATCH(A1116,CATALOG_TASK,0)),"")="",IF(MAX(IF(IFERROR(FIND(CATALOG_BASE,A1116),0)=1,CATALOG_POINTS,0))=0,DAILY_POST_POINTS,MAX(IF(IFERROR(FIND(CATALOG_BASE,A1116),0)=1,CATALOG_POINTS,0))),IFERROR(INDEX(CATALOG_POINTS,MATCH(A1116,CATALOG_TASK,0)),""))</f>
        <v>1</v>
      </c>
      <c r="D1116" s="10" t="s">
        <v>780</v>
      </c>
      <c r="E1116" s="41" t="str">
        <f t="shared" si="1"/>
        <v>PROX3</v>
      </c>
    </row>
    <row r="1117" ht="15.75" customHeight="1">
      <c r="A1117" s="10" t="s">
        <v>37</v>
      </c>
      <c r="B1117" s="10" t="s">
        <v>127</v>
      </c>
      <c r="C1117" s="41">
        <f t="array" ref="C1117">IF(IFERROR(INDEX(CATALOG_POINTS,MATCH(A1117,CATALOG_TASK,0)),"")="",IF(MAX(IF(IFERROR(FIND(CATALOG_BASE,A1117),0)=1,CATALOG_POINTS,0))=0,DAILY_POST_POINTS,MAX(IF(IFERROR(FIND(CATALOG_BASE,A1117),0)=1,CATALOG_POINTS,0))),IFERROR(INDEX(CATALOG_POINTS,MATCH(A1117,CATALOG_TASK,0)),""))</f>
        <v>2</v>
      </c>
      <c r="D1117" s="10" t="s">
        <v>780</v>
      </c>
      <c r="E1117" s="41" t="str">
        <f t="shared" si="1"/>
        <v>PROX3</v>
      </c>
    </row>
    <row r="1118" ht="15.75" customHeight="1">
      <c r="A1118" s="10" t="s">
        <v>37</v>
      </c>
      <c r="B1118" s="10" t="s">
        <v>128</v>
      </c>
      <c r="C1118" s="41">
        <f t="array" ref="C1118">IF(IFERROR(INDEX(CATALOG_POINTS,MATCH(A1118,CATALOG_TASK,0)),"")="",IF(MAX(IF(IFERROR(FIND(CATALOG_BASE,A1118),0)=1,CATALOG_POINTS,0))=0,DAILY_POST_POINTS,MAX(IF(IFERROR(FIND(CATALOG_BASE,A1118),0)=1,CATALOG_POINTS,0))),IFERROR(INDEX(CATALOG_POINTS,MATCH(A1118,CATALOG_TASK,0)),""))</f>
        <v>2</v>
      </c>
      <c r="D1118" s="10" t="s">
        <v>780</v>
      </c>
      <c r="E1118" s="41" t="str">
        <f t="shared" si="1"/>
        <v>PROX3</v>
      </c>
    </row>
    <row r="1119" ht="15.75" customHeight="1">
      <c r="A1119" s="10" t="s">
        <v>780</v>
      </c>
      <c r="B1119" s="10" t="s">
        <v>122</v>
      </c>
      <c r="C1119" s="41">
        <f t="array" ref="C1119">IF(IFERROR(INDEX(CATALOG_POINTS,MATCH(A1119,CATALOG_TASK,0)),"")="",IF(MAX(IF(IFERROR(FIND(CATALOG_BASE,A1119),0)=1,CATALOG_POINTS,0))=0,DAILY_POST_POINTS,MAX(IF(IFERROR(FIND(CATALOG_BASE,A1119),0)=1,CATALOG_POINTS,0))),IFERROR(INDEX(CATALOG_POINTS,MATCH(A1119,CATALOG_TASK,0)),""))</f>
        <v>1</v>
      </c>
      <c r="D1119" s="10" t="s">
        <v>780</v>
      </c>
      <c r="E1119" s="41" t="str">
        <f t="shared" si="1"/>
        <v>PROX3</v>
      </c>
    </row>
    <row r="1120" ht="15.75" customHeight="1">
      <c r="A1120" s="10" t="s">
        <v>781</v>
      </c>
      <c r="B1120" s="10" t="s">
        <v>136</v>
      </c>
      <c r="C1120" s="41">
        <f t="array" ref="C1120">IF(IFERROR(INDEX(CATALOG_POINTS,MATCH(A1120,CATALOG_TASK,0)),"")="",IF(MAX(IF(IFERROR(FIND(CATALOG_BASE,A1120),0)=1,CATALOG_POINTS,0))=0,DAILY_POST_POINTS,MAX(IF(IFERROR(FIND(CATALOG_BASE,A1120),0)=1,CATALOG_POINTS,0))),IFERROR(INDEX(CATALOG_POINTS,MATCH(A1120,CATALOG_TASK,0)),""))</f>
        <v>1</v>
      </c>
      <c r="D1120" s="10" t="s">
        <v>781</v>
      </c>
      <c r="E1120" s="41" t="str">
        <f t="shared" si="1"/>
        <v>PROX3</v>
      </c>
    </row>
    <row r="1121" ht="15.75" customHeight="1">
      <c r="A1121" s="10" t="s">
        <v>782</v>
      </c>
      <c r="B1121" s="10" t="s">
        <v>129</v>
      </c>
      <c r="C1121" s="41">
        <f t="array" ref="C1121">IF(IFERROR(INDEX(CATALOG_POINTS,MATCH(A1121,CATALOG_TASK,0)),"")="",IF(MAX(IF(IFERROR(FIND(CATALOG_BASE,A1121),0)=1,CATALOG_POINTS,0))=0,DAILY_POST_POINTS,MAX(IF(IFERROR(FIND(CATALOG_BASE,A1121),0)=1,CATALOG_POINTS,0))),IFERROR(INDEX(CATALOG_POINTS,MATCH(A1121,CATALOG_TASK,0)),""))</f>
        <v>1</v>
      </c>
      <c r="D1121" s="10" t="s">
        <v>782</v>
      </c>
      <c r="E1121" s="41" t="str">
        <f t="shared" si="1"/>
        <v>PROX3</v>
      </c>
    </row>
    <row r="1122" ht="15.75" customHeight="1">
      <c r="A1122" s="10" t="s">
        <v>783</v>
      </c>
      <c r="B1122" s="10" t="s">
        <v>117</v>
      </c>
      <c r="C1122" s="41">
        <f t="array" ref="C1122">IF(IFERROR(INDEX(CATALOG_POINTS,MATCH(A1122,CATALOG_TASK,0)),"")="",IF(MAX(IF(IFERROR(FIND(CATALOG_BASE,A1122),0)=1,CATALOG_POINTS,0))=0,DAILY_POST_POINTS,MAX(IF(IFERROR(FIND(CATALOG_BASE,A1122),0)=1,CATALOG_POINTS,0))),IFERROR(INDEX(CATALOG_POINTS,MATCH(A1122,CATALOG_TASK,0)),""))</f>
        <v>1</v>
      </c>
      <c r="D1122" s="10" t="s">
        <v>783</v>
      </c>
      <c r="E1122" s="41" t="str">
        <f t="shared" si="1"/>
        <v>PROX3</v>
      </c>
    </row>
    <row r="1123" ht="15.75" customHeight="1">
      <c r="A1123" s="10" t="s">
        <v>37</v>
      </c>
      <c r="B1123" s="10" t="s">
        <v>126</v>
      </c>
      <c r="C1123" s="41">
        <f t="array" ref="C1123">IF(IFERROR(INDEX(CATALOG_POINTS,MATCH(A1123,CATALOG_TASK,0)),"")="",IF(MAX(IF(IFERROR(FIND(CATALOG_BASE,A1123),0)=1,CATALOG_POINTS,0))=0,DAILY_POST_POINTS,MAX(IF(IFERROR(FIND(CATALOG_BASE,A1123),0)=1,CATALOG_POINTS,0))),IFERROR(INDEX(CATALOG_POINTS,MATCH(A1123,CATALOG_TASK,0)),""))</f>
        <v>2</v>
      </c>
      <c r="D1123" s="10" t="s">
        <v>784</v>
      </c>
      <c r="E1123" s="41" t="str">
        <f t="shared" si="1"/>
        <v>PROX3</v>
      </c>
    </row>
    <row r="1124" ht="15.75" customHeight="1">
      <c r="A1124" s="10" t="s">
        <v>37</v>
      </c>
      <c r="B1124" s="10" t="s">
        <v>127</v>
      </c>
      <c r="C1124" s="41">
        <f t="array" ref="C1124">IF(IFERROR(INDEX(CATALOG_POINTS,MATCH(A1124,CATALOG_TASK,0)),"")="",IF(MAX(IF(IFERROR(FIND(CATALOG_BASE,A1124),0)=1,CATALOG_POINTS,0))=0,DAILY_POST_POINTS,MAX(IF(IFERROR(FIND(CATALOG_BASE,A1124),0)=1,CATALOG_POINTS,0))),IFERROR(INDEX(CATALOG_POINTS,MATCH(A1124,CATALOG_TASK,0)),""))</f>
        <v>2</v>
      </c>
      <c r="D1124" s="10" t="s">
        <v>784</v>
      </c>
      <c r="E1124" s="41" t="str">
        <f t="shared" si="1"/>
        <v>PROX3</v>
      </c>
    </row>
    <row r="1125" ht="15.75" customHeight="1">
      <c r="A1125" s="10" t="s">
        <v>37</v>
      </c>
      <c r="B1125" s="10" t="s">
        <v>122</v>
      </c>
      <c r="C1125" s="41">
        <f t="array" ref="C1125">IF(IFERROR(INDEX(CATALOG_POINTS,MATCH(A1125,CATALOG_TASK,0)),"")="",IF(MAX(IF(IFERROR(FIND(CATALOG_BASE,A1125),0)=1,CATALOG_POINTS,0))=0,DAILY_POST_POINTS,MAX(IF(IFERROR(FIND(CATALOG_BASE,A1125),0)=1,CATALOG_POINTS,0))),IFERROR(INDEX(CATALOG_POINTS,MATCH(A1125,CATALOG_TASK,0)),""))</f>
        <v>2</v>
      </c>
      <c r="D1125" s="10" t="s">
        <v>784</v>
      </c>
      <c r="E1125" s="41" t="str">
        <f t="shared" si="1"/>
        <v>PROX3</v>
      </c>
    </row>
    <row r="1126" ht="15.75" customHeight="1">
      <c r="A1126" s="10" t="s">
        <v>784</v>
      </c>
      <c r="B1126" s="10" t="s">
        <v>125</v>
      </c>
      <c r="C1126" s="41">
        <f t="array" ref="C1126">IF(IFERROR(INDEX(CATALOG_POINTS,MATCH(A1126,CATALOG_TASK,0)),"")="",IF(MAX(IF(IFERROR(FIND(CATALOG_BASE,A1126),0)=1,CATALOG_POINTS,0))=0,DAILY_POST_POINTS,MAX(IF(IFERROR(FIND(CATALOG_BASE,A1126),0)=1,CATALOG_POINTS,0))),IFERROR(INDEX(CATALOG_POINTS,MATCH(A1126,CATALOG_TASK,0)),""))</f>
        <v>1</v>
      </c>
      <c r="D1126" s="10" t="s">
        <v>784</v>
      </c>
      <c r="E1126" s="41" t="str">
        <f t="shared" si="1"/>
        <v>PROX3</v>
      </c>
    </row>
    <row r="1127" ht="15.75" customHeight="1">
      <c r="A1127" s="10" t="s">
        <v>785</v>
      </c>
      <c r="B1127" s="10" t="s">
        <v>136</v>
      </c>
      <c r="C1127" s="41">
        <f t="array" ref="C1127">IF(IFERROR(INDEX(CATALOG_POINTS,MATCH(A1127,CATALOG_TASK,0)),"")="",IF(MAX(IF(IFERROR(FIND(CATALOG_BASE,A1127),0)=1,CATALOG_POINTS,0))=0,DAILY_POST_POINTS,MAX(IF(IFERROR(FIND(CATALOG_BASE,A1127),0)=1,CATALOG_POINTS,0))),IFERROR(INDEX(CATALOG_POINTS,MATCH(A1127,CATALOG_TASK,0)),""))</f>
        <v>1</v>
      </c>
      <c r="D1127" s="10" t="s">
        <v>785</v>
      </c>
      <c r="E1127" s="41" t="str">
        <f t="shared" si="1"/>
        <v>PROX3</v>
      </c>
    </row>
    <row r="1128" ht="15.75" customHeight="1">
      <c r="A1128" s="10" t="s">
        <v>37</v>
      </c>
      <c r="B1128" s="10" t="s">
        <v>119</v>
      </c>
      <c r="C1128" s="41">
        <f t="array" ref="C1128">IF(IFERROR(INDEX(CATALOG_POINTS,MATCH(A1128,CATALOG_TASK,0)),"")="",IF(MAX(IF(IFERROR(FIND(CATALOG_BASE,A1128),0)=1,CATALOG_POINTS,0))=0,DAILY_POST_POINTS,MAX(IF(IFERROR(FIND(CATALOG_BASE,A1128),0)=1,CATALOG_POINTS,0))),IFERROR(INDEX(CATALOG_POINTS,MATCH(A1128,CATALOG_TASK,0)),""))</f>
        <v>2</v>
      </c>
      <c r="D1128" s="10" t="s">
        <v>785</v>
      </c>
      <c r="E1128" s="41" t="str">
        <f t="shared" si="1"/>
        <v>PROX3</v>
      </c>
    </row>
    <row r="1129" ht="15.75" customHeight="1">
      <c r="A1129" s="10" t="s">
        <v>786</v>
      </c>
      <c r="B1129" s="10" t="s">
        <v>128</v>
      </c>
      <c r="C1129" s="41">
        <f t="array" ref="C1129">IF(IFERROR(INDEX(CATALOG_POINTS,MATCH(A1129,CATALOG_TASK,0)),"")="",IF(MAX(IF(IFERROR(FIND(CATALOG_BASE,A1129),0)=1,CATALOG_POINTS,0))=0,DAILY_POST_POINTS,MAX(IF(IFERROR(FIND(CATALOG_BASE,A1129),0)=1,CATALOG_POINTS,0))),IFERROR(INDEX(CATALOG_POINTS,MATCH(A1129,CATALOG_TASK,0)),""))</f>
        <v>1</v>
      </c>
      <c r="D1129" s="10" t="s">
        <v>786</v>
      </c>
      <c r="E1129" s="41" t="str">
        <f t="shared" si="1"/>
        <v>PROX3</v>
      </c>
    </row>
    <row r="1130" ht="15.75" customHeight="1">
      <c r="A1130" s="10" t="s">
        <v>37</v>
      </c>
      <c r="B1130" s="10" t="s">
        <v>119</v>
      </c>
      <c r="C1130" s="41">
        <f t="array" ref="C1130">IF(IFERROR(INDEX(CATALOG_POINTS,MATCH(A1130,CATALOG_TASK,0)),"")="",IF(MAX(IF(IFERROR(FIND(CATALOG_BASE,A1130),0)=1,CATALOG_POINTS,0))=0,DAILY_POST_POINTS,MAX(IF(IFERROR(FIND(CATALOG_BASE,A1130),0)=1,CATALOG_POINTS,0))),IFERROR(INDEX(CATALOG_POINTS,MATCH(A1130,CATALOG_TASK,0)),""))</f>
        <v>2</v>
      </c>
      <c r="D1130" s="10" t="s">
        <v>786</v>
      </c>
      <c r="E1130" s="41" t="str">
        <f t="shared" si="1"/>
        <v>PROX3</v>
      </c>
    </row>
    <row r="1131" ht="15.75" customHeight="1">
      <c r="A1131" s="10" t="s">
        <v>37</v>
      </c>
      <c r="B1131" s="10" t="s">
        <v>119</v>
      </c>
      <c r="C1131" s="41">
        <f t="array" ref="C1131">IF(IFERROR(INDEX(CATALOG_POINTS,MATCH(A1131,CATALOG_TASK,0)),"")="",IF(MAX(IF(IFERROR(FIND(CATALOG_BASE,A1131),0)=1,CATALOG_POINTS,0))=0,DAILY_POST_POINTS,MAX(IF(IFERROR(FIND(CATALOG_BASE,A1131),0)=1,CATALOG_POINTS,0))),IFERROR(INDEX(CATALOG_POINTS,MATCH(A1131,CATALOG_TASK,0)),""))</f>
        <v>2</v>
      </c>
      <c r="D1131" s="10" t="s">
        <v>786</v>
      </c>
      <c r="E1131" s="41" t="str">
        <f t="shared" si="1"/>
        <v>PROX3</v>
      </c>
    </row>
    <row r="1132" ht="15.75" customHeight="1">
      <c r="A1132" s="10" t="s">
        <v>787</v>
      </c>
      <c r="B1132" s="10" t="s">
        <v>120</v>
      </c>
      <c r="C1132" s="41">
        <f t="array" ref="C1132">IF(IFERROR(INDEX(CATALOG_POINTS,MATCH(A1132,CATALOG_TASK,0)),"")="",IF(MAX(IF(IFERROR(FIND(CATALOG_BASE,A1132),0)=1,CATALOG_POINTS,0))=0,DAILY_POST_POINTS,MAX(IF(IFERROR(FIND(CATALOG_BASE,A1132),0)=1,CATALOG_POINTS,0))),IFERROR(INDEX(CATALOG_POINTS,MATCH(A1132,CATALOG_TASK,0)),""))</f>
        <v>1</v>
      </c>
      <c r="D1132" s="10" t="s">
        <v>787</v>
      </c>
      <c r="E1132" s="41" t="str">
        <f t="shared" si="1"/>
        <v>PROX3</v>
      </c>
    </row>
    <row r="1133" ht="15.75" customHeight="1">
      <c r="A1133" s="10" t="s">
        <v>788</v>
      </c>
      <c r="B1133" s="10" t="s">
        <v>121</v>
      </c>
      <c r="C1133" s="41">
        <f t="array" ref="C1133">IF(IFERROR(INDEX(CATALOG_POINTS,MATCH(A1133,CATALOG_TASK,0)),"")="",IF(MAX(IF(IFERROR(FIND(CATALOG_BASE,A1133),0)=1,CATALOG_POINTS,0))=0,DAILY_POST_POINTS,MAX(IF(IFERROR(FIND(CATALOG_BASE,A1133),0)=1,CATALOG_POINTS,0))),IFERROR(INDEX(CATALOG_POINTS,MATCH(A1133,CATALOG_TASK,0)),""))</f>
        <v>1</v>
      </c>
      <c r="D1133" s="10" t="s">
        <v>788</v>
      </c>
      <c r="E1133" s="41" t="str">
        <f t="shared" si="1"/>
        <v>PROX3</v>
      </c>
    </row>
    <row r="1134" ht="15.75" customHeight="1">
      <c r="A1134" s="10" t="s">
        <v>789</v>
      </c>
      <c r="B1134" s="10" t="s">
        <v>136</v>
      </c>
      <c r="C1134" s="41">
        <f t="array" ref="C1134">IF(IFERROR(INDEX(CATALOG_POINTS,MATCH(A1134,CATALOG_TASK,0)),"")="",IF(MAX(IF(IFERROR(FIND(CATALOG_BASE,A1134),0)=1,CATALOG_POINTS,0))=0,DAILY_POST_POINTS,MAX(IF(IFERROR(FIND(CATALOG_BASE,A1134),0)=1,CATALOG_POINTS,0))),IFERROR(INDEX(CATALOG_POINTS,MATCH(A1134,CATALOG_TASK,0)),""))</f>
        <v>1</v>
      </c>
      <c r="D1134" s="10" t="s">
        <v>790</v>
      </c>
      <c r="E1134" s="41" t="str">
        <f t="shared" si="1"/>
        <v/>
      </c>
    </row>
    <row r="1135" ht="15.75" customHeight="1">
      <c r="A1135" s="10" t="s">
        <v>791</v>
      </c>
      <c r="B1135" s="10" t="s">
        <v>127</v>
      </c>
      <c r="C1135" s="41">
        <f t="array" ref="C1135">IF(IFERROR(INDEX(CATALOG_POINTS,MATCH(A1135,CATALOG_TASK,0)),"")="",IF(MAX(IF(IFERROR(FIND(CATALOG_BASE,A1135),0)=1,CATALOG_POINTS,0))=0,DAILY_POST_POINTS,MAX(IF(IFERROR(FIND(CATALOG_BASE,A1135),0)=1,CATALOG_POINTS,0))),IFERROR(INDEX(CATALOG_POINTS,MATCH(A1135,CATALOG_TASK,0)),""))</f>
        <v>1</v>
      </c>
      <c r="D1135" s="10" t="s">
        <v>791</v>
      </c>
      <c r="E1135" s="41" t="str">
        <f t="shared" si="1"/>
        <v>PROX3</v>
      </c>
    </row>
    <row r="1136" ht="15.75" customHeight="1">
      <c r="A1136" s="10" t="s">
        <v>792</v>
      </c>
      <c r="B1136" s="10" t="s">
        <v>131</v>
      </c>
      <c r="C1136" s="41">
        <f t="array" ref="C1136">IF(IFERROR(INDEX(CATALOG_POINTS,MATCH(A1136,CATALOG_TASK,0)),"")="",IF(MAX(IF(IFERROR(FIND(CATALOG_BASE,A1136),0)=1,CATALOG_POINTS,0))=0,DAILY_POST_POINTS,MAX(IF(IFERROR(FIND(CATALOG_BASE,A1136),0)=1,CATALOG_POINTS,0))),IFERROR(INDEX(CATALOG_POINTS,MATCH(A1136,CATALOG_TASK,0)),""))</f>
        <v>1</v>
      </c>
      <c r="D1136" s="10" t="s">
        <v>792</v>
      </c>
      <c r="E1136" s="41" t="str">
        <f t="shared" si="1"/>
        <v>PROX3</v>
      </c>
    </row>
    <row r="1137" ht="15.75" customHeight="1">
      <c r="A1137" s="10" t="s">
        <v>793</v>
      </c>
      <c r="B1137" s="10" t="s">
        <v>125</v>
      </c>
      <c r="C1137" s="41">
        <f t="array" ref="C1137">IF(IFERROR(INDEX(CATALOG_POINTS,MATCH(A1137,CATALOG_TASK,0)),"")="",IF(MAX(IF(IFERROR(FIND(CATALOG_BASE,A1137),0)=1,CATALOG_POINTS,0))=0,DAILY_POST_POINTS,MAX(IF(IFERROR(FIND(CATALOG_BASE,A1137),0)=1,CATALOG_POINTS,0))),IFERROR(INDEX(CATALOG_POINTS,MATCH(A1137,CATALOG_TASK,0)),""))</f>
        <v>1</v>
      </c>
      <c r="D1137" s="10" t="s">
        <v>793</v>
      </c>
      <c r="E1137" s="41" t="str">
        <f t="shared" si="1"/>
        <v>PROX3</v>
      </c>
    </row>
    <row r="1138" ht="15.75" customHeight="1">
      <c r="A1138" s="10" t="s">
        <v>794</v>
      </c>
      <c r="B1138" s="10" t="s">
        <v>137</v>
      </c>
      <c r="C1138" s="41">
        <f t="array" ref="C1138">IF(IFERROR(INDEX(CATALOG_POINTS,MATCH(A1138,CATALOG_TASK,0)),"")="",IF(MAX(IF(IFERROR(FIND(CATALOG_BASE,A1138),0)=1,CATALOG_POINTS,0))=0,DAILY_POST_POINTS,MAX(IF(IFERROR(FIND(CATALOG_BASE,A1138),0)=1,CATALOG_POINTS,0))),IFERROR(INDEX(CATALOG_POINTS,MATCH(A1138,CATALOG_TASK,0)),""))</f>
        <v>1</v>
      </c>
      <c r="D1138" s="10" t="s">
        <v>794</v>
      </c>
      <c r="E1138" s="41" t="str">
        <f t="shared" si="1"/>
        <v>PROX3</v>
      </c>
    </row>
    <row r="1139" ht="15.75" customHeight="1">
      <c r="A1139" s="10" t="s">
        <v>795</v>
      </c>
      <c r="B1139" s="10" t="s">
        <v>131</v>
      </c>
      <c r="C1139" s="41">
        <f t="array" ref="C1139">IF(IFERROR(INDEX(CATALOG_POINTS,MATCH(A1139,CATALOG_TASK,0)),"")="",IF(MAX(IF(IFERROR(FIND(CATALOG_BASE,A1139),0)=1,CATALOG_POINTS,0))=0,DAILY_POST_POINTS,MAX(IF(IFERROR(FIND(CATALOG_BASE,A1139),0)=1,CATALOG_POINTS,0))),IFERROR(INDEX(CATALOG_POINTS,MATCH(A1139,CATALOG_TASK,0)),""))</f>
        <v>1</v>
      </c>
      <c r="D1139" s="10" t="s">
        <v>795</v>
      </c>
      <c r="E1139" s="41" t="str">
        <f t="shared" si="1"/>
        <v>SE1</v>
      </c>
    </row>
    <row r="1140" ht="15.75" customHeight="1">
      <c r="A1140" s="10" t="s">
        <v>796</v>
      </c>
      <c r="B1140" s="10" t="s">
        <v>128</v>
      </c>
      <c r="C1140" s="41">
        <f t="array" ref="C1140">IF(IFERROR(INDEX(CATALOG_POINTS,MATCH(A1140,CATALOG_TASK,0)),"")="",IF(MAX(IF(IFERROR(FIND(CATALOG_BASE,A1140),0)=1,CATALOG_POINTS,0))=0,DAILY_POST_POINTS,MAX(IF(IFERROR(FIND(CATALOG_BASE,A1140),0)=1,CATALOG_POINTS,0))),IFERROR(INDEX(CATALOG_POINTS,MATCH(A1140,CATALOG_TASK,0)),""))</f>
        <v>1</v>
      </c>
      <c r="D1140" s="10" t="s">
        <v>796</v>
      </c>
      <c r="E1140" s="41" t="str">
        <f t="shared" si="1"/>
        <v>PROX3</v>
      </c>
    </row>
    <row r="1141" ht="15.75" customHeight="1">
      <c r="A1141" s="10" t="s">
        <v>37</v>
      </c>
      <c r="B1141" s="10" t="s">
        <v>117</v>
      </c>
      <c r="C1141" s="41">
        <f t="array" ref="C1141">IF(IFERROR(INDEX(CATALOG_POINTS,MATCH(A1141,CATALOG_TASK,0)),"")="",IF(MAX(IF(IFERROR(FIND(CATALOG_BASE,A1141),0)=1,CATALOG_POINTS,0))=0,DAILY_POST_POINTS,MAX(IF(IFERROR(FIND(CATALOG_BASE,A1141),0)=1,CATALOG_POINTS,0))),IFERROR(INDEX(CATALOG_POINTS,MATCH(A1141,CATALOG_TASK,0)),""))</f>
        <v>2</v>
      </c>
      <c r="D1141" s="10" t="s">
        <v>797</v>
      </c>
      <c r="E1141" s="41" t="str">
        <f t="shared" si="1"/>
        <v>PROX4</v>
      </c>
    </row>
    <row r="1142" ht="15.75" customHeight="1">
      <c r="A1142" s="10" t="s">
        <v>797</v>
      </c>
      <c r="B1142" s="10" t="s">
        <v>120</v>
      </c>
      <c r="C1142" s="41">
        <f t="array" ref="C1142">IF(IFERROR(INDEX(CATALOG_POINTS,MATCH(A1142,CATALOG_TASK,0)),"")="",IF(MAX(IF(IFERROR(FIND(CATALOG_BASE,A1142),0)=1,CATALOG_POINTS,0))=0,DAILY_POST_POINTS,MAX(IF(IFERROR(FIND(CATALOG_BASE,A1142),0)=1,CATALOG_POINTS,0))),IFERROR(INDEX(CATALOG_POINTS,MATCH(A1142,CATALOG_TASK,0)),""))</f>
        <v>1</v>
      </c>
      <c r="D1142" s="10" t="s">
        <v>797</v>
      </c>
      <c r="E1142" s="41" t="str">
        <f t="shared" si="1"/>
        <v>PROX4</v>
      </c>
    </row>
    <row r="1143" ht="15.75" customHeight="1">
      <c r="A1143" s="10" t="s">
        <v>37</v>
      </c>
      <c r="B1143" s="10" t="s">
        <v>124</v>
      </c>
      <c r="C1143" s="41">
        <f t="array" ref="C1143">IF(IFERROR(INDEX(CATALOG_POINTS,MATCH(A1143,CATALOG_TASK,0)),"")="",IF(MAX(IF(IFERROR(FIND(CATALOG_BASE,A1143),0)=1,CATALOG_POINTS,0))=0,DAILY_POST_POINTS,MAX(IF(IFERROR(FIND(CATALOG_BASE,A1143),0)=1,CATALOG_POINTS,0))),IFERROR(INDEX(CATALOG_POINTS,MATCH(A1143,CATALOG_TASK,0)),""))</f>
        <v>2</v>
      </c>
      <c r="D1143" s="10" t="s">
        <v>797</v>
      </c>
      <c r="E1143" s="41" t="str">
        <f t="shared" si="1"/>
        <v>PROX4</v>
      </c>
    </row>
    <row r="1144" ht="15.75" customHeight="1">
      <c r="A1144" s="10" t="s">
        <v>174</v>
      </c>
      <c r="B1144" s="10" t="s">
        <v>125</v>
      </c>
      <c r="C1144" s="41">
        <f t="array" ref="C1144">IF(IFERROR(INDEX(CATALOG_POINTS,MATCH(A1144,CATALOG_TASK,0)),"")="",IF(MAX(IF(IFERROR(FIND(CATALOG_BASE,A1144),0)=1,CATALOG_POINTS,0))=0,DAILY_POST_POINTS,MAX(IF(IFERROR(FIND(CATALOG_BASE,A1144),0)=1,CATALOG_POINTS,0))),IFERROR(INDEX(CATALOG_POINTS,MATCH(A1144,CATALOG_TASK,0)),""))</f>
        <v>1</v>
      </c>
      <c r="D1144" s="10" t="s">
        <v>797</v>
      </c>
      <c r="E1144" s="41" t="str">
        <f t="shared" si="1"/>
        <v>PROX4</v>
      </c>
    </row>
    <row r="1145" ht="15.75" customHeight="1">
      <c r="A1145" s="10" t="s">
        <v>37</v>
      </c>
      <c r="B1145" s="10" t="s">
        <v>126</v>
      </c>
      <c r="C1145" s="41">
        <f t="array" ref="C1145">IF(IFERROR(INDEX(CATALOG_POINTS,MATCH(A1145,CATALOG_TASK,0)),"")="",IF(MAX(IF(IFERROR(FIND(CATALOG_BASE,A1145),0)=1,CATALOG_POINTS,0))=0,DAILY_POST_POINTS,MAX(IF(IFERROR(FIND(CATALOG_BASE,A1145),0)=1,CATALOG_POINTS,0))),IFERROR(INDEX(CATALOG_POINTS,MATCH(A1145,CATALOG_TASK,0)),""))</f>
        <v>2</v>
      </c>
      <c r="D1145" s="10" t="s">
        <v>797</v>
      </c>
      <c r="E1145" s="41" t="str">
        <f t="shared" si="1"/>
        <v>PROX4</v>
      </c>
    </row>
    <row r="1146" ht="15.75" customHeight="1">
      <c r="A1146" s="10" t="s">
        <v>798</v>
      </c>
      <c r="B1146" s="10" t="s">
        <v>121</v>
      </c>
      <c r="C1146" s="41">
        <f t="array" ref="C1146">IF(IFERROR(INDEX(CATALOG_POINTS,MATCH(A1146,CATALOG_TASK,0)),"")="",IF(MAX(IF(IFERROR(FIND(CATALOG_BASE,A1146),0)=1,CATALOG_POINTS,0))=0,DAILY_POST_POINTS,MAX(IF(IFERROR(FIND(CATALOG_BASE,A1146),0)=1,CATALOG_POINTS,0))),IFERROR(INDEX(CATALOG_POINTS,MATCH(A1146,CATALOG_TASK,0)),""))</f>
        <v>1</v>
      </c>
      <c r="D1146" s="10" t="s">
        <v>798</v>
      </c>
      <c r="E1146" s="41" t="str">
        <f t="shared" si="1"/>
        <v>PROX3</v>
      </c>
    </row>
    <row r="1147" ht="15.75" customHeight="1">
      <c r="A1147" s="10" t="s">
        <v>37</v>
      </c>
      <c r="B1147" s="10" t="s">
        <v>120</v>
      </c>
      <c r="C1147" s="41">
        <f t="array" ref="C1147">IF(IFERROR(INDEX(CATALOG_POINTS,MATCH(A1147,CATALOG_TASK,0)),"")="",IF(MAX(IF(IFERROR(FIND(CATALOG_BASE,A1147),0)=1,CATALOG_POINTS,0))=0,DAILY_POST_POINTS,MAX(IF(IFERROR(FIND(CATALOG_BASE,A1147),0)=1,CATALOG_POINTS,0))),IFERROR(INDEX(CATALOG_POINTS,MATCH(A1147,CATALOG_TASK,0)),""))</f>
        <v>2</v>
      </c>
      <c r="D1147" s="10" t="s">
        <v>798</v>
      </c>
      <c r="E1147" s="41" t="str">
        <f t="shared" si="1"/>
        <v>PROX3</v>
      </c>
    </row>
    <row r="1148" ht="15.75" customHeight="1">
      <c r="A1148" s="10" t="s">
        <v>799</v>
      </c>
      <c r="B1148" s="10" t="s">
        <v>135</v>
      </c>
      <c r="C1148" s="41">
        <f t="array" ref="C1148">IF(IFERROR(INDEX(CATALOG_POINTS,MATCH(A1148,CATALOG_TASK,0)),"")="",IF(MAX(IF(IFERROR(FIND(CATALOG_BASE,A1148),0)=1,CATALOG_POINTS,0))=0,DAILY_POST_POINTS,MAX(IF(IFERROR(FIND(CATALOG_BASE,A1148),0)=1,CATALOG_POINTS,0))),IFERROR(INDEX(CATALOG_POINTS,MATCH(A1148,CATALOG_TASK,0)),""))</f>
        <v>1</v>
      </c>
      <c r="D1148" s="10" t="s">
        <v>799</v>
      </c>
      <c r="E1148" s="41" t="str">
        <f t="shared" si="1"/>
        <v>PROX4</v>
      </c>
    </row>
    <row r="1149" ht="15.75" customHeight="1">
      <c r="A1149" s="10" t="s">
        <v>800</v>
      </c>
      <c r="B1149" s="10" t="s">
        <v>121</v>
      </c>
      <c r="C1149" s="41">
        <f t="array" ref="C1149">IF(IFERROR(INDEX(CATALOG_POINTS,MATCH(A1149,CATALOG_TASK,0)),"")="",IF(MAX(IF(IFERROR(FIND(CATALOG_BASE,A1149),0)=1,CATALOG_POINTS,0))=0,DAILY_POST_POINTS,MAX(IF(IFERROR(FIND(CATALOG_BASE,A1149),0)=1,CATALOG_POINTS,0))),IFERROR(INDEX(CATALOG_POINTS,MATCH(A1149,CATALOG_TASK,0)),""))</f>
        <v>1</v>
      </c>
      <c r="D1149" s="10" t="s">
        <v>800</v>
      </c>
      <c r="E1149" s="41" t="str">
        <f t="shared" si="1"/>
        <v>PROX3</v>
      </c>
    </row>
    <row r="1150" ht="15.75" customHeight="1">
      <c r="A1150" s="10" t="s">
        <v>801</v>
      </c>
      <c r="B1150" s="10" t="s">
        <v>132</v>
      </c>
      <c r="C1150" s="41">
        <f t="array" ref="C1150">IF(IFERROR(INDEX(CATALOG_POINTS,MATCH(A1150,CATALOG_TASK,0)),"")="",IF(MAX(IF(IFERROR(FIND(CATALOG_BASE,A1150),0)=1,CATALOG_POINTS,0))=0,DAILY_POST_POINTS,MAX(IF(IFERROR(FIND(CATALOG_BASE,A1150),0)=1,CATALOG_POINTS,0))),IFERROR(INDEX(CATALOG_POINTS,MATCH(A1150,CATALOG_TASK,0)),""))</f>
        <v>1</v>
      </c>
      <c r="D1150" s="10" t="s">
        <v>801</v>
      </c>
      <c r="E1150" s="41" t="str">
        <f t="shared" si="1"/>
        <v>PROX3</v>
      </c>
    </row>
    <row r="1151" ht="15.75" customHeight="1">
      <c r="A1151" s="10" t="s">
        <v>802</v>
      </c>
      <c r="B1151" s="10" t="s">
        <v>135</v>
      </c>
      <c r="C1151" s="41">
        <f t="array" ref="C1151">IF(IFERROR(INDEX(CATALOG_POINTS,MATCH(A1151,CATALOG_TASK,0)),"")="",IF(MAX(IF(IFERROR(FIND(CATALOG_BASE,A1151),0)=1,CATALOG_POINTS,0))=0,DAILY_POST_POINTS,MAX(IF(IFERROR(FIND(CATALOG_BASE,A1151),0)=1,CATALOG_POINTS,0))),IFERROR(INDEX(CATALOG_POINTS,MATCH(A1151,CATALOG_TASK,0)),""))</f>
        <v>1</v>
      </c>
      <c r="D1151" s="10" t="s">
        <v>802</v>
      </c>
      <c r="E1151" s="41" t="str">
        <f t="shared" si="1"/>
        <v>PROX3</v>
      </c>
    </row>
    <row r="1152" ht="15.75" customHeight="1">
      <c r="A1152" s="10" t="s">
        <v>803</v>
      </c>
      <c r="B1152" s="10" t="s">
        <v>133</v>
      </c>
      <c r="C1152" s="41">
        <f t="array" ref="C1152">IF(IFERROR(INDEX(CATALOG_POINTS,MATCH(A1152,CATALOG_TASK,0)),"")="",IF(MAX(IF(IFERROR(FIND(CATALOG_BASE,A1152),0)=1,CATALOG_POINTS,0))=0,DAILY_POST_POINTS,MAX(IF(IFERROR(FIND(CATALOG_BASE,A1152),0)=1,CATALOG_POINTS,0))),IFERROR(INDEX(CATALOG_POINTS,MATCH(A1152,CATALOG_TASK,0)),""))</f>
        <v>1</v>
      </c>
      <c r="D1152" s="10" t="s">
        <v>803</v>
      </c>
      <c r="E1152" s="41" t="str">
        <f t="shared" si="1"/>
        <v>PROX5</v>
      </c>
    </row>
    <row r="1153" ht="15.75" customHeight="1">
      <c r="A1153" s="10" t="s">
        <v>804</v>
      </c>
      <c r="B1153" s="10" t="s">
        <v>123</v>
      </c>
      <c r="C1153" s="41">
        <f t="array" ref="C1153">IF(IFERROR(INDEX(CATALOG_POINTS,MATCH(A1153,CATALOG_TASK,0)),"")="",IF(MAX(IF(IFERROR(FIND(CATALOG_BASE,A1153),0)=1,CATALOG_POINTS,0))=0,DAILY_POST_POINTS,MAX(IF(IFERROR(FIND(CATALOG_BASE,A1153),0)=1,CATALOG_POINTS,0))),IFERROR(INDEX(CATALOG_POINTS,MATCH(A1153,CATALOG_TASK,0)),""))</f>
        <v>1</v>
      </c>
      <c r="D1153" s="10" t="s">
        <v>804</v>
      </c>
      <c r="E1153" s="41" t="str">
        <f t="shared" si="1"/>
        <v>E0</v>
      </c>
    </row>
    <row r="1154" ht="15.75" customHeight="1">
      <c r="A1154" s="10" t="s">
        <v>805</v>
      </c>
      <c r="B1154" s="10" t="s">
        <v>123</v>
      </c>
      <c r="C1154" s="41">
        <f t="array" ref="C1154">IF(IFERROR(INDEX(CATALOG_POINTS,MATCH(A1154,CATALOG_TASK,0)),"")="",IF(MAX(IF(IFERROR(FIND(CATALOG_BASE,A1154),0)=1,CATALOG_POINTS,0))=0,DAILY_POST_POINTS,MAX(IF(IFERROR(FIND(CATALOG_BASE,A1154),0)=1,CATALOG_POINTS,0))),IFERROR(INDEX(CATALOG_POINTS,MATCH(A1154,CATALOG_TASK,0)),""))</f>
        <v>1</v>
      </c>
      <c r="D1154" s="10" t="s">
        <v>805</v>
      </c>
      <c r="E1154" s="41" t="str">
        <f t="shared" si="1"/>
        <v>PROX3</v>
      </c>
    </row>
    <row r="1155" ht="15.75" customHeight="1">
      <c r="A1155" s="10" t="s">
        <v>37</v>
      </c>
      <c r="B1155" s="10" t="s">
        <v>122</v>
      </c>
      <c r="C1155" s="41">
        <f t="array" ref="C1155">IF(IFERROR(INDEX(CATALOG_POINTS,MATCH(A1155,CATALOG_TASK,0)),"")="",IF(MAX(IF(IFERROR(FIND(CATALOG_BASE,A1155),0)=1,CATALOG_POINTS,0))=0,DAILY_POST_POINTS,MAX(IF(IFERROR(FIND(CATALOG_BASE,A1155),0)=1,CATALOG_POINTS,0))),IFERROR(INDEX(CATALOG_POINTS,MATCH(A1155,CATALOG_TASK,0)),""))</f>
        <v>2</v>
      </c>
      <c r="D1155" s="10" t="s">
        <v>805</v>
      </c>
      <c r="E1155" s="41" t="str">
        <f t="shared" si="1"/>
        <v>PROX3</v>
      </c>
    </row>
    <row r="1156" ht="15.75" customHeight="1">
      <c r="A1156" s="10" t="s">
        <v>178</v>
      </c>
      <c r="B1156" s="10" t="s">
        <v>127</v>
      </c>
      <c r="C1156" s="41">
        <f t="array" ref="C1156">IF(IFERROR(INDEX(CATALOG_POINTS,MATCH(A1156,CATALOG_TASK,0)),"")="",IF(MAX(IF(IFERROR(FIND(CATALOG_BASE,A1156),0)=1,CATALOG_POINTS,0))=0,DAILY_POST_POINTS,MAX(IF(IFERROR(FIND(CATALOG_BASE,A1156),0)=1,CATALOG_POINTS,0))),IFERROR(INDEX(CATALOG_POINTS,MATCH(A1156,CATALOG_TASK,0)),""))</f>
        <v>1</v>
      </c>
      <c r="D1156" s="10" t="s">
        <v>805</v>
      </c>
      <c r="E1156" s="41" t="str">
        <f t="shared" si="1"/>
        <v>PROX3</v>
      </c>
    </row>
    <row r="1157" ht="15.75" customHeight="1">
      <c r="A1157" s="10" t="s">
        <v>806</v>
      </c>
      <c r="B1157" s="10" t="s">
        <v>135</v>
      </c>
      <c r="C1157" s="41">
        <f t="array" ref="C1157">IF(IFERROR(INDEX(CATALOG_POINTS,MATCH(A1157,CATALOG_TASK,0)),"")="",IF(MAX(IF(IFERROR(FIND(CATALOG_BASE,A1157),0)=1,CATALOG_POINTS,0))=0,DAILY_POST_POINTS,MAX(IF(IFERROR(FIND(CATALOG_BASE,A1157),0)=1,CATALOG_POINTS,0))),IFERROR(INDEX(CATALOG_POINTS,MATCH(A1157,CATALOG_TASK,0)),""))</f>
        <v>1</v>
      </c>
      <c r="D1157" s="10" t="s">
        <v>806</v>
      </c>
      <c r="E1157" s="41" t="str">
        <f t="shared" si="1"/>
        <v>PROX3</v>
      </c>
    </row>
    <row r="1158" ht="15.75" customHeight="1">
      <c r="A1158" s="10" t="s">
        <v>807</v>
      </c>
      <c r="B1158" s="10" t="s">
        <v>120</v>
      </c>
      <c r="C1158" s="41">
        <f t="array" ref="C1158">IF(IFERROR(INDEX(CATALOG_POINTS,MATCH(A1158,CATALOG_TASK,0)),"")="",IF(MAX(IF(IFERROR(FIND(CATALOG_BASE,A1158),0)=1,CATALOG_POINTS,0))=0,DAILY_POST_POINTS,MAX(IF(IFERROR(FIND(CATALOG_BASE,A1158),0)=1,CATALOG_POINTS,0))),IFERROR(INDEX(CATALOG_POINTS,MATCH(A1158,CATALOG_TASK,0)),""))</f>
        <v>1</v>
      </c>
      <c r="D1158" s="10" t="s">
        <v>807</v>
      </c>
      <c r="E1158" s="41" t="str">
        <f t="shared" si="1"/>
        <v>PROX3</v>
      </c>
    </row>
    <row r="1159" ht="15.75" customHeight="1">
      <c r="A1159" s="10" t="s">
        <v>37</v>
      </c>
      <c r="B1159" s="10" t="s">
        <v>126</v>
      </c>
      <c r="C1159" s="41">
        <f t="array" ref="C1159">IF(IFERROR(INDEX(CATALOG_POINTS,MATCH(A1159,CATALOG_TASK,0)),"")="",IF(MAX(IF(IFERROR(FIND(CATALOG_BASE,A1159),0)=1,CATALOG_POINTS,0))=0,DAILY_POST_POINTS,MAX(IF(IFERROR(FIND(CATALOG_BASE,A1159),0)=1,CATALOG_POINTS,0))),IFERROR(INDEX(CATALOG_POINTS,MATCH(A1159,CATALOG_TASK,0)),""))</f>
        <v>2</v>
      </c>
      <c r="D1159" s="10" t="s">
        <v>807</v>
      </c>
      <c r="E1159" s="41" t="str">
        <f t="shared" si="1"/>
        <v>PROX3</v>
      </c>
    </row>
    <row r="1160" ht="15.75" customHeight="1">
      <c r="A1160" s="10" t="s">
        <v>808</v>
      </c>
      <c r="B1160" s="10" t="s">
        <v>129</v>
      </c>
      <c r="C1160" s="41">
        <f t="array" ref="C1160">IF(IFERROR(INDEX(CATALOG_POINTS,MATCH(A1160,CATALOG_TASK,0)),"")="",IF(MAX(IF(IFERROR(FIND(CATALOG_BASE,A1160),0)=1,CATALOG_POINTS,0))=0,DAILY_POST_POINTS,MAX(IF(IFERROR(FIND(CATALOG_BASE,A1160),0)=1,CATALOG_POINTS,0))),IFERROR(INDEX(CATALOG_POINTS,MATCH(A1160,CATALOG_TASK,0)),""))</f>
        <v>1</v>
      </c>
      <c r="D1160" s="10" t="s">
        <v>808</v>
      </c>
      <c r="E1160" s="41" t="str">
        <f t="shared" si="1"/>
        <v>PROX3</v>
      </c>
    </row>
    <row r="1161" ht="15.75" customHeight="1">
      <c r="A1161" s="10" t="s">
        <v>809</v>
      </c>
      <c r="B1161" s="10" t="s">
        <v>123</v>
      </c>
      <c r="C1161" s="41">
        <f t="array" ref="C1161">IF(IFERROR(INDEX(CATALOG_POINTS,MATCH(A1161,CATALOG_TASK,0)),"")="",IF(MAX(IF(IFERROR(FIND(CATALOG_BASE,A1161),0)=1,CATALOG_POINTS,0))=0,DAILY_POST_POINTS,MAX(IF(IFERROR(FIND(CATALOG_BASE,A1161),0)=1,CATALOG_POINTS,0))),IFERROR(INDEX(CATALOG_POINTS,MATCH(A1161,CATALOG_TASK,0)),""))</f>
        <v>1</v>
      </c>
      <c r="D1161" s="10" t="s">
        <v>809</v>
      </c>
      <c r="E1161" s="41" t="str">
        <f t="shared" si="1"/>
        <v>PROX4</v>
      </c>
    </row>
    <row r="1162" ht="15.75" customHeight="1">
      <c r="A1162" s="10" t="s">
        <v>34</v>
      </c>
      <c r="B1162" s="10" t="s">
        <v>121</v>
      </c>
      <c r="C1162" s="41">
        <f t="array" ref="C1162">IF(IFERROR(INDEX(CATALOG_POINTS,MATCH(A1162,CATALOG_TASK,0)),"")="",IF(MAX(IF(IFERROR(FIND(CATALOG_BASE,A1162),0)=1,CATALOG_POINTS,0))=0,DAILY_POST_POINTS,MAX(IF(IFERROR(FIND(CATALOG_BASE,A1162),0)=1,CATALOG_POINTS,0))),IFERROR(INDEX(CATALOG_POINTS,MATCH(A1162,CATALOG_TASK,0)),""))</f>
        <v>2</v>
      </c>
      <c r="D1162" s="10" t="s">
        <v>809</v>
      </c>
      <c r="E1162" s="41" t="str">
        <f t="shared" si="1"/>
        <v>PROX4</v>
      </c>
    </row>
    <row r="1163" ht="15.75" customHeight="1">
      <c r="A1163" s="10" t="s">
        <v>37</v>
      </c>
      <c r="B1163" s="10" t="s">
        <v>120</v>
      </c>
      <c r="C1163" s="41">
        <f t="array" ref="C1163">IF(IFERROR(INDEX(CATALOG_POINTS,MATCH(A1163,CATALOG_TASK,0)),"")="",IF(MAX(IF(IFERROR(FIND(CATALOG_BASE,A1163),0)=1,CATALOG_POINTS,0))=0,DAILY_POST_POINTS,MAX(IF(IFERROR(FIND(CATALOG_BASE,A1163),0)=1,CATALOG_POINTS,0))),IFERROR(INDEX(CATALOG_POINTS,MATCH(A1163,CATALOG_TASK,0)),""))</f>
        <v>2</v>
      </c>
      <c r="D1163" s="10" t="s">
        <v>809</v>
      </c>
      <c r="E1163" s="41" t="str">
        <f t="shared" si="1"/>
        <v>PROX4</v>
      </c>
    </row>
    <row r="1164" ht="15.75" customHeight="1">
      <c r="A1164" s="10" t="s">
        <v>24</v>
      </c>
      <c r="B1164" s="10" t="s">
        <v>121</v>
      </c>
      <c r="C1164" s="41">
        <f t="array" ref="C1164">IF(IFERROR(INDEX(CATALOG_POINTS,MATCH(A1164,CATALOG_TASK,0)),"")="",IF(MAX(IF(IFERROR(FIND(CATALOG_BASE,A1164),0)=1,CATALOG_POINTS,0))=0,DAILY_POST_POINTS,MAX(IF(IFERROR(FIND(CATALOG_BASE,A1164),0)=1,CATALOG_POINTS,0))),IFERROR(INDEX(CATALOG_POINTS,MATCH(A1164,CATALOG_TASK,0)),""))</f>
        <v>2</v>
      </c>
      <c r="D1164" s="10" t="s">
        <v>810</v>
      </c>
      <c r="E1164" s="41" t="str">
        <f t="shared" si="1"/>
        <v>PROX3</v>
      </c>
    </row>
    <row r="1165" ht="15.75" customHeight="1">
      <c r="A1165" s="10" t="s">
        <v>180</v>
      </c>
      <c r="B1165" s="10" t="s">
        <v>138</v>
      </c>
      <c r="C1165" s="41">
        <f t="array" ref="C1165">IF(IFERROR(INDEX(CATALOG_POINTS,MATCH(A1165,CATALOG_TASK,0)),"")="",IF(MAX(IF(IFERROR(FIND(CATALOG_BASE,A1165),0)=1,CATALOG_POINTS,0))=0,DAILY_POST_POINTS,MAX(IF(IFERROR(FIND(CATALOG_BASE,A1165),0)=1,CATALOG_POINTS,0))),IFERROR(INDEX(CATALOG_POINTS,MATCH(A1165,CATALOG_TASK,0)),""))</f>
        <v>1</v>
      </c>
      <c r="D1165" s="10" t="s">
        <v>810</v>
      </c>
      <c r="E1165" s="41" t="str">
        <f t="shared" si="1"/>
        <v>PROX3</v>
      </c>
    </row>
    <row r="1166" ht="15.75" customHeight="1">
      <c r="A1166" s="10" t="s">
        <v>37</v>
      </c>
      <c r="B1166" s="10" t="s">
        <v>121</v>
      </c>
      <c r="C1166" s="41">
        <f t="array" ref="C1166">IF(IFERROR(INDEX(CATALOG_POINTS,MATCH(A1166,CATALOG_TASK,0)),"")="",IF(MAX(IF(IFERROR(FIND(CATALOG_BASE,A1166),0)=1,CATALOG_POINTS,0))=0,DAILY_POST_POINTS,MAX(IF(IFERROR(FIND(CATALOG_BASE,A1166),0)=1,CATALOG_POINTS,0))),IFERROR(INDEX(CATALOG_POINTS,MATCH(A1166,CATALOG_TASK,0)),""))</f>
        <v>2</v>
      </c>
      <c r="D1166" s="10" t="s">
        <v>810</v>
      </c>
      <c r="E1166" s="41" t="str">
        <f t="shared" si="1"/>
        <v>PROX3</v>
      </c>
    </row>
    <row r="1167" ht="15.75" customHeight="1">
      <c r="A1167" s="10" t="s">
        <v>168</v>
      </c>
      <c r="B1167" s="10" t="s">
        <v>119</v>
      </c>
      <c r="C1167" s="41">
        <f t="array" ref="C1167">IF(IFERROR(INDEX(CATALOG_POINTS,MATCH(A1167,CATALOG_TASK,0)),"")="",IF(MAX(IF(IFERROR(FIND(CATALOG_BASE,A1167),0)=1,CATALOG_POINTS,0))=0,DAILY_POST_POINTS,MAX(IF(IFERROR(FIND(CATALOG_BASE,A1167),0)=1,CATALOG_POINTS,0))),IFERROR(INDEX(CATALOG_POINTS,MATCH(A1167,CATALOG_TASK,0)),""))</f>
        <v>1</v>
      </c>
      <c r="D1167" s="10" t="s">
        <v>810</v>
      </c>
      <c r="E1167" s="41" t="str">
        <f t="shared" si="1"/>
        <v>PROX3</v>
      </c>
    </row>
    <row r="1168" ht="15.75" customHeight="1">
      <c r="A1168" s="10" t="s">
        <v>55</v>
      </c>
      <c r="B1168" s="10" t="s">
        <v>139</v>
      </c>
      <c r="C1168" s="41">
        <f t="array" ref="C1168">IF(IFERROR(INDEX(CATALOG_POINTS,MATCH(A1168,CATALOG_TASK,0)),"")="",IF(MAX(IF(IFERROR(FIND(CATALOG_BASE,A1168),0)=1,CATALOG_POINTS,0))=0,DAILY_POST_POINTS,MAX(IF(IFERROR(FIND(CATALOG_BASE,A1168),0)=1,CATALOG_POINTS,0))),IFERROR(INDEX(CATALOG_POINTS,MATCH(A1168,CATALOG_TASK,0)),""))</f>
        <v>8</v>
      </c>
      <c r="D1168" s="10" t="s">
        <v>810</v>
      </c>
      <c r="E1168" s="41" t="str">
        <f t="shared" si="1"/>
        <v>PROX3</v>
      </c>
    </row>
    <row r="1169" ht="15.75" customHeight="1">
      <c r="A1169" s="10" t="s">
        <v>810</v>
      </c>
      <c r="B1169" s="10" t="s">
        <v>123</v>
      </c>
      <c r="C1169" s="41">
        <f t="array" ref="C1169">IF(IFERROR(INDEX(CATALOG_POINTS,MATCH(A1169,CATALOG_TASK,0)),"")="",IF(MAX(IF(IFERROR(FIND(CATALOG_BASE,A1169),0)=1,CATALOG_POINTS,0))=0,DAILY_POST_POINTS,MAX(IF(IFERROR(FIND(CATALOG_BASE,A1169),0)=1,CATALOG_POINTS,0))),IFERROR(INDEX(CATALOG_POINTS,MATCH(A1169,CATALOG_TASK,0)),""))</f>
        <v>1</v>
      </c>
      <c r="D1169" s="10" t="s">
        <v>810</v>
      </c>
      <c r="E1169" s="41" t="str">
        <f t="shared" si="1"/>
        <v>PROX3</v>
      </c>
    </row>
    <row r="1170" ht="15.75" customHeight="1">
      <c r="A1170" s="10" t="s">
        <v>37</v>
      </c>
      <c r="B1170" s="10" t="s">
        <v>121</v>
      </c>
      <c r="C1170" s="41">
        <f t="array" ref="C1170">IF(IFERROR(INDEX(CATALOG_POINTS,MATCH(A1170,CATALOG_TASK,0)),"")="",IF(MAX(IF(IFERROR(FIND(CATALOG_BASE,A1170),0)=1,CATALOG_POINTS,0))=0,DAILY_POST_POINTS,MAX(IF(IFERROR(FIND(CATALOG_BASE,A1170),0)=1,CATALOG_POINTS,0))),IFERROR(INDEX(CATALOG_POINTS,MATCH(A1170,CATALOG_TASK,0)),""))</f>
        <v>2</v>
      </c>
      <c r="D1170" s="10" t="s">
        <v>810</v>
      </c>
      <c r="E1170" s="41" t="str">
        <f t="shared" si="1"/>
        <v>PROX3</v>
      </c>
    </row>
    <row r="1171" ht="15.75" customHeight="1">
      <c r="A1171" s="10" t="s">
        <v>37</v>
      </c>
      <c r="B1171" s="10" t="s">
        <v>121</v>
      </c>
      <c r="C1171" s="41">
        <f t="array" ref="C1171">IF(IFERROR(INDEX(CATALOG_POINTS,MATCH(A1171,CATALOG_TASK,0)),"")="",IF(MAX(IF(IFERROR(FIND(CATALOG_BASE,A1171),0)=1,CATALOG_POINTS,0))=0,DAILY_POST_POINTS,MAX(IF(IFERROR(FIND(CATALOG_BASE,A1171),0)=1,CATALOG_POINTS,0))),IFERROR(INDEX(CATALOG_POINTS,MATCH(A1171,CATALOG_TASK,0)),""))</f>
        <v>2</v>
      </c>
      <c r="D1171" s="10" t="s">
        <v>810</v>
      </c>
      <c r="E1171" s="41" t="str">
        <f t="shared" si="1"/>
        <v>PROX3</v>
      </c>
    </row>
    <row r="1172" ht="15.75" customHeight="1">
      <c r="A1172" s="10" t="s">
        <v>174</v>
      </c>
      <c r="B1172" s="10" t="s">
        <v>149</v>
      </c>
      <c r="C1172" s="41">
        <f t="array" ref="C1172">IF(IFERROR(INDEX(CATALOG_POINTS,MATCH(A1172,CATALOG_TASK,0)),"")="",IF(MAX(IF(IFERROR(FIND(CATALOG_BASE,A1172),0)=1,CATALOG_POINTS,0))=0,DAILY_POST_POINTS,MAX(IF(IFERROR(FIND(CATALOG_BASE,A1172),0)=1,CATALOG_POINTS,0))),IFERROR(INDEX(CATALOG_POINTS,MATCH(A1172,CATALOG_TASK,0)),""))</f>
        <v>1</v>
      </c>
      <c r="D1172" s="10" t="s">
        <v>810</v>
      </c>
      <c r="E1172" s="41" t="str">
        <f t="shared" si="1"/>
        <v>PROX3</v>
      </c>
    </row>
    <row r="1173" ht="15.75" customHeight="1">
      <c r="A1173" s="10" t="s">
        <v>55</v>
      </c>
      <c r="B1173" s="10" t="s">
        <v>139</v>
      </c>
      <c r="C1173" s="41">
        <f t="array" ref="C1173">IF(IFERROR(INDEX(CATALOG_POINTS,MATCH(A1173,CATALOG_TASK,0)),"")="",IF(MAX(IF(IFERROR(FIND(CATALOG_BASE,A1173),0)=1,CATALOG_POINTS,0))=0,DAILY_POST_POINTS,MAX(IF(IFERROR(FIND(CATALOG_BASE,A1173),0)=1,CATALOG_POINTS,0))),IFERROR(INDEX(CATALOG_POINTS,MATCH(A1173,CATALOG_TASK,0)),""))</f>
        <v>8</v>
      </c>
      <c r="D1173" s="10" t="s">
        <v>810</v>
      </c>
      <c r="E1173" s="41" t="str">
        <f t="shared" si="1"/>
        <v>PROX3</v>
      </c>
    </row>
    <row r="1174" ht="15.75" customHeight="1">
      <c r="A1174" s="10" t="s">
        <v>37</v>
      </c>
      <c r="B1174" s="10" t="s">
        <v>120</v>
      </c>
      <c r="C1174" s="41">
        <f t="array" ref="C1174">IF(IFERROR(INDEX(CATALOG_POINTS,MATCH(A1174,CATALOG_TASK,0)),"")="",IF(MAX(IF(IFERROR(FIND(CATALOG_BASE,A1174),0)=1,CATALOG_POINTS,0))=0,DAILY_POST_POINTS,MAX(IF(IFERROR(FIND(CATALOG_BASE,A1174),0)=1,CATALOG_POINTS,0))),IFERROR(INDEX(CATALOG_POINTS,MATCH(A1174,CATALOG_TASK,0)),""))</f>
        <v>2</v>
      </c>
      <c r="D1174" s="10" t="s">
        <v>810</v>
      </c>
      <c r="E1174" s="41" t="str">
        <f t="shared" si="1"/>
        <v>PROX3</v>
      </c>
    </row>
    <row r="1175" ht="15.75" customHeight="1">
      <c r="A1175" s="10" t="s">
        <v>37</v>
      </c>
      <c r="B1175" s="10" t="s">
        <v>121</v>
      </c>
      <c r="C1175" s="41">
        <f t="array" ref="C1175">IF(IFERROR(INDEX(CATALOG_POINTS,MATCH(A1175,CATALOG_TASK,0)),"")="",IF(MAX(IF(IFERROR(FIND(CATALOG_BASE,A1175),0)=1,CATALOG_POINTS,0))=0,DAILY_POST_POINTS,MAX(IF(IFERROR(FIND(CATALOG_BASE,A1175),0)=1,CATALOG_POINTS,0))),IFERROR(INDEX(CATALOG_POINTS,MATCH(A1175,CATALOG_TASK,0)),""))</f>
        <v>2</v>
      </c>
      <c r="D1175" s="10" t="s">
        <v>810</v>
      </c>
      <c r="E1175" s="41" t="str">
        <f t="shared" si="1"/>
        <v>PROX3</v>
      </c>
    </row>
    <row r="1176" ht="15.75" customHeight="1">
      <c r="A1176" s="10" t="s">
        <v>177</v>
      </c>
      <c r="B1176" s="10" t="s">
        <v>139</v>
      </c>
      <c r="C1176" s="41">
        <f t="array" ref="C1176">IF(IFERROR(INDEX(CATALOG_POINTS,MATCH(A1176,CATALOG_TASK,0)),"")="",IF(MAX(IF(IFERROR(FIND(CATALOG_BASE,A1176),0)=1,CATALOG_POINTS,0))=0,DAILY_POST_POINTS,MAX(IF(IFERROR(FIND(CATALOG_BASE,A1176),0)=1,CATALOG_POINTS,0))),IFERROR(INDEX(CATALOG_POINTS,MATCH(A1176,CATALOG_TASK,0)),""))</f>
        <v>6</v>
      </c>
      <c r="D1176" s="10" t="s">
        <v>810</v>
      </c>
      <c r="E1176" s="41" t="str">
        <f t="shared" si="1"/>
        <v>PROX3</v>
      </c>
    </row>
    <row r="1177" ht="15.75" customHeight="1">
      <c r="A1177" s="10" t="s">
        <v>168</v>
      </c>
      <c r="B1177" s="10" t="s">
        <v>119</v>
      </c>
      <c r="C1177" s="41">
        <f t="array" ref="C1177">IF(IFERROR(INDEX(CATALOG_POINTS,MATCH(A1177,CATALOG_TASK,0)),"")="",IF(MAX(IF(IFERROR(FIND(CATALOG_BASE,A1177),0)=1,CATALOG_POINTS,0))=0,DAILY_POST_POINTS,MAX(IF(IFERROR(FIND(CATALOG_BASE,A1177),0)=1,CATALOG_POINTS,0))),IFERROR(INDEX(CATALOG_POINTS,MATCH(A1177,CATALOG_TASK,0)),""))</f>
        <v>1</v>
      </c>
      <c r="D1177" s="10" t="s">
        <v>810</v>
      </c>
      <c r="E1177" s="41" t="str">
        <f t="shared" si="1"/>
        <v>PROX3</v>
      </c>
    </row>
    <row r="1178" ht="15.75" customHeight="1">
      <c r="A1178" s="10" t="s">
        <v>178</v>
      </c>
      <c r="B1178" s="10" t="s">
        <v>117</v>
      </c>
      <c r="C1178" s="41">
        <f t="array" ref="C1178">IF(IFERROR(INDEX(CATALOG_POINTS,MATCH(A1178,CATALOG_TASK,0)),"")="",IF(MAX(IF(IFERROR(FIND(CATALOG_BASE,A1178),0)=1,CATALOG_POINTS,0))=0,DAILY_POST_POINTS,MAX(IF(IFERROR(FIND(CATALOG_BASE,A1178),0)=1,CATALOG_POINTS,0))),IFERROR(INDEX(CATALOG_POINTS,MATCH(A1178,CATALOG_TASK,0)),""))</f>
        <v>1</v>
      </c>
      <c r="D1178" s="10" t="s">
        <v>810</v>
      </c>
      <c r="E1178" s="41" t="str">
        <f t="shared" si="1"/>
        <v>PROX3</v>
      </c>
    </row>
    <row r="1179" ht="15.75" customHeight="1">
      <c r="A1179" s="10" t="s">
        <v>34</v>
      </c>
      <c r="B1179" s="10" t="s">
        <v>119</v>
      </c>
      <c r="C1179" s="41">
        <f t="array" ref="C1179">IF(IFERROR(INDEX(CATALOG_POINTS,MATCH(A1179,CATALOG_TASK,0)),"")="",IF(MAX(IF(IFERROR(FIND(CATALOG_BASE,A1179),0)=1,CATALOG_POINTS,0))=0,DAILY_POST_POINTS,MAX(IF(IFERROR(FIND(CATALOG_BASE,A1179),0)=1,CATALOG_POINTS,0))),IFERROR(INDEX(CATALOG_POINTS,MATCH(A1179,CATALOG_TASK,0)),""))</f>
        <v>2</v>
      </c>
      <c r="D1179" s="10" t="s">
        <v>810</v>
      </c>
      <c r="E1179" s="41" t="str">
        <f t="shared" si="1"/>
        <v>PROX3</v>
      </c>
    </row>
    <row r="1180" ht="15.75" customHeight="1">
      <c r="A1180" s="10" t="s">
        <v>37</v>
      </c>
      <c r="B1180" s="10" t="s">
        <v>122</v>
      </c>
      <c r="C1180" s="41">
        <f t="array" ref="C1180">IF(IFERROR(INDEX(CATALOG_POINTS,MATCH(A1180,CATALOG_TASK,0)),"")="",IF(MAX(IF(IFERROR(FIND(CATALOG_BASE,A1180),0)=1,CATALOG_POINTS,0))=0,DAILY_POST_POINTS,MAX(IF(IFERROR(FIND(CATALOG_BASE,A1180),0)=1,CATALOG_POINTS,0))),IFERROR(INDEX(CATALOG_POINTS,MATCH(A1180,CATALOG_TASK,0)),""))</f>
        <v>2</v>
      </c>
      <c r="D1180" s="10" t="s">
        <v>810</v>
      </c>
      <c r="E1180" s="41" t="str">
        <f t="shared" si="1"/>
        <v>PROX3</v>
      </c>
    </row>
    <row r="1181" ht="15.75" customHeight="1">
      <c r="A1181" s="10" t="s">
        <v>168</v>
      </c>
      <c r="B1181" s="10" t="s">
        <v>149</v>
      </c>
      <c r="C1181" s="41">
        <f t="array" ref="C1181">IF(IFERROR(INDEX(CATALOG_POINTS,MATCH(A1181,CATALOG_TASK,0)),"")="",IF(MAX(IF(IFERROR(FIND(CATALOG_BASE,A1181),0)=1,CATALOG_POINTS,0))=0,DAILY_POST_POINTS,MAX(IF(IFERROR(FIND(CATALOG_BASE,A1181),0)=1,CATALOG_POINTS,0))),IFERROR(INDEX(CATALOG_POINTS,MATCH(A1181,CATALOG_TASK,0)),""))</f>
        <v>1</v>
      </c>
      <c r="D1181" s="10" t="s">
        <v>810</v>
      </c>
      <c r="E1181" s="41" t="str">
        <f t="shared" si="1"/>
        <v>PROX3</v>
      </c>
    </row>
    <row r="1182" ht="15.75" customHeight="1">
      <c r="A1182" s="10" t="s">
        <v>168</v>
      </c>
      <c r="B1182" s="10" t="s">
        <v>119</v>
      </c>
      <c r="C1182" s="41">
        <f t="array" ref="C1182">IF(IFERROR(INDEX(CATALOG_POINTS,MATCH(A1182,CATALOG_TASK,0)),"")="",IF(MAX(IF(IFERROR(FIND(CATALOG_BASE,A1182),0)=1,CATALOG_POINTS,0))=0,DAILY_POST_POINTS,MAX(IF(IFERROR(FIND(CATALOG_BASE,A1182),0)=1,CATALOG_POINTS,0))),IFERROR(INDEX(CATALOG_POINTS,MATCH(A1182,CATALOG_TASK,0)),""))</f>
        <v>1</v>
      </c>
      <c r="D1182" s="10" t="s">
        <v>810</v>
      </c>
      <c r="E1182" s="41" t="str">
        <f t="shared" si="1"/>
        <v>PROX3</v>
      </c>
    </row>
    <row r="1183" ht="15.75" customHeight="1">
      <c r="A1183" s="10" t="s">
        <v>168</v>
      </c>
      <c r="B1183" s="10" t="s">
        <v>119</v>
      </c>
      <c r="C1183" s="41">
        <f t="array" ref="C1183">IF(IFERROR(INDEX(CATALOG_POINTS,MATCH(A1183,CATALOG_TASK,0)),"")="",IF(MAX(IF(IFERROR(FIND(CATALOG_BASE,A1183),0)=1,CATALOG_POINTS,0))=0,DAILY_POST_POINTS,MAX(IF(IFERROR(FIND(CATALOG_BASE,A1183),0)=1,CATALOG_POINTS,0))),IFERROR(INDEX(CATALOG_POINTS,MATCH(A1183,CATALOG_TASK,0)),""))</f>
        <v>1</v>
      </c>
      <c r="D1183" s="10" t="s">
        <v>810</v>
      </c>
      <c r="E1183" s="41" t="str">
        <f t="shared" si="1"/>
        <v>PROX3</v>
      </c>
    </row>
    <row r="1184" ht="15.75" customHeight="1">
      <c r="A1184" s="10" t="s">
        <v>37</v>
      </c>
      <c r="B1184" s="10" t="s">
        <v>126</v>
      </c>
      <c r="C1184" s="41">
        <f t="array" ref="C1184">IF(IFERROR(INDEX(CATALOG_POINTS,MATCH(A1184,CATALOG_TASK,0)),"")="",IF(MAX(IF(IFERROR(FIND(CATALOG_BASE,A1184),0)=1,CATALOG_POINTS,0))=0,DAILY_POST_POINTS,MAX(IF(IFERROR(FIND(CATALOG_BASE,A1184),0)=1,CATALOG_POINTS,0))),IFERROR(INDEX(CATALOG_POINTS,MATCH(A1184,CATALOG_TASK,0)),""))</f>
        <v>2</v>
      </c>
      <c r="D1184" s="10" t="s">
        <v>811</v>
      </c>
      <c r="E1184" s="41" t="str">
        <f t="shared" si="1"/>
        <v>PROX3</v>
      </c>
    </row>
    <row r="1185" ht="15.75" customHeight="1">
      <c r="A1185" s="10" t="s">
        <v>811</v>
      </c>
      <c r="B1185" s="10" t="s">
        <v>117</v>
      </c>
      <c r="C1185" s="41">
        <f t="array" ref="C1185">IF(IFERROR(INDEX(CATALOG_POINTS,MATCH(A1185,CATALOG_TASK,0)),"")="",IF(MAX(IF(IFERROR(FIND(CATALOG_BASE,A1185),0)=1,CATALOG_POINTS,0))=0,DAILY_POST_POINTS,MAX(IF(IFERROR(FIND(CATALOG_BASE,A1185),0)=1,CATALOG_POINTS,0))),IFERROR(INDEX(CATALOG_POINTS,MATCH(A1185,CATALOG_TASK,0)),""))</f>
        <v>1</v>
      </c>
      <c r="D1185" s="10" t="s">
        <v>811</v>
      </c>
      <c r="E1185" s="41" t="str">
        <f t="shared" si="1"/>
        <v>PROX3</v>
      </c>
    </row>
    <row r="1186" ht="15.75" customHeight="1">
      <c r="A1186" s="10" t="s">
        <v>812</v>
      </c>
      <c r="B1186" s="10" t="s">
        <v>134</v>
      </c>
      <c r="C1186" s="41">
        <f t="array" ref="C1186">IF(IFERROR(INDEX(CATALOG_POINTS,MATCH(A1186,CATALOG_TASK,0)),"")="",IF(MAX(IF(IFERROR(FIND(CATALOG_BASE,A1186),0)=1,CATALOG_POINTS,0))=0,DAILY_POST_POINTS,MAX(IF(IFERROR(FIND(CATALOG_BASE,A1186),0)=1,CATALOG_POINTS,0))),IFERROR(INDEX(CATALOG_POINTS,MATCH(A1186,CATALOG_TASK,0)),""))</f>
        <v>1</v>
      </c>
      <c r="D1186" s="10" t="s">
        <v>812</v>
      </c>
      <c r="E1186" s="41" t="str">
        <f t="shared" si="1"/>
        <v>PROX3</v>
      </c>
    </row>
    <row r="1187" ht="15.75" customHeight="1">
      <c r="A1187" s="10" t="s">
        <v>813</v>
      </c>
      <c r="B1187" s="10" t="s">
        <v>137</v>
      </c>
      <c r="C1187" s="41">
        <f t="array" ref="C1187">IF(IFERROR(INDEX(CATALOG_POINTS,MATCH(A1187,CATALOG_TASK,0)),"")="",IF(MAX(IF(IFERROR(FIND(CATALOG_BASE,A1187),0)=1,CATALOG_POINTS,0))=0,DAILY_POST_POINTS,MAX(IF(IFERROR(FIND(CATALOG_BASE,A1187),0)=1,CATALOG_POINTS,0))),IFERROR(INDEX(CATALOG_POINTS,MATCH(A1187,CATALOG_TASK,0)),""))</f>
        <v>1</v>
      </c>
      <c r="D1187" s="10" t="s">
        <v>813</v>
      </c>
      <c r="E1187" s="41" t="str">
        <f t="shared" si="1"/>
        <v>PROX3</v>
      </c>
    </row>
    <row r="1188" ht="15.75" customHeight="1">
      <c r="A1188" s="10" t="s">
        <v>814</v>
      </c>
      <c r="B1188" s="10" t="s">
        <v>132</v>
      </c>
      <c r="C1188" s="41">
        <f t="array" ref="C1188">IF(IFERROR(INDEX(CATALOG_POINTS,MATCH(A1188,CATALOG_TASK,0)),"")="",IF(MAX(IF(IFERROR(FIND(CATALOG_BASE,A1188),0)=1,CATALOG_POINTS,0))=0,DAILY_POST_POINTS,MAX(IF(IFERROR(FIND(CATALOG_BASE,A1188),0)=1,CATALOG_POINTS,0))),IFERROR(INDEX(CATALOG_POINTS,MATCH(A1188,CATALOG_TASK,0)),""))</f>
        <v>1</v>
      </c>
      <c r="D1188" s="10" t="s">
        <v>814</v>
      </c>
      <c r="E1188" s="41" t="str">
        <f t="shared" si="1"/>
        <v>PROX4</v>
      </c>
    </row>
    <row r="1189" ht="15.75" customHeight="1">
      <c r="A1189" s="10" t="s">
        <v>37</v>
      </c>
      <c r="B1189" s="10" t="s">
        <v>117</v>
      </c>
      <c r="C1189" s="41">
        <f t="array" ref="C1189">IF(IFERROR(INDEX(CATALOG_POINTS,MATCH(A1189,CATALOG_TASK,0)),"")="",IF(MAX(IF(IFERROR(FIND(CATALOG_BASE,A1189),0)=1,CATALOG_POINTS,0))=0,DAILY_POST_POINTS,MAX(IF(IFERROR(FIND(CATALOG_BASE,A1189),0)=1,CATALOG_POINTS,0))),IFERROR(INDEX(CATALOG_POINTS,MATCH(A1189,CATALOG_TASK,0)),""))</f>
        <v>2</v>
      </c>
      <c r="D1189" s="10" t="s">
        <v>815</v>
      </c>
      <c r="E1189" s="41" t="str">
        <f t="shared" si="1"/>
        <v>PROX3</v>
      </c>
    </row>
    <row r="1190" ht="15.75" customHeight="1">
      <c r="A1190" s="10" t="s">
        <v>815</v>
      </c>
      <c r="B1190" s="10" t="s">
        <v>121</v>
      </c>
      <c r="C1190" s="41">
        <f t="array" ref="C1190">IF(IFERROR(INDEX(CATALOG_POINTS,MATCH(A1190,CATALOG_TASK,0)),"")="",IF(MAX(IF(IFERROR(FIND(CATALOG_BASE,A1190),0)=1,CATALOG_POINTS,0))=0,DAILY_POST_POINTS,MAX(IF(IFERROR(FIND(CATALOG_BASE,A1190),0)=1,CATALOG_POINTS,0))),IFERROR(INDEX(CATALOG_POINTS,MATCH(A1190,CATALOG_TASK,0)),""))</f>
        <v>1</v>
      </c>
      <c r="D1190" s="10" t="s">
        <v>815</v>
      </c>
      <c r="E1190" s="41" t="str">
        <f t="shared" si="1"/>
        <v>PROX3</v>
      </c>
    </row>
    <row r="1191" ht="15.75" customHeight="1">
      <c r="A1191" s="10" t="s">
        <v>816</v>
      </c>
      <c r="B1191" s="10" t="s">
        <v>129</v>
      </c>
      <c r="C1191" s="41">
        <f t="array" ref="C1191">IF(IFERROR(INDEX(CATALOG_POINTS,MATCH(A1191,CATALOG_TASK,0)),"")="",IF(MAX(IF(IFERROR(FIND(CATALOG_BASE,A1191),0)=1,CATALOG_POINTS,0))=0,DAILY_POST_POINTS,MAX(IF(IFERROR(FIND(CATALOG_BASE,A1191),0)=1,CATALOG_POINTS,0))),IFERROR(INDEX(CATALOG_POINTS,MATCH(A1191,CATALOG_TASK,0)),""))</f>
        <v>1</v>
      </c>
      <c r="D1191" s="10" t="s">
        <v>816</v>
      </c>
      <c r="E1191" s="41" t="str">
        <f t="shared" si="1"/>
        <v>PROX3</v>
      </c>
    </row>
    <row r="1192" ht="15.75" customHeight="1">
      <c r="A1192" s="10" t="s">
        <v>168</v>
      </c>
      <c r="B1192" s="10" t="s">
        <v>117</v>
      </c>
      <c r="C1192" s="41">
        <f t="array" ref="C1192">IF(IFERROR(INDEX(CATALOG_POINTS,MATCH(A1192,CATALOG_TASK,0)),"")="",IF(MAX(IF(IFERROR(FIND(CATALOG_BASE,A1192),0)=1,CATALOG_POINTS,0))=0,DAILY_POST_POINTS,MAX(IF(IFERROR(FIND(CATALOG_BASE,A1192),0)=1,CATALOG_POINTS,0))),IFERROR(INDEX(CATALOG_POINTS,MATCH(A1192,CATALOG_TASK,0)),""))</f>
        <v>1</v>
      </c>
      <c r="D1192" s="10" t="s">
        <v>817</v>
      </c>
      <c r="E1192" s="41" t="str">
        <f t="shared" si="1"/>
        <v>PROX3</v>
      </c>
    </row>
    <row r="1193" ht="15.75" customHeight="1">
      <c r="A1193" s="10" t="s">
        <v>817</v>
      </c>
      <c r="B1193" s="10" t="s">
        <v>131</v>
      </c>
      <c r="C1193" s="41">
        <f t="array" ref="C1193">IF(IFERROR(INDEX(CATALOG_POINTS,MATCH(A1193,CATALOG_TASK,0)),"")="",IF(MAX(IF(IFERROR(FIND(CATALOG_BASE,A1193),0)=1,CATALOG_POINTS,0))=0,DAILY_POST_POINTS,MAX(IF(IFERROR(FIND(CATALOG_BASE,A1193),0)=1,CATALOG_POINTS,0))),IFERROR(INDEX(CATALOG_POINTS,MATCH(A1193,CATALOG_TASK,0)),""))</f>
        <v>1</v>
      </c>
      <c r="D1193" s="10" t="s">
        <v>817</v>
      </c>
      <c r="E1193" s="41" t="str">
        <f t="shared" si="1"/>
        <v>PROX3</v>
      </c>
    </row>
    <row r="1194" ht="15.75" customHeight="1">
      <c r="A1194" s="10" t="s">
        <v>818</v>
      </c>
      <c r="B1194" s="10" t="s">
        <v>123</v>
      </c>
      <c r="C1194" s="41">
        <f t="array" ref="C1194">IF(IFERROR(INDEX(CATALOG_POINTS,MATCH(A1194,CATALOG_TASK,0)),"")="",IF(MAX(IF(IFERROR(FIND(CATALOG_BASE,A1194),0)=1,CATALOG_POINTS,0))=0,DAILY_POST_POINTS,MAX(IF(IFERROR(FIND(CATALOG_BASE,A1194),0)=1,CATALOG_POINTS,0))),IFERROR(INDEX(CATALOG_POINTS,MATCH(A1194,CATALOG_TASK,0)),""))</f>
        <v>1</v>
      </c>
      <c r="D1194" s="10" t="s">
        <v>818</v>
      </c>
      <c r="E1194" s="41" t="str">
        <f t="shared" si="1"/>
        <v>PROX3</v>
      </c>
    </row>
    <row r="1195" ht="15.75" customHeight="1">
      <c r="A1195" s="10" t="s">
        <v>37</v>
      </c>
      <c r="B1195" s="10" t="s">
        <v>120</v>
      </c>
      <c r="C1195" s="41">
        <f t="array" ref="C1195">IF(IFERROR(INDEX(CATALOG_POINTS,MATCH(A1195,CATALOG_TASK,0)),"")="",IF(MAX(IF(IFERROR(FIND(CATALOG_BASE,A1195),0)=1,CATALOG_POINTS,0))=0,DAILY_POST_POINTS,MAX(IF(IFERROR(FIND(CATALOG_BASE,A1195),0)=1,CATALOG_POINTS,0))),IFERROR(INDEX(CATALOG_POINTS,MATCH(A1195,CATALOG_TASK,0)),""))</f>
        <v>2</v>
      </c>
      <c r="D1195" s="10" t="s">
        <v>819</v>
      </c>
      <c r="E1195" s="41" t="str">
        <f t="shared" si="1"/>
        <v>PROX3</v>
      </c>
    </row>
    <row r="1196" ht="15.75" customHeight="1">
      <c r="A1196" s="10" t="s">
        <v>819</v>
      </c>
      <c r="B1196" s="10" t="s">
        <v>119</v>
      </c>
      <c r="C1196" s="41">
        <f t="array" ref="C1196">IF(IFERROR(INDEX(CATALOG_POINTS,MATCH(A1196,CATALOG_TASK,0)),"")="",IF(MAX(IF(IFERROR(FIND(CATALOG_BASE,A1196),0)=1,CATALOG_POINTS,0))=0,DAILY_POST_POINTS,MAX(IF(IFERROR(FIND(CATALOG_BASE,A1196),0)=1,CATALOG_POINTS,0))),IFERROR(INDEX(CATALOG_POINTS,MATCH(A1196,CATALOG_TASK,0)),""))</f>
        <v>1</v>
      </c>
      <c r="D1196" s="10" t="s">
        <v>819</v>
      </c>
      <c r="E1196" s="41" t="str">
        <f t="shared" si="1"/>
        <v>PROX3</v>
      </c>
    </row>
    <row r="1197" ht="15.75" customHeight="1">
      <c r="A1197" s="10" t="s">
        <v>37</v>
      </c>
      <c r="B1197" s="10" t="s">
        <v>117</v>
      </c>
      <c r="C1197" s="41">
        <f t="array" ref="C1197">IF(IFERROR(INDEX(CATALOG_POINTS,MATCH(A1197,CATALOG_TASK,0)),"")="",IF(MAX(IF(IFERROR(FIND(CATALOG_BASE,A1197),0)=1,CATALOG_POINTS,0))=0,DAILY_POST_POINTS,MAX(IF(IFERROR(FIND(CATALOG_BASE,A1197),0)=1,CATALOG_POINTS,0))),IFERROR(INDEX(CATALOG_POINTS,MATCH(A1197,CATALOG_TASK,0)),""))</f>
        <v>2</v>
      </c>
      <c r="D1197" s="10" t="s">
        <v>819</v>
      </c>
      <c r="E1197" s="41" t="str">
        <f t="shared" si="1"/>
        <v>PROX3</v>
      </c>
    </row>
    <row r="1198" ht="15.75" customHeight="1">
      <c r="A1198" s="10" t="s">
        <v>37</v>
      </c>
      <c r="B1198" s="10" t="s">
        <v>122</v>
      </c>
      <c r="C1198" s="41">
        <f t="array" ref="C1198">IF(IFERROR(INDEX(CATALOG_POINTS,MATCH(A1198,CATALOG_TASK,0)),"")="",IF(MAX(IF(IFERROR(FIND(CATALOG_BASE,A1198),0)=1,CATALOG_POINTS,0))=0,DAILY_POST_POINTS,MAX(IF(IFERROR(FIND(CATALOG_BASE,A1198),0)=1,CATALOG_POINTS,0))),IFERROR(INDEX(CATALOG_POINTS,MATCH(A1198,CATALOG_TASK,0)),""))</f>
        <v>2</v>
      </c>
      <c r="D1198" s="10" t="s">
        <v>819</v>
      </c>
      <c r="E1198" s="41" t="str">
        <f t="shared" si="1"/>
        <v>PROX3</v>
      </c>
    </row>
    <row r="1199" ht="15.75" customHeight="1">
      <c r="A1199" s="10" t="s">
        <v>52</v>
      </c>
      <c r="B1199" s="10" t="s">
        <v>142</v>
      </c>
      <c r="C1199" s="41">
        <f t="array" ref="C1199">IF(IFERROR(INDEX(CATALOG_POINTS,MATCH(A1199,CATALOG_TASK,0)),"")="",IF(MAX(IF(IFERROR(FIND(CATALOG_BASE,A1199),0)=1,CATALOG_POINTS,0))=0,DAILY_POST_POINTS,MAX(IF(IFERROR(FIND(CATALOG_BASE,A1199),0)=1,CATALOG_POINTS,0))),IFERROR(INDEX(CATALOG_POINTS,MATCH(A1199,CATALOG_TASK,0)),""))</f>
        <v>10</v>
      </c>
      <c r="D1199" s="10" t="s">
        <v>819</v>
      </c>
      <c r="E1199" s="41" t="str">
        <f t="shared" si="1"/>
        <v>PROX3</v>
      </c>
    </row>
    <row r="1200" ht="15.75" customHeight="1">
      <c r="A1200" s="10" t="s">
        <v>820</v>
      </c>
      <c r="B1200" s="10" t="s">
        <v>136</v>
      </c>
      <c r="C1200" s="41">
        <f t="array" ref="C1200">IF(IFERROR(INDEX(CATALOG_POINTS,MATCH(A1200,CATALOG_TASK,0)),"")="",IF(MAX(IF(IFERROR(FIND(CATALOG_BASE,A1200),0)=1,CATALOG_POINTS,0))=0,DAILY_POST_POINTS,MAX(IF(IFERROR(FIND(CATALOG_BASE,A1200),0)=1,CATALOG_POINTS,0))),IFERROR(INDEX(CATALOG_POINTS,MATCH(A1200,CATALOG_TASK,0)),""))</f>
        <v>1</v>
      </c>
      <c r="D1200" s="10" t="s">
        <v>820</v>
      </c>
      <c r="E1200" s="41" t="str">
        <f t="shared" si="1"/>
        <v>PROX4</v>
      </c>
    </row>
    <row r="1201" ht="15.75" customHeight="1">
      <c r="A1201" s="10" t="s">
        <v>821</v>
      </c>
      <c r="B1201" s="10" t="s">
        <v>129</v>
      </c>
      <c r="C1201" s="41">
        <f t="array" ref="C1201">IF(IFERROR(INDEX(CATALOG_POINTS,MATCH(A1201,CATALOG_TASK,0)),"")="",IF(MAX(IF(IFERROR(FIND(CATALOG_BASE,A1201),0)=1,CATALOG_POINTS,0))=0,DAILY_POST_POINTS,MAX(IF(IFERROR(FIND(CATALOG_BASE,A1201),0)=1,CATALOG_POINTS,0))),IFERROR(INDEX(CATALOG_POINTS,MATCH(A1201,CATALOG_TASK,0)),""))</f>
        <v>1</v>
      </c>
      <c r="D1201" s="10" t="s">
        <v>821</v>
      </c>
      <c r="E1201" s="41" t="str">
        <f t="shared" si="1"/>
        <v>E0</v>
      </c>
    </row>
    <row r="1202" ht="15.75" customHeight="1">
      <c r="A1202" s="10" t="s">
        <v>37</v>
      </c>
      <c r="B1202" s="10" t="s">
        <v>124</v>
      </c>
      <c r="C1202" s="41">
        <f t="array" ref="C1202">IF(IFERROR(INDEX(CATALOG_POINTS,MATCH(A1202,CATALOG_TASK,0)),"")="",IF(MAX(IF(IFERROR(FIND(CATALOG_BASE,A1202),0)=1,CATALOG_POINTS,0))=0,DAILY_POST_POINTS,MAX(IF(IFERROR(FIND(CATALOG_BASE,A1202),0)=1,CATALOG_POINTS,0))),IFERROR(INDEX(CATALOG_POINTS,MATCH(A1202,CATALOG_TASK,0)),""))</f>
        <v>2</v>
      </c>
      <c r="D1202" s="10" t="s">
        <v>822</v>
      </c>
      <c r="E1202" s="41" t="str">
        <f t="shared" si="1"/>
        <v>E0</v>
      </c>
    </row>
    <row r="1203" ht="15.75" customHeight="1">
      <c r="A1203" s="10" t="s">
        <v>37</v>
      </c>
      <c r="B1203" s="10" t="s">
        <v>119</v>
      </c>
      <c r="C1203" s="41">
        <f t="array" ref="C1203">IF(IFERROR(INDEX(CATALOG_POINTS,MATCH(A1203,CATALOG_TASK,0)),"")="",IF(MAX(IF(IFERROR(FIND(CATALOG_BASE,A1203),0)=1,CATALOG_POINTS,0))=0,DAILY_POST_POINTS,MAX(IF(IFERROR(FIND(CATALOG_BASE,A1203),0)=1,CATALOG_POINTS,0))),IFERROR(INDEX(CATALOG_POINTS,MATCH(A1203,CATALOG_TASK,0)),""))</f>
        <v>2</v>
      </c>
      <c r="D1203" s="10" t="s">
        <v>823</v>
      </c>
      <c r="E1203" s="41" t="str">
        <f t="shared" si="1"/>
        <v>E0</v>
      </c>
    </row>
    <row r="1204" ht="15.75" customHeight="1">
      <c r="A1204" s="10" t="s">
        <v>37</v>
      </c>
      <c r="B1204" s="10" t="s">
        <v>124</v>
      </c>
      <c r="C1204" s="41">
        <f t="array" ref="C1204">IF(IFERROR(INDEX(CATALOG_POINTS,MATCH(A1204,CATALOG_TASK,0)),"")="",IF(MAX(IF(IFERROR(FIND(CATALOG_BASE,A1204),0)=1,CATALOG_POINTS,0))=0,DAILY_POST_POINTS,MAX(IF(IFERROR(FIND(CATALOG_BASE,A1204),0)=1,CATALOG_POINTS,0))),IFERROR(INDEX(CATALOG_POINTS,MATCH(A1204,CATALOG_TASK,0)),""))</f>
        <v>2</v>
      </c>
      <c r="D1204" s="10" t="s">
        <v>823</v>
      </c>
      <c r="E1204" s="41" t="str">
        <f t="shared" si="1"/>
        <v>E0</v>
      </c>
    </row>
    <row r="1205" ht="15.75" customHeight="1">
      <c r="A1205" s="10" t="s">
        <v>37</v>
      </c>
      <c r="B1205" s="10" t="s">
        <v>120</v>
      </c>
      <c r="C1205" s="41">
        <f t="array" ref="C1205">IF(IFERROR(INDEX(CATALOG_POINTS,MATCH(A1205,CATALOG_TASK,0)),"")="",IF(MAX(IF(IFERROR(FIND(CATALOG_BASE,A1205),0)=1,CATALOG_POINTS,0))=0,DAILY_POST_POINTS,MAX(IF(IFERROR(FIND(CATALOG_BASE,A1205),0)=1,CATALOG_POINTS,0))),IFERROR(INDEX(CATALOG_POINTS,MATCH(A1205,CATALOG_TASK,0)),""))</f>
        <v>2</v>
      </c>
      <c r="D1205" s="10" t="s">
        <v>823</v>
      </c>
      <c r="E1205" s="41" t="str">
        <f t="shared" si="1"/>
        <v>E0</v>
      </c>
    </row>
    <row r="1206" ht="15.75" customHeight="1">
      <c r="A1206" s="10" t="s">
        <v>37</v>
      </c>
      <c r="B1206" s="10" t="s">
        <v>119</v>
      </c>
      <c r="C1206" s="41">
        <f t="array" ref="C1206">IF(IFERROR(INDEX(CATALOG_POINTS,MATCH(A1206,CATALOG_TASK,0)),"")="",IF(MAX(IF(IFERROR(FIND(CATALOG_BASE,A1206),0)=1,CATALOG_POINTS,0))=0,DAILY_POST_POINTS,MAX(IF(IFERROR(FIND(CATALOG_BASE,A1206),0)=1,CATALOG_POINTS,0))),IFERROR(INDEX(CATALOG_POINTS,MATCH(A1206,CATALOG_TASK,0)),""))</f>
        <v>2</v>
      </c>
      <c r="D1206" s="10" t="s">
        <v>823</v>
      </c>
      <c r="E1206" s="41" t="str">
        <f t="shared" si="1"/>
        <v>E0</v>
      </c>
    </row>
    <row r="1207" ht="15.75" customHeight="1">
      <c r="A1207" s="10" t="s">
        <v>824</v>
      </c>
      <c r="B1207" s="10" t="s">
        <v>120</v>
      </c>
      <c r="C1207" s="41">
        <f t="array" ref="C1207">IF(IFERROR(INDEX(CATALOG_POINTS,MATCH(A1207,CATALOG_TASK,0)),"")="",IF(MAX(IF(IFERROR(FIND(CATALOG_BASE,A1207),0)=1,CATALOG_POINTS,0))=0,DAILY_POST_POINTS,MAX(IF(IFERROR(FIND(CATALOG_BASE,A1207),0)=1,CATALOG_POINTS,0))),IFERROR(INDEX(CATALOG_POINTS,MATCH(A1207,CATALOG_TASK,0)),""))</f>
        <v>1</v>
      </c>
      <c r="D1207" s="10" t="s">
        <v>824</v>
      </c>
      <c r="E1207" s="41" t="str">
        <f t="shared" si="1"/>
        <v>PROX3</v>
      </c>
    </row>
    <row r="1208" ht="15.75" customHeight="1">
      <c r="A1208" s="10" t="s">
        <v>37</v>
      </c>
      <c r="B1208" s="10" t="s">
        <v>120</v>
      </c>
      <c r="C1208" s="41">
        <f t="array" ref="C1208">IF(IFERROR(INDEX(CATALOG_POINTS,MATCH(A1208,CATALOG_TASK,0)),"")="",IF(MAX(IF(IFERROR(FIND(CATALOG_BASE,A1208),0)=1,CATALOG_POINTS,0))=0,DAILY_POST_POINTS,MAX(IF(IFERROR(FIND(CATALOG_BASE,A1208),0)=1,CATALOG_POINTS,0))),IFERROR(INDEX(CATALOG_POINTS,MATCH(A1208,CATALOG_TASK,0)),""))</f>
        <v>2</v>
      </c>
      <c r="D1208" s="10" t="s">
        <v>824</v>
      </c>
      <c r="E1208" s="41" t="str">
        <f t="shared" si="1"/>
        <v>PROX3</v>
      </c>
    </row>
    <row r="1209" ht="15.75" customHeight="1">
      <c r="A1209" s="10" t="s">
        <v>825</v>
      </c>
      <c r="B1209" s="10" t="s">
        <v>134</v>
      </c>
      <c r="C1209" s="41">
        <f t="array" ref="C1209">IF(IFERROR(INDEX(CATALOG_POINTS,MATCH(A1209,CATALOG_TASK,0)),"")="",IF(MAX(IF(IFERROR(FIND(CATALOG_BASE,A1209),0)=1,CATALOG_POINTS,0))=0,DAILY_POST_POINTS,MAX(IF(IFERROR(FIND(CATALOG_BASE,A1209),0)=1,CATALOG_POINTS,0))),IFERROR(INDEX(CATALOG_POINTS,MATCH(A1209,CATALOG_TASK,0)),""))</f>
        <v>1</v>
      </c>
      <c r="D1209" s="10" t="s">
        <v>825</v>
      </c>
      <c r="E1209" s="41" t="str">
        <f t="shared" si="1"/>
        <v>E0</v>
      </c>
    </row>
    <row r="1210" ht="15.75" customHeight="1">
      <c r="A1210" s="10" t="s">
        <v>826</v>
      </c>
      <c r="B1210" s="10" t="s">
        <v>132</v>
      </c>
      <c r="C1210" s="41">
        <f t="array" ref="C1210">IF(IFERROR(INDEX(CATALOG_POINTS,MATCH(A1210,CATALOG_TASK,0)),"")="",IF(MAX(IF(IFERROR(FIND(CATALOG_BASE,A1210),0)=1,CATALOG_POINTS,0))=0,DAILY_POST_POINTS,MAX(IF(IFERROR(FIND(CATALOG_BASE,A1210),0)=1,CATALOG_POINTS,0))),IFERROR(INDEX(CATALOG_POINTS,MATCH(A1210,CATALOG_TASK,0)),""))</f>
        <v>1</v>
      </c>
      <c r="D1210" s="10" t="s">
        <v>826</v>
      </c>
      <c r="E1210" s="41" t="str">
        <f t="shared" si="1"/>
        <v>PROX4</v>
      </c>
    </row>
    <row r="1211" ht="15.75" customHeight="1">
      <c r="A1211" s="10" t="s">
        <v>37</v>
      </c>
      <c r="B1211" s="10" t="s">
        <v>124</v>
      </c>
      <c r="C1211" s="41">
        <f t="array" ref="C1211">IF(IFERROR(INDEX(CATALOG_POINTS,MATCH(A1211,CATALOG_TASK,0)),"")="",IF(MAX(IF(IFERROR(FIND(CATALOG_BASE,A1211),0)=1,CATALOG_POINTS,0))=0,DAILY_POST_POINTS,MAX(IF(IFERROR(FIND(CATALOG_BASE,A1211),0)=1,CATALOG_POINTS,0))),IFERROR(INDEX(CATALOG_POINTS,MATCH(A1211,CATALOG_TASK,0)),""))</f>
        <v>2</v>
      </c>
      <c r="D1211" s="10" t="s">
        <v>826</v>
      </c>
      <c r="E1211" s="41" t="str">
        <f t="shared" si="1"/>
        <v>PROX4</v>
      </c>
    </row>
    <row r="1212" ht="15.75" customHeight="1">
      <c r="A1212" s="10" t="s">
        <v>170</v>
      </c>
      <c r="B1212" s="10" t="s">
        <v>122</v>
      </c>
      <c r="C1212" s="41">
        <f t="array" ref="C1212">IF(IFERROR(INDEX(CATALOG_POINTS,MATCH(A1212,CATALOG_TASK,0)),"")="",IF(MAX(IF(IFERROR(FIND(CATALOG_BASE,A1212),0)=1,CATALOG_POINTS,0))=0,DAILY_POST_POINTS,MAX(IF(IFERROR(FIND(CATALOG_BASE,A1212),0)=1,CATALOG_POINTS,0))),IFERROR(INDEX(CATALOG_POINTS,MATCH(A1212,CATALOG_TASK,0)),""))</f>
        <v>1</v>
      </c>
      <c r="D1212" s="10" t="s">
        <v>827</v>
      </c>
      <c r="E1212" s="41" t="str">
        <f t="shared" si="1"/>
        <v>PROX3</v>
      </c>
    </row>
    <row r="1213" ht="15.75" customHeight="1">
      <c r="A1213" s="10" t="s">
        <v>37</v>
      </c>
      <c r="B1213" s="10" t="s">
        <v>120</v>
      </c>
      <c r="C1213" s="41">
        <f t="array" ref="C1213">IF(IFERROR(INDEX(CATALOG_POINTS,MATCH(A1213,CATALOG_TASK,0)),"")="",IF(MAX(IF(IFERROR(FIND(CATALOG_BASE,A1213),0)=1,CATALOG_POINTS,0))=0,DAILY_POST_POINTS,MAX(IF(IFERROR(FIND(CATALOG_BASE,A1213),0)=1,CATALOG_POINTS,0))),IFERROR(INDEX(CATALOG_POINTS,MATCH(A1213,CATALOG_TASK,0)),""))</f>
        <v>2</v>
      </c>
      <c r="D1213" s="10" t="s">
        <v>827</v>
      </c>
      <c r="E1213" s="41" t="str">
        <f t="shared" si="1"/>
        <v>PROX3</v>
      </c>
    </row>
    <row r="1214" ht="15.75" customHeight="1">
      <c r="A1214" s="10" t="s">
        <v>827</v>
      </c>
      <c r="B1214" s="10" t="s">
        <v>128</v>
      </c>
      <c r="C1214" s="41">
        <f t="array" ref="C1214">IF(IFERROR(INDEX(CATALOG_POINTS,MATCH(A1214,CATALOG_TASK,0)),"")="",IF(MAX(IF(IFERROR(FIND(CATALOG_BASE,A1214),0)=1,CATALOG_POINTS,0))=0,DAILY_POST_POINTS,MAX(IF(IFERROR(FIND(CATALOG_BASE,A1214),0)=1,CATALOG_POINTS,0))),IFERROR(INDEX(CATALOG_POINTS,MATCH(A1214,CATALOG_TASK,0)),""))</f>
        <v>1</v>
      </c>
      <c r="D1214" s="10" t="s">
        <v>827</v>
      </c>
      <c r="E1214" s="41" t="str">
        <f t="shared" si="1"/>
        <v>PROX3</v>
      </c>
    </row>
    <row r="1215" ht="15.75" customHeight="1">
      <c r="A1215" s="10" t="s">
        <v>828</v>
      </c>
      <c r="B1215" s="10" t="s">
        <v>119</v>
      </c>
      <c r="C1215" s="41">
        <f t="array" ref="C1215">IF(IFERROR(INDEX(CATALOG_POINTS,MATCH(A1215,CATALOG_TASK,0)),"")="",IF(MAX(IF(IFERROR(FIND(CATALOG_BASE,A1215),0)=1,CATALOG_POINTS,0))=0,DAILY_POST_POINTS,MAX(IF(IFERROR(FIND(CATALOG_BASE,A1215),0)=1,CATALOG_POINTS,0))),IFERROR(INDEX(CATALOG_POINTS,MATCH(A1215,CATALOG_TASK,0)),""))</f>
        <v>1</v>
      </c>
      <c r="D1215" s="10" t="s">
        <v>828</v>
      </c>
      <c r="E1215" s="41" t="str">
        <f t="shared" si="1"/>
        <v>E0</v>
      </c>
    </row>
    <row r="1216" ht="15.75" customHeight="1">
      <c r="A1216" s="10" t="s">
        <v>829</v>
      </c>
      <c r="B1216" s="10" t="s">
        <v>126</v>
      </c>
      <c r="C1216" s="41">
        <f t="array" ref="C1216">IF(IFERROR(INDEX(CATALOG_POINTS,MATCH(A1216,CATALOG_TASK,0)),"")="",IF(MAX(IF(IFERROR(FIND(CATALOG_BASE,A1216),0)=1,CATALOG_POINTS,0))=0,DAILY_POST_POINTS,MAX(IF(IFERROR(FIND(CATALOG_BASE,A1216),0)=1,CATALOG_POINTS,0))),IFERROR(INDEX(CATALOG_POINTS,MATCH(A1216,CATALOG_TASK,0)),""))</f>
        <v>1</v>
      </c>
      <c r="D1216" s="10" t="s">
        <v>829</v>
      </c>
      <c r="E1216" s="41" t="str">
        <f t="shared" si="1"/>
        <v>PROX3</v>
      </c>
    </row>
    <row r="1217" ht="15.75" customHeight="1">
      <c r="A1217" s="10" t="s">
        <v>37</v>
      </c>
      <c r="B1217" s="10" t="s">
        <v>120</v>
      </c>
      <c r="C1217" s="41">
        <f t="array" ref="C1217">IF(IFERROR(INDEX(CATALOG_POINTS,MATCH(A1217,CATALOG_TASK,0)),"")="",IF(MAX(IF(IFERROR(FIND(CATALOG_BASE,A1217),0)=1,CATALOG_POINTS,0))=0,DAILY_POST_POINTS,MAX(IF(IFERROR(FIND(CATALOG_BASE,A1217),0)=1,CATALOG_POINTS,0))),IFERROR(INDEX(CATALOG_POINTS,MATCH(A1217,CATALOG_TASK,0)),""))</f>
        <v>2</v>
      </c>
      <c r="D1217" s="10" t="s">
        <v>829</v>
      </c>
      <c r="E1217" s="41" t="str">
        <f t="shared" si="1"/>
        <v>PROX3</v>
      </c>
    </row>
    <row r="1218" ht="15.75" customHeight="1">
      <c r="A1218" s="10" t="s">
        <v>830</v>
      </c>
      <c r="B1218" s="10" t="s">
        <v>127</v>
      </c>
      <c r="C1218" s="41">
        <f t="array" ref="C1218">IF(IFERROR(INDEX(CATALOG_POINTS,MATCH(A1218,CATALOG_TASK,0)),"")="",IF(MAX(IF(IFERROR(FIND(CATALOG_BASE,A1218),0)=1,CATALOG_POINTS,0))=0,DAILY_POST_POINTS,MAX(IF(IFERROR(FIND(CATALOG_BASE,A1218),0)=1,CATALOG_POINTS,0))),IFERROR(INDEX(CATALOG_POINTS,MATCH(A1218,CATALOG_TASK,0)),""))</f>
        <v>1</v>
      </c>
      <c r="D1218" s="10" t="s">
        <v>830</v>
      </c>
      <c r="E1218" s="41" t="str">
        <f t="shared" si="1"/>
        <v>PROX4</v>
      </c>
    </row>
    <row r="1219" ht="15.75" customHeight="1">
      <c r="A1219" s="10" t="s">
        <v>831</v>
      </c>
      <c r="B1219" s="10" t="s">
        <v>120</v>
      </c>
      <c r="C1219" s="41">
        <f t="array" ref="C1219">IF(IFERROR(INDEX(CATALOG_POINTS,MATCH(A1219,CATALOG_TASK,0)),"")="",IF(MAX(IF(IFERROR(FIND(CATALOG_BASE,A1219),0)=1,CATALOG_POINTS,0))=0,DAILY_POST_POINTS,MAX(IF(IFERROR(FIND(CATALOG_BASE,A1219),0)=1,CATALOG_POINTS,0))),IFERROR(INDEX(CATALOG_POINTS,MATCH(A1219,CATALOG_TASK,0)),""))</f>
        <v>1</v>
      </c>
      <c r="D1219" s="10" t="s">
        <v>831</v>
      </c>
      <c r="E1219" s="41" t="str">
        <f t="shared" si="1"/>
        <v>E0</v>
      </c>
    </row>
    <row r="1220" ht="15.75" customHeight="1">
      <c r="A1220" s="10" t="s">
        <v>832</v>
      </c>
      <c r="B1220" s="10" t="s">
        <v>127</v>
      </c>
      <c r="C1220" s="41">
        <f t="array" ref="C1220">IF(IFERROR(INDEX(CATALOG_POINTS,MATCH(A1220,CATALOG_TASK,0)),"")="",IF(MAX(IF(IFERROR(FIND(CATALOG_BASE,A1220),0)=1,CATALOG_POINTS,0))=0,DAILY_POST_POINTS,MAX(IF(IFERROR(FIND(CATALOG_BASE,A1220),0)=1,CATALOG_POINTS,0))),IFERROR(INDEX(CATALOG_POINTS,MATCH(A1220,CATALOG_TASK,0)),""))</f>
        <v>1</v>
      </c>
      <c r="D1220" s="10" t="s">
        <v>832</v>
      </c>
      <c r="E1220" s="41" t="str">
        <f t="shared" si="1"/>
        <v>PROX3</v>
      </c>
    </row>
    <row r="1221" ht="15.75" customHeight="1">
      <c r="A1221" s="10" t="s">
        <v>177</v>
      </c>
      <c r="B1221" s="10" t="s">
        <v>139</v>
      </c>
      <c r="C1221" s="41">
        <f t="array" ref="C1221">IF(IFERROR(INDEX(CATALOG_POINTS,MATCH(A1221,CATALOG_TASK,0)),"")="",IF(MAX(IF(IFERROR(FIND(CATALOG_BASE,A1221),0)=1,CATALOG_POINTS,0))=0,DAILY_POST_POINTS,MAX(IF(IFERROR(FIND(CATALOG_BASE,A1221),0)=1,CATALOG_POINTS,0))),IFERROR(INDEX(CATALOG_POINTS,MATCH(A1221,CATALOG_TASK,0)),""))</f>
        <v>6</v>
      </c>
      <c r="D1221" s="10" t="s">
        <v>832</v>
      </c>
      <c r="E1221" s="41" t="str">
        <f t="shared" si="1"/>
        <v>PROX3</v>
      </c>
    </row>
    <row r="1222" ht="15.75" customHeight="1">
      <c r="A1222" s="10" t="s">
        <v>168</v>
      </c>
      <c r="B1222" s="10" t="s">
        <v>121</v>
      </c>
      <c r="C1222" s="41">
        <f t="array" ref="C1222">IF(IFERROR(INDEX(CATALOG_POINTS,MATCH(A1222,CATALOG_TASK,0)),"")="",IF(MAX(IF(IFERROR(FIND(CATALOG_BASE,A1222),0)=1,CATALOG_POINTS,0))=0,DAILY_POST_POINTS,MAX(IF(IFERROR(FIND(CATALOG_BASE,A1222),0)=1,CATALOG_POINTS,0))),IFERROR(INDEX(CATALOG_POINTS,MATCH(A1222,CATALOG_TASK,0)),""))</f>
        <v>1</v>
      </c>
      <c r="D1222" s="10" t="s">
        <v>832</v>
      </c>
      <c r="E1222" s="41" t="str">
        <f t="shared" si="1"/>
        <v>PROX3</v>
      </c>
    </row>
    <row r="1223" ht="15.75" customHeight="1">
      <c r="A1223" s="10" t="s">
        <v>833</v>
      </c>
      <c r="B1223" s="10" t="s">
        <v>125</v>
      </c>
      <c r="C1223" s="41">
        <f t="array" ref="C1223">IF(IFERROR(INDEX(CATALOG_POINTS,MATCH(A1223,CATALOG_TASK,0)),"")="",IF(MAX(IF(IFERROR(FIND(CATALOG_BASE,A1223),0)=1,CATALOG_POINTS,0))=0,DAILY_POST_POINTS,MAX(IF(IFERROR(FIND(CATALOG_BASE,A1223),0)=1,CATALOG_POINTS,0))),IFERROR(INDEX(CATALOG_POINTS,MATCH(A1223,CATALOG_TASK,0)),""))</f>
        <v>1</v>
      </c>
      <c r="D1223" s="10" t="s">
        <v>833</v>
      </c>
      <c r="E1223" s="41" t="str">
        <f t="shared" si="1"/>
        <v>PROX3</v>
      </c>
    </row>
    <row r="1224" ht="15.75" customHeight="1">
      <c r="A1224" s="10" t="s">
        <v>834</v>
      </c>
      <c r="B1224" s="10" t="s">
        <v>135</v>
      </c>
      <c r="C1224" s="41">
        <f t="array" ref="C1224">IF(IFERROR(INDEX(CATALOG_POINTS,MATCH(A1224,CATALOG_TASK,0)),"")="",IF(MAX(IF(IFERROR(FIND(CATALOG_BASE,A1224),0)=1,CATALOG_POINTS,0))=0,DAILY_POST_POINTS,MAX(IF(IFERROR(FIND(CATALOG_BASE,A1224),0)=1,CATALOG_POINTS,0))),IFERROR(INDEX(CATALOG_POINTS,MATCH(A1224,CATALOG_TASK,0)),""))</f>
        <v>1</v>
      </c>
      <c r="D1224" s="10" t="s">
        <v>835</v>
      </c>
      <c r="E1224" s="41" t="str">
        <f t="shared" si="1"/>
        <v/>
      </c>
    </row>
    <row r="1225" ht="15.75" customHeight="1">
      <c r="A1225" s="10" t="s">
        <v>836</v>
      </c>
      <c r="B1225" s="10" t="s">
        <v>134</v>
      </c>
      <c r="C1225" s="41">
        <f t="array" ref="C1225">IF(IFERROR(INDEX(CATALOG_POINTS,MATCH(A1225,CATALOG_TASK,0)),"")="",IF(MAX(IF(IFERROR(FIND(CATALOG_BASE,A1225),0)=1,CATALOG_POINTS,0))=0,DAILY_POST_POINTS,MAX(IF(IFERROR(FIND(CATALOG_BASE,A1225),0)=1,CATALOG_POINTS,0))),IFERROR(INDEX(CATALOG_POINTS,MATCH(A1225,CATALOG_TASK,0)),""))</f>
        <v>1</v>
      </c>
      <c r="D1225" s="10" t="s">
        <v>836</v>
      </c>
      <c r="E1225" s="41" t="str">
        <f t="shared" si="1"/>
        <v>PROX3</v>
      </c>
    </row>
    <row r="1226" ht="15.75" customHeight="1">
      <c r="A1226" s="10" t="s">
        <v>837</v>
      </c>
      <c r="B1226" s="10" t="s">
        <v>137</v>
      </c>
      <c r="C1226" s="41">
        <f t="array" ref="C1226">IF(IFERROR(INDEX(CATALOG_POINTS,MATCH(A1226,CATALOG_TASK,0)),"")="",IF(MAX(IF(IFERROR(FIND(CATALOG_BASE,A1226),0)=1,CATALOG_POINTS,0))=0,DAILY_POST_POINTS,MAX(IF(IFERROR(FIND(CATALOG_BASE,A1226),0)=1,CATALOG_POINTS,0))),IFERROR(INDEX(CATALOG_POINTS,MATCH(A1226,CATALOG_TASK,0)),""))</f>
        <v>1</v>
      </c>
      <c r="D1226" s="10" t="s">
        <v>837</v>
      </c>
      <c r="E1226" s="41" t="str">
        <f t="shared" si="1"/>
        <v>PROX3</v>
      </c>
    </row>
    <row r="1227" ht="15.75" customHeight="1">
      <c r="A1227" s="10" t="s">
        <v>838</v>
      </c>
      <c r="B1227" s="10" t="s">
        <v>137</v>
      </c>
      <c r="C1227" s="41">
        <f t="array" ref="C1227">IF(IFERROR(INDEX(CATALOG_POINTS,MATCH(A1227,CATALOG_TASK,0)),"")="",IF(MAX(IF(IFERROR(FIND(CATALOG_BASE,A1227),0)=1,CATALOG_POINTS,0))=0,DAILY_POST_POINTS,MAX(IF(IFERROR(FIND(CATALOG_BASE,A1227),0)=1,CATALOG_POINTS,0))),IFERROR(INDEX(CATALOG_POINTS,MATCH(A1227,CATALOG_TASK,0)),""))</f>
        <v>1</v>
      </c>
      <c r="D1227" s="10" t="s">
        <v>838</v>
      </c>
      <c r="E1227" s="41" t="str">
        <f t="shared" si="1"/>
        <v>PROX3</v>
      </c>
    </row>
    <row r="1228" ht="15.75" customHeight="1">
      <c r="A1228" s="10" t="s">
        <v>839</v>
      </c>
      <c r="B1228" s="10" t="s">
        <v>125</v>
      </c>
      <c r="C1228" s="41">
        <f t="array" ref="C1228">IF(IFERROR(INDEX(CATALOG_POINTS,MATCH(A1228,CATALOG_TASK,0)),"")="",IF(MAX(IF(IFERROR(FIND(CATALOG_BASE,A1228),0)=1,CATALOG_POINTS,0))=0,DAILY_POST_POINTS,MAX(IF(IFERROR(FIND(CATALOG_BASE,A1228),0)=1,CATALOG_POINTS,0))),IFERROR(INDEX(CATALOG_POINTS,MATCH(A1228,CATALOG_TASK,0)),""))</f>
        <v>1</v>
      </c>
      <c r="D1228" s="10" t="s">
        <v>839</v>
      </c>
      <c r="E1228" s="41" t="str">
        <f t="shared" si="1"/>
        <v>PROX4</v>
      </c>
    </row>
    <row r="1229" ht="15.75" customHeight="1">
      <c r="A1229" s="10" t="s">
        <v>840</v>
      </c>
      <c r="B1229" s="10" t="s">
        <v>135</v>
      </c>
      <c r="C1229" s="41">
        <f t="array" ref="C1229">IF(IFERROR(INDEX(CATALOG_POINTS,MATCH(A1229,CATALOG_TASK,0)),"")="",IF(MAX(IF(IFERROR(FIND(CATALOG_BASE,A1229),0)=1,CATALOG_POINTS,0))=0,DAILY_POST_POINTS,MAX(IF(IFERROR(FIND(CATALOG_BASE,A1229),0)=1,CATALOG_POINTS,0))),IFERROR(INDEX(CATALOG_POINTS,MATCH(A1229,CATALOG_TASK,0)),""))</f>
        <v>1</v>
      </c>
      <c r="D1229" s="10" t="s">
        <v>840</v>
      </c>
      <c r="E1229" s="41" t="str">
        <f t="shared" si="1"/>
        <v/>
      </c>
    </row>
    <row r="1230" ht="15.75" customHeight="1">
      <c r="A1230" s="10" t="s">
        <v>168</v>
      </c>
      <c r="B1230" s="10" t="s">
        <v>128</v>
      </c>
      <c r="C1230" s="41">
        <f t="array" ref="C1230">IF(IFERROR(INDEX(CATALOG_POINTS,MATCH(A1230,CATALOG_TASK,0)),"")="",IF(MAX(IF(IFERROR(FIND(CATALOG_BASE,A1230),0)=1,CATALOG_POINTS,0))=0,DAILY_POST_POINTS,MAX(IF(IFERROR(FIND(CATALOG_BASE,A1230),0)=1,CATALOG_POINTS,0))),IFERROR(INDEX(CATALOG_POINTS,MATCH(A1230,CATALOG_TASK,0)),""))</f>
        <v>1</v>
      </c>
      <c r="D1230" s="10" t="s">
        <v>840</v>
      </c>
      <c r="E1230" s="41" t="str">
        <f t="shared" si="1"/>
        <v/>
      </c>
    </row>
    <row r="1231" ht="15.75" customHeight="1">
      <c r="A1231" s="10" t="s">
        <v>37</v>
      </c>
      <c r="B1231" s="10" t="s">
        <v>122</v>
      </c>
      <c r="C1231" s="41">
        <f t="array" ref="C1231">IF(IFERROR(INDEX(CATALOG_POINTS,MATCH(A1231,CATALOG_TASK,0)),"")="",IF(MAX(IF(IFERROR(FIND(CATALOG_BASE,A1231),0)=1,CATALOG_POINTS,0))=0,DAILY_POST_POINTS,MAX(IF(IFERROR(FIND(CATALOG_BASE,A1231),0)=1,CATALOG_POINTS,0))),IFERROR(INDEX(CATALOG_POINTS,MATCH(A1231,CATALOG_TASK,0)),""))</f>
        <v>2</v>
      </c>
      <c r="D1231" s="10" t="s">
        <v>840</v>
      </c>
      <c r="E1231" s="41" t="str">
        <f t="shared" si="1"/>
        <v/>
      </c>
    </row>
    <row r="1232" ht="15.75" customHeight="1">
      <c r="A1232" s="10" t="s">
        <v>168</v>
      </c>
      <c r="B1232" s="10" t="s">
        <v>128</v>
      </c>
      <c r="C1232" s="41">
        <f t="array" ref="C1232">IF(IFERROR(INDEX(CATALOG_POINTS,MATCH(A1232,CATALOG_TASK,0)),"")="",IF(MAX(IF(IFERROR(FIND(CATALOG_BASE,A1232),0)=1,CATALOG_POINTS,0))=0,DAILY_POST_POINTS,MAX(IF(IFERROR(FIND(CATALOG_BASE,A1232),0)=1,CATALOG_POINTS,0))),IFERROR(INDEX(CATALOG_POINTS,MATCH(A1232,CATALOG_TASK,0)),""))</f>
        <v>1</v>
      </c>
      <c r="D1232" s="10" t="s">
        <v>840</v>
      </c>
      <c r="E1232" s="41" t="str">
        <f t="shared" si="1"/>
        <v/>
      </c>
    </row>
    <row r="1233" ht="15.75" customHeight="1">
      <c r="A1233" s="10" t="s">
        <v>37</v>
      </c>
      <c r="B1233" s="10" t="s">
        <v>128</v>
      </c>
      <c r="C1233" s="41">
        <f t="array" ref="C1233">IF(IFERROR(INDEX(CATALOG_POINTS,MATCH(A1233,CATALOG_TASK,0)),"")="",IF(MAX(IF(IFERROR(FIND(CATALOG_BASE,A1233),0)=1,CATALOG_POINTS,0))=0,DAILY_POST_POINTS,MAX(IF(IFERROR(FIND(CATALOG_BASE,A1233),0)=1,CATALOG_POINTS,0))),IFERROR(INDEX(CATALOG_POINTS,MATCH(A1233,CATALOG_TASK,0)),""))</f>
        <v>2</v>
      </c>
      <c r="D1233" s="10" t="s">
        <v>840</v>
      </c>
      <c r="E1233" s="41" t="str">
        <f t="shared" si="1"/>
        <v/>
      </c>
    </row>
    <row r="1234" ht="15.75" customHeight="1">
      <c r="A1234" s="10" t="s">
        <v>841</v>
      </c>
      <c r="B1234" s="10" t="s">
        <v>129</v>
      </c>
      <c r="C1234" s="41">
        <f t="array" ref="C1234">IF(IFERROR(INDEX(CATALOG_POINTS,MATCH(A1234,CATALOG_TASK,0)),"")="",IF(MAX(IF(IFERROR(FIND(CATALOG_BASE,A1234),0)=1,CATALOG_POINTS,0))=0,DAILY_POST_POINTS,MAX(IF(IFERROR(FIND(CATALOG_BASE,A1234),0)=1,CATALOG_POINTS,0))),IFERROR(INDEX(CATALOG_POINTS,MATCH(A1234,CATALOG_TASK,0)),""))</f>
        <v>1</v>
      </c>
      <c r="D1234" s="10" t="s">
        <v>841</v>
      </c>
      <c r="E1234" s="41" t="str">
        <f t="shared" si="1"/>
        <v>E0</v>
      </c>
    </row>
    <row r="1235" ht="15.75" customHeight="1">
      <c r="A1235" s="10" t="s">
        <v>842</v>
      </c>
      <c r="B1235" s="10" t="s">
        <v>117</v>
      </c>
      <c r="C1235" s="41">
        <f t="array" ref="C1235">IF(IFERROR(INDEX(CATALOG_POINTS,MATCH(A1235,CATALOG_TASK,0)),"")="",IF(MAX(IF(IFERROR(FIND(CATALOG_BASE,A1235),0)=1,CATALOG_POINTS,0))=0,DAILY_POST_POINTS,MAX(IF(IFERROR(FIND(CATALOG_BASE,A1235),0)=1,CATALOG_POINTS,0))),IFERROR(INDEX(CATALOG_POINTS,MATCH(A1235,CATALOG_TASK,0)),""))</f>
        <v>1</v>
      </c>
      <c r="D1235" s="10" t="s">
        <v>842</v>
      </c>
      <c r="E1235" s="41" t="str">
        <f t="shared" si="1"/>
        <v>PROX3</v>
      </c>
    </row>
    <row r="1236" ht="15.75" customHeight="1">
      <c r="A1236" s="10" t="s">
        <v>37</v>
      </c>
      <c r="B1236" s="10" t="s">
        <v>117</v>
      </c>
      <c r="C1236" s="41">
        <f t="array" ref="C1236">IF(IFERROR(INDEX(CATALOG_POINTS,MATCH(A1236,CATALOG_TASK,0)),"")="",IF(MAX(IF(IFERROR(FIND(CATALOG_BASE,A1236),0)=1,CATALOG_POINTS,0))=0,DAILY_POST_POINTS,MAX(IF(IFERROR(FIND(CATALOG_BASE,A1236),0)=1,CATALOG_POINTS,0))),IFERROR(INDEX(CATALOG_POINTS,MATCH(A1236,CATALOG_TASK,0)),""))</f>
        <v>2</v>
      </c>
      <c r="D1236" s="10" t="s">
        <v>842</v>
      </c>
      <c r="E1236" s="41" t="str">
        <f t="shared" si="1"/>
        <v>PROX3</v>
      </c>
    </row>
    <row r="1237" ht="15.75" customHeight="1">
      <c r="A1237" s="10" t="s">
        <v>843</v>
      </c>
      <c r="B1237" s="10" t="s">
        <v>128</v>
      </c>
      <c r="C1237" s="41">
        <f t="array" ref="C1237">IF(IFERROR(INDEX(CATALOG_POINTS,MATCH(A1237,CATALOG_TASK,0)),"")="",IF(MAX(IF(IFERROR(FIND(CATALOG_BASE,A1237),0)=1,CATALOG_POINTS,0))=0,DAILY_POST_POINTS,MAX(IF(IFERROR(FIND(CATALOG_BASE,A1237),0)=1,CATALOG_POINTS,0))),IFERROR(INDEX(CATALOG_POINTS,MATCH(A1237,CATALOG_TASK,0)),""))</f>
        <v>1</v>
      </c>
      <c r="D1237" s="10" t="s">
        <v>843</v>
      </c>
      <c r="E1237" s="41" t="str">
        <f t="shared" si="1"/>
        <v>PROX3</v>
      </c>
    </row>
    <row r="1238" ht="15.75" customHeight="1">
      <c r="A1238" s="10" t="s">
        <v>844</v>
      </c>
      <c r="B1238" s="10" t="s">
        <v>120</v>
      </c>
      <c r="C1238" s="41">
        <f t="array" ref="C1238">IF(IFERROR(INDEX(CATALOG_POINTS,MATCH(A1238,CATALOG_TASK,0)),"")="",IF(MAX(IF(IFERROR(FIND(CATALOG_BASE,A1238),0)=1,CATALOG_POINTS,0))=0,DAILY_POST_POINTS,MAX(IF(IFERROR(FIND(CATALOG_BASE,A1238),0)=1,CATALOG_POINTS,0))),IFERROR(INDEX(CATALOG_POINTS,MATCH(A1238,CATALOG_TASK,0)),""))</f>
        <v>1</v>
      </c>
      <c r="D1238" s="10" t="s">
        <v>844</v>
      </c>
      <c r="E1238" s="41" t="str">
        <f t="shared" si="1"/>
        <v>PROX3</v>
      </c>
    </row>
    <row r="1239" ht="15.75" customHeight="1">
      <c r="A1239" s="10" t="s">
        <v>845</v>
      </c>
      <c r="B1239" s="10" t="s">
        <v>137</v>
      </c>
      <c r="C1239" s="41">
        <f t="array" ref="C1239">IF(IFERROR(INDEX(CATALOG_POINTS,MATCH(A1239,CATALOG_TASK,0)),"")="",IF(MAX(IF(IFERROR(FIND(CATALOG_BASE,A1239),0)=1,CATALOG_POINTS,0))=0,DAILY_POST_POINTS,MAX(IF(IFERROR(FIND(CATALOG_BASE,A1239),0)=1,CATALOG_POINTS,0))),IFERROR(INDEX(CATALOG_POINTS,MATCH(A1239,CATALOG_TASK,0)),""))</f>
        <v>1</v>
      </c>
      <c r="D1239" s="10" t="s">
        <v>845</v>
      </c>
      <c r="E1239" s="41" t="str">
        <f t="shared" si="1"/>
        <v>PROX3</v>
      </c>
    </row>
    <row r="1240" ht="15.75" customHeight="1">
      <c r="A1240" s="10" t="s">
        <v>846</v>
      </c>
      <c r="B1240" s="10" t="s">
        <v>135</v>
      </c>
      <c r="C1240" s="41">
        <f t="array" ref="C1240">IF(IFERROR(INDEX(CATALOG_POINTS,MATCH(A1240,CATALOG_TASK,0)),"")="",IF(MAX(IF(IFERROR(FIND(CATALOG_BASE,A1240),0)=1,CATALOG_POINTS,0))=0,DAILY_POST_POINTS,MAX(IF(IFERROR(FIND(CATALOG_BASE,A1240),0)=1,CATALOG_POINTS,0))),IFERROR(INDEX(CATALOG_POINTS,MATCH(A1240,CATALOG_TASK,0)),""))</f>
        <v>1</v>
      </c>
      <c r="D1240" s="10" t="s">
        <v>846</v>
      </c>
      <c r="E1240" s="41" t="str">
        <f t="shared" si="1"/>
        <v>PROX3</v>
      </c>
    </row>
    <row r="1241" ht="15.75" customHeight="1">
      <c r="A1241" s="10" t="s">
        <v>847</v>
      </c>
      <c r="B1241" s="10" t="s">
        <v>125</v>
      </c>
      <c r="C1241" s="41">
        <f t="array" ref="C1241">IF(IFERROR(INDEX(CATALOG_POINTS,MATCH(A1241,CATALOG_TASK,0)),"")="",IF(MAX(IF(IFERROR(FIND(CATALOG_BASE,A1241),0)=1,CATALOG_POINTS,0))=0,DAILY_POST_POINTS,MAX(IF(IFERROR(FIND(CATALOG_BASE,A1241),0)=1,CATALOG_POINTS,0))),IFERROR(INDEX(CATALOG_POINTS,MATCH(A1241,CATALOG_TASK,0)),""))</f>
        <v>1</v>
      </c>
      <c r="D1241" s="10" t="s">
        <v>847</v>
      </c>
      <c r="E1241" s="41" t="str">
        <f t="shared" si="1"/>
        <v>PROX3</v>
      </c>
    </row>
    <row r="1242" ht="15.75" customHeight="1">
      <c r="A1242" s="10" t="s">
        <v>848</v>
      </c>
      <c r="B1242" s="10" t="s">
        <v>124</v>
      </c>
      <c r="C1242" s="41">
        <f t="array" ref="C1242">IF(IFERROR(INDEX(CATALOG_POINTS,MATCH(A1242,CATALOG_TASK,0)),"")="",IF(MAX(IF(IFERROR(FIND(CATALOG_BASE,A1242),0)=1,CATALOG_POINTS,0))=0,DAILY_POST_POINTS,MAX(IF(IFERROR(FIND(CATALOG_BASE,A1242),0)=1,CATALOG_POINTS,0))),IFERROR(INDEX(CATALOG_POINTS,MATCH(A1242,CATALOG_TASK,0)),""))</f>
        <v>1</v>
      </c>
      <c r="D1242" s="10" t="s">
        <v>848</v>
      </c>
      <c r="E1242" s="41" t="str">
        <f t="shared" si="1"/>
        <v>PROX3</v>
      </c>
    </row>
    <row r="1243" ht="15.75" customHeight="1">
      <c r="A1243" s="10" t="s">
        <v>178</v>
      </c>
      <c r="B1243" s="10" t="s">
        <v>117</v>
      </c>
      <c r="C1243" s="41">
        <f t="array" ref="C1243">IF(IFERROR(INDEX(CATALOG_POINTS,MATCH(A1243,CATALOG_TASK,0)),"")="",IF(MAX(IF(IFERROR(FIND(CATALOG_BASE,A1243),0)=1,CATALOG_POINTS,0))=0,DAILY_POST_POINTS,MAX(IF(IFERROR(FIND(CATALOG_BASE,A1243),0)=1,CATALOG_POINTS,0))),IFERROR(INDEX(CATALOG_POINTS,MATCH(A1243,CATALOG_TASK,0)),""))</f>
        <v>1</v>
      </c>
      <c r="D1243" s="10" t="s">
        <v>849</v>
      </c>
      <c r="E1243" s="41" t="str">
        <f t="shared" si="1"/>
        <v>PROX3</v>
      </c>
    </row>
    <row r="1244" ht="15.75" customHeight="1">
      <c r="A1244" s="10" t="s">
        <v>849</v>
      </c>
      <c r="B1244" s="10" t="s">
        <v>123</v>
      </c>
      <c r="C1244" s="41">
        <f t="array" ref="C1244">IF(IFERROR(INDEX(CATALOG_POINTS,MATCH(A1244,CATALOG_TASK,0)),"")="",IF(MAX(IF(IFERROR(FIND(CATALOG_BASE,A1244),0)=1,CATALOG_POINTS,0))=0,DAILY_POST_POINTS,MAX(IF(IFERROR(FIND(CATALOG_BASE,A1244),0)=1,CATALOG_POINTS,0))),IFERROR(INDEX(CATALOG_POINTS,MATCH(A1244,CATALOG_TASK,0)),""))</f>
        <v>1</v>
      </c>
      <c r="D1244" s="10" t="s">
        <v>849</v>
      </c>
      <c r="E1244" s="41" t="str">
        <f t="shared" si="1"/>
        <v>PROX3</v>
      </c>
    </row>
    <row r="1245" ht="15.75" customHeight="1">
      <c r="A1245" s="10" t="s">
        <v>180</v>
      </c>
      <c r="B1245" s="10" t="s">
        <v>128</v>
      </c>
      <c r="C1245" s="41">
        <f t="array" ref="C1245">IF(IFERROR(INDEX(CATALOG_POINTS,MATCH(A1245,CATALOG_TASK,0)),"")="",IF(MAX(IF(IFERROR(FIND(CATALOG_BASE,A1245),0)=1,CATALOG_POINTS,0))=0,DAILY_POST_POINTS,MAX(IF(IFERROR(FIND(CATALOG_BASE,A1245),0)=1,CATALOG_POINTS,0))),IFERROR(INDEX(CATALOG_POINTS,MATCH(A1245,CATALOG_TASK,0)),""))</f>
        <v>1</v>
      </c>
      <c r="D1245" s="10" t="s">
        <v>849</v>
      </c>
      <c r="E1245" s="41" t="str">
        <f t="shared" si="1"/>
        <v>PROX3</v>
      </c>
    </row>
    <row r="1246" ht="15.75" customHeight="1">
      <c r="A1246" s="10" t="s">
        <v>37</v>
      </c>
      <c r="B1246" s="10" t="s">
        <v>126</v>
      </c>
      <c r="C1246" s="41">
        <f t="array" ref="C1246">IF(IFERROR(INDEX(CATALOG_POINTS,MATCH(A1246,CATALOG_TASK,0)),"")="",IF(MAX(IF(IFERROR(FIND(CATALOG_BASE,A1246),0)=1,CATALOG_POINTS,0))=0,DAILY_POST_POINTS,MAX(IF(IFERROR(FIND(CATALOG_BASE,A1246),0)=1,CATALOG_POINTS,0))),IFERROR(INDEX(CATALOG_POINTS,MATCH(A1246,CATALOG_TASK,0)),""))</f>
        <v>2</v>
      </c>
      <c r="D1246" s="10" t="s">
        <v>849</v>
      </c>
      <c r="E1246" s="41" t="str">
        <f t="shared" si="1"/>
        <v>PROX3</v>
      </c>
    </row>
    <row r="1247" ht="15.75" customHeight="1">
      <c r="A1247" s="10" t="s">
        <v>37</v>
      </c>
      <c r="B1247" s="10" t="s">
        <v>121</v>
      </c>
      <c r="C1247" s="41">
        <f t="array" ref="C1247">IF(IFERROR(INDEX(CATALOG_POINTS,MATCH(A1247,CATALOG_TASK,0)),"")="",IF(MAX(IF(IFERROR(FIND(CATALOG_BASE,A1247),0)=1,CATALOG_POINTS,0))=0,DAILY_POST_POINTS,MAX(IF(IFERROR(FIND(CATALOG_BASE,A1247),0)=1,CATALOG_POINTS,0))),IFERROR(INDEX(CATALOG_POINTS,MATCH(A1247,CATALOG_TASK,0)),""))</f>
        <v>2</v>
      </c>
      <c r="D1247" s="10" t="s">
        <v>850</v>
      </c>
      <c r="E1247" s="41" t="str">
        <f t="shared" si="1"/>
        <v>PROX3</v>
      </c>
    </row>
    <row r="1248" ht="15.75" customHeight="1">
      <c r="A1248" s="10" t="s">
        <v>37</v>
      </c>
      <c r="B1248" s="10" t="s">
        <v>121</v>
      </c>
      <c r="C1248" s="41">
        <f t="array" ref="C1248">IF(IFERROR(INDEX(CATALOG_POINTS,MATCH(A1248,CATALOG_TASK,0)),"")="",IF(MAX(IF(IFERROR(FIND(CATALOG_BASE,A1248),0)=1,CATALOG_POINTS,0))=0,DAILY_POST_POINTS,MAX(IF(IFERROR(FIND(CATALOG_BASE,A1248),0)=1,CATALOG_POINTS,0))),IFERROR(INDEX(CATALOG_POINTS,MATCH(A1248,CATALOG_TASK,0)),""))</f>
        <v>2</v>
      </c>
      <c r="D1248" s="10" t="s">
        <v>850</v>
      </c>
      <c r="E1248" s="41" t="str">
        <f t="shared" si="1"/>
        <v>PROX3</v>
      </c>
    </row>
    <row r="1249" ht="15.75" customHeight="1">
      <c r="A1249" s="10" t="s">
        <v>37</v>
      </c>
      <c r="B1249" s="10" t="s">
        <v>121</v>
      </c>
      <c r="C1249" s="41">
        <f t="array" ref="C1249">IF(IFERROR(INDEX(CATALOG_POINTS,MATCH(A1249,CATALOG_TASK,0)),"")="",IF(MAX(IF(IFERROR(FIND(CATALOG_BASE,A1249),0)=1,CATALOG_POINTS,0))=0,DAILY_POST_POINTS,MAX(IF(IFERROR(FIND(CATALOG_BASE,A1249),0)=1,CATALOG_POINTS,0))),IFERROR(INDEX(CATALOG_POINTS,MATCH(A1249,CATALOG_TASK,0)),""))</f>
        <v>2</v>
      </c>
      <c r="D1249" s="10" t="s">
        <v>850</v>
      </c>
      <c r="E1249" s="41" t="str">
        <f t="shared" si="1"/>
        <v>PROX3</v>
      </c>
    </row>
    <row r="1250" ht="15.75" customHeight="1">
      <c r="A1250" s="10" t="s">
        <v>37</v>
      </c>
      <c r="B1250" s="10" t="s">
        <v>125</v>
      </c>
      <c r="C1250" s="41">
        <f t="array" ref="C1250">IF(IFERROR(INDEX(CATALOG_POINTS,MATCH(A1250,CATALOG_TASK,0)),"")="",IF(MAX(IF(IFERROR(FIND(CATALOG_BASE,A1250),0)=1,CATALOG_POINTS,0))=0,DAILY_POST_POINTS,MAX(IF(IFERROR(FIND(CATALOG_BASE,A1250),0)=1,CATALOG_POINTS,0))),IFERROR(INDEX(CATALOG_POINTS,MATCH(A1250,CATALOG_TASK,0)),""))</f>
        <v>2</v>
      </c>
      <c r="D1250" s="10" t="s">
        <v>850</v>
      </c>
      <c r="E1250" s="41" t="str">
        <f t="shared" si="1"/>
        <v>PROX3</v>
      </c>
    </row>
    <row r="1251" ht="15.75" customHeight="1">
      <c r="A1251" s="10" t="s">
        <v>850</v>
      </c>
      <c r="B1251" s="10" t="s">
        <v>123</v>
      </c>
      <c r="C1251" s="41">
        <f t="array" ref="C1251">IF(IFERROR(INDEX(CATALOG_POINTS,MATCH(A1251,CATALOG_TASK,0)),"")="",IF(MAX(IF(IFERROR(FIND(CATALOG_BASE,A1251),0)=1,CATALOG_POINTS,0))=0,DAILY_POST_POINTS,MAX(IF(IFERROR(FIND(CATALOG_BASE,A1251),0)=1,CATALOG_POINTS,0))),IFERROR(INDEX(CATALOG_POINTS,MATCH(A1251,CATALOG_TASK,0)),""))</f>
        <v>1</v>
      </c>
      <c r="D1251" s="10" t="s">
        <v>850</v>
      </c>
      <c r="E1251" s="41" t="str">
        <f t="shared" si="1"/>
        <v>PROX3</v>
      </c>
    </row>
    <row r="1252" ht="15.75" customHeight="1">
      <c r="A1252" s="10" t="s">
        <v>37</v>
      </c>
      <c r="B1252" s="10" t="s">
        <v>125</v>
      </c>
      <c r="C1252" s="41">
        <f t="array" ref="C1252">IF(IFERROR(INDEX(CATALOG_POINTS,MATCH(A1252,CATALOG_TASK,0)),"")="",IF(MAX(IF(IFERROR(FIND(CATALOG_BASE,A1252),0)=1,CATALOG_POINTS,0))=0,DAILY_POST_POINTS,MAX(IF(IFERROR(FIND(CATALOG_BASE,A1252),0)=1,CATALOG_POINTS,0))),IFERROR(INDEX(CATALOG_POINTS,MATCH(A1252,CATALOG_TASK,0)),""))</f>
        <v>2</v>
      </c>
      <c r="D1252" s="10" t="s">
        <v>851</v>
      </c>
      <c r="E1252" s="41" t="str">
        <f t="shared" si="1"/>
        <v>E0</v>
      </c>
    </row>
    <row r="1253" ht="15.75" customHeight="1">
      <c r="A1253" s="10" t="s">
        <v>851</v>
      </c>
      <c r="B1253" s="10" t="s">
        <v>132</v>
      </c>
      <c r="C1253" s="41">
        <f t="array" ref="C1253">IF(IFERROR(INDEX(CATALOG_POINTS,MATCH(A1253,CATALOG_TASK,0)),"")="",IF(MAX(IF(IFERROR(FIND(CATALOG_BASE,A1253),0)=1,CATALOG_POINTS,0))=0,DAILY_POST_POINTS,MAX(IF(IFERROR(FIND(CATALOG_BASE,A1253),0)=1,CATALOG_POINTS,0))),IFERROR(INDEX(CATALOG_POINTS,MATCH(A1253,CATALOG_TASK,0)),""))</f>
        <v>1</v>
      </c>
      <c r="D1253" s="10" t="s">
        <v>851</v>
      </c>
      <c r="E1253" s="41" t="str">
        <f t="shared" si="1"/>
        <v>E0</v>
      </c>
    </row>
    <row r="1254" ht="15.75" customHeight="1">
      <c r="A1254" s="10" t="s">
        <v>852</v>
      </c>
      <c r="B1254" s="10" t="s">
        <v>135</v>
      </c>
      <c r="C1254" s="41">
        <f t="array" ref="C1254">IF(IFERROR(INDEX(CATALOG_POINTS,MATCH(A1254,CATALOG_TASK,0)),"")="",IF(MAX(IF(IFERROR(FIND(CATALOG_BASE,A1254),0)=1,CATALOG_POINTS,0))=0,DAILY_POST_POINTS,MAX(IF(IFERROR(FIND(CATALOG_BASE,A1254),0)=1,CATALOG_POINTS,0))),IFERROR(INDEX(CATALOG_POINTS,MATCH(A1254,CATALOG_TASK,0)),""))</f>
        <v>1</v>
      </c>
      <c r="D1254" s="10" t="s">
        <v>852</v>
      </c>
      <c r="E1254" s="41" t="str">
        <f t="shared" si="1"/>
        <v>PROX3</v>
      </c>
    </row>
    <row r="1255" ht="15.75" customHeight="1">
      <c r="A1255" s="10" t="s">
        <v>853</v>
      </c>
      <c r="B1255" s="10" t="s">
        <v>128</v>
      </c>
      <c r="C1255" s="41">
        <f t="array" ref="C1255">IF(IFERROR(INDEX(CATALOG_POINTS,MATCH(A1255,CATALOG_TASK,0)),"")="",IF(MAX(IF(IFERROR(FIND(CATALOG_BASE,A1255),0)=1,CATALOG_POINTS,0))=0,DAILY_POST_POINTS,MAX(IF(IFERROR(FIND(CATALOG_BASE,A1255),0)=1,CATALOG_POINTS,0))),IFERROR(INDEX(CATALOG_POINTS,MATCH(A1255,CATALOG_TASK,0)),""))</f>
        <v>1</v>
      </c>
      <c r="D1255" s="10" t="s">
        <v>853</v>
      </c>
      <c r="E1255" s="41" t="str">
        <f t="shared" si="1"/>
        <v>PROX3</v>
      </c>
    </row>
    <row r="1256" ht="15.75" customHeight="1">
      <c r="A1256" s="10" t="s">
        <v>37</v>
      </c>
      <c r="B1256" s="10" t="s">
        <v>125</v>
      </c>
      <c r="C1256" s="41">
        <f t="array" ref="C1256">IF(IFERROR(INDEX(CATALOG_POINTS,MATCH(A1256,CATALOG_TASK,0)),"")="",IF(MAX(IF(IFERROR(FIND(CATALOG_BASE,A1256),0)=1,CATALOG_POINTS,0))=0,DAILY_POST_POINTS,MAX(IF(IFERROR(FIND(CATALOG_BASE,A1256),0)=1,CATALOG_POINTS,0))),IFERROR(INDEX(CATALOG_POINTS,MATCH(A1256,CATALOG_TASK,0)),""))</f>
        <v>2</v>
      </c>
      <c r="D1256" s="10" t="s">
        <v>854</v>
      </c>
      <c r="E1256" s="41" t="str">
        <f t="shared" si="1"/>
        <v/>
      </c>
    </row>
    <row r="1257" ht="15.75" customHeight="1">
      <c r="A1257" s="10" t="s">
        <v>854</v>
      </c>
      <c r="B1257" s="10" t="s">
        <v>122</v>
      </c>
      <c r="C1257" s="41">
        <f t="array" ref="C1257">IF(IFERROR(INDEX(CATALOG_POINTS,MATCH(A1257,CATALOG_TASK,0)),"")="",IF(MAX(IF(IFERROR(FIND(CATALOG_BASE,A1257),0)=1,CATALOG_POINTS,0))=0,DAILY_POST_POINTS,MAX(IF(IFERROR(FIND(CATALOG_BASE,A1257),0)=1,CATALOG_POINTS,0))),IFERROR(INDEX(CATALOG_POINTS,MATCH(A1257,CATALOG_TASK,0)),""))</f>
        <v>1</v>
      </c>
      <c r="D1257" s="10" t="s">
        <v>854</v>
      </c>
      <c r="E1257" s="41" t="str">
        <f t="shared" si="1"/>
        <v/>
      </c>
    </row>
    <row r="1258" ht="15.75" customHeight="1">
      <c r="A1258" s="10" t="s">
        <v>37</v>
      </c>
      <c r="B1258" s="10" t="s">
        <v>119</v>
      </c>
      <c r="C1258" s="41">
        <f t="array" ref="C1258">IF(IFERROR(INDEX(CATALOG_POINTS,MATCH(A1258,CATALOG_TASK,0)),"")="",IF(MAX(IF(IFERROR(FIND(CATALOG_BASE,A1258),0)=1,CATALOG_POINTS,0))=0,DAILY_POST_POINTS,MAX(IF(IFERROR(FIND(CATALOG_BASE,A1258),0)=1,CATALOG_POINTS,0))),IFERROR(INDEX(CATALOG_POINTS,MATCH(A1258,CATALOG_TASK,0)),""))</f>
        <v>2</v>
      </c>
      <c r="D1258" s="10" t="s">
        <v>854</v>
      </c>
      <c r="E1258" s="41" t="str">
        <f t="shared" si="1"/>
        <v/>
      </c>
    </row>
    <row r="1259" ht="15.75" customHeight="1">
      <c r="A1259" s="10" t="s">
        <v>855</v>
      </c>
      <c r="B1259" s="10" t="s">
        <v>126</v>
      </c>
      <c r="C1259" s="41">
        <f t="array" ref="C1259">IF(IFERROR(INDEX(CATALOG_POINTS,MATCH(A1259,CATALOG_TASK,0)),"")="",IF(MAX(IF(IFERROR(FIND(CATALOG_BASE,A1259),0)=1,CATALOG_POINTS,0))=0,DAILY_POST_POINTS,MAX(IF(IFERROR(FIND(CATALOG_BASE,A1259),0)=1,CATALOG_POINTS,0))),IFERROR(INDEX(CATALOG_POINTS,MATCH(A1259,CATALOG_TASK,0)),""))</f>
        <v>1</v>
      </c>
      <c r="D1259" s="10" t="s">
        <v>855</v>
      </c>
      <c r="E1259" s="41" t="str">
        <f t="shared" si="1"/>
        <v>PROX3</v>
      </c>
    </row>
    <row r="1260" ht="15.75" customHeight="1">
      <c r="A1260" s="10" t="s">
        <v>37</v>
      </c>
      <c r="B1260" s="10" t="s">
        <v>120</v>
      </c>
      <c r="C1260" s="41">
        <f t="array" ref="C1260">IF(IFERROR(INDEX(CATALOG_POINTS,MATCH(A1260,CATALOG_TASK,0)),"")="",IF(MAX(IF(IFERROR(FIND(CATALOG_BASE,A1260),0)=1,CATALOG_POINTS,0))=0,DAILY_POST_POINTS,MAX(IF(IFERROR(FIND(CATALOG_BASE,A1260),0)=1,CATALOG_POINTS,0))),IFERROR(INDEX(CATALOG_POINTS,MATCH(A1260,CATALOG_TASK,0)),""))</f>
        <v>2</v>
      </c>
      <c r="D1260" s="10" t="s">
        <v>855</v>
      </c>
      <c r="E1260" s="41" t="str">
        <f t="shared" si="1"/>
        <v>PROX3</v>
      </c>
    </row>
    <row r="1261" ht="15.75" customHeight="1">
      <c r="A1261" s="10" t="s">
        <v>37</v>
      </c>
      <c r="B1261" s="10" t="s">
        <v>122</v>
      </c>
      <c r="C1261" s="41">
        <f t="array" ref="C1261">IF(IFERROR(INDEX(CATALOG_POINTS,MATCH(A1261,CATALOG_TASK,0)),"")="",IF(MAX(IF(IFERROR(FIND(CATALOG_BASE,A1261),0)=1,CATALOG_POINTS,0))=0,DAILY_POST_POINTS,MAX(IF(IFERROR(FIND(CATALOG_BASE,A1261),0)=1,CATALOG_POINTS,0))),IFERROR(INDEX(CATALOG_POINTS,MATCH(A1261,CATALOG_TASK,0)),""))</f>
        <v>2</v>
      </c>
      <c r="D1261" s="10" t="s">
        <v>855</v>
      </c>
      <c r="E1261" s="41" t="str">
        <f t="shared" si="1"/>
        <v>PROX3</v>
      </c>
    </row>
    <row r="1262" ht="15.75" customHeight="1">
      <c r="A1262" s="10" t="s">
        <v>168</v>
      </c>
      <c r="B1262" s="10" t="s">
        <v>128</v>
      </c>
      <c r="C1262" s="41">
        <f t="array" ref="C1262">IF(IFERROR(INDEX(CATALOG_POINTS,MATCH(A1262,CATALOG_TASK,0)),"")="",IF(MAX(IF(IFERROR(FIND(CATALOG_BASE,A1262),0)=1,CATALOG_POINTS,0))=0,DAILY_POST_POINTS,MAX(IF(IFERROR(FIND(CATALOG_BASE,A1262),0)=1,CATALOG_POINTS,0))),IFERROR(INDEX(CATALOG_POINTS,MATCH(A1262,CATALOG_TASK,0)),""))</f>
        <v>1</v>
      </c>
      <c r="D1262" s="10" t="s">
        <v>856</v>
      </c>
      <c r="E1262" s="41" t="str">
        <f t="shared" si="1"/>
        <v>PROX3</v>
      </c>
    </row>
    <row r="1263" ht="15.75" customHeight="1">
      <c r="A1263" s="10" t="s">
        <v>856</v>
      </c>
      <c r="B1263" s="10" t="s">
        <v>120</v>
      </c>
      <c r="C1263" s="41">
        <f t="array" ref="C1263">IF(IFERROR(INDEX(CATALOG_POINTS,MATCH(A1263,CATALOG_TASK,0)),"")="",IF(MAX(IF(IFERROR(FIND(CATALOG_BASE,A1263),0)=1,CATALOG_POINTS,0))=0,DAILY_POST_POINTS,MAX(IF(IFERROR(FIND(CATALOG_BASE,A1263),0)=1,CATALOG_POINTS,0))),IFERROR(INDEX(CATALOG_POINTS,MATCH(A1263,CATALOG_TASK,0)),""))</f>
        <v>1</v>
      </c>
      <c r="D1263" s="10" t="s">
        <v>856</v>
      </c>
      <c r="E1263" s="41" t="str">
        <f t="shared" si="1"/>
        <v>PROX3</v>
      </c>
    </row>
    <row r="1264" ht="15.75" customHeight="1">
      <c r="A1264" s="10" t="s">
        <v>37</v>
      </c>
      <c r="B1264" s="10" t="s">
        <v>119</v>
      </c>
      <c r="C1264" s="41">
        <f t="array" ref="C1264">IF(IFERROR(INDEX(CATALOG_POINTS,MATCH(A1264,CATALOG_TASK,0)),"")="",IF(MAX(IF(IFERROR(FIND(CATALOG_BASE,A1264),0)=1,CATALOG_POINTS,0))=0,DAILY_POST_POINTS,MAX(IF(IFERROR(FIND(CATALOG_BASE,A1264),0)=1,CATALOG_POINTS,0))),IFERROR(INDEX(CATALOG_POINTS,MATCH(A1264,CATALOG_TASK,0)),""))</f>
        <v>2</v>
      </c>
      <c r="D1264" s="10" t="s">
        <v>857</v>
      </c>
      <c r="E1264" s="41" t="str">
        <f t="shared" si="1"/>
        <v>PROX3</v>
      </c>
    </row>
    <row r="1265" ht="15.75" customHeight="1">
      <c r="A1265" s="10" t="s">
        <v>180</v>
      </c>
      <c r="B1265" s="10" t="s">
        <v>138</v>
      </c>
      <c r="C1265" s="41">
        <f t="array" ref="C1265">IF(IFERROR(INDEX(CATALOG_POINTS,MATCH(A1265,CATALOG_TASK,0)),"")="",IF(MAX(IF(IFERROR(FIND(CATALOG_BASE,A1265),0)=1,CATALOG_POINTS,0))=0,DAILY_POST_POINTS,MAX(IF(IFERROR(FIND(CATALOG_BASE,A1265),0)=1,CATALOG_POINTS,0))),IFERROR(INDEX(CATALOG_POINTS,MATCH(A1265,CATALOG_TASK,0)),""))</f>
        <v>1</v>
      </c>
      <c r="D1265" s="10" t="s">
        <v>857</v>
      </c>
      <c r="E1265" s="41" t="str">
        <f t="shared" si="1"/>
        <v>PROX3</v>
      </c>
    </row>
    <row r="1266" ht="15.75" customHeight="1">
      <c r="A1266" s="10" t="s">
        <v>37</v>
      </c>
      <c r="B1266" s="10" t="s">
        <v>119</v>
      </c>
      <c r="C1266" s="41">
        <f t="array" ref="C1266">IF(IFERROR(INDEX(CATALOG_POINTS,MATCH(A1266,CATALOG_TASK,0)),"")="",IF(MAX(IF(IFERROR(FIND(CATALOG_BASE,A1266),0)=1,CATALOG_POINTS,0))=0,DAILY_POST_POINTS,MAX(IF(IFERROR(FIND(CATALOG_BASE,A1266),0)=1,CATALOG_POINTS,0))),IFERROR(INDEX(CATALOG_POINTS,MATCH(A1266,CATALOG_TASK,0)),""))</f>
        <v>2</v>
      </c>
      <c r="D1266" s="10" t="s">
        <v>858</v>
      </c>
      <c r="E1266" s="41" t="str">
        <f t="shared" si="1"/>
        <v>PROX3</v>
      </c>
    </row>
    <row r="1267" ht="15.75" customHeight="1">
      <c r="A1267" s="10" t="s">
        <v>37</v>
      </c>
      <c r="B1267" s="10" t="s">
        <v>121</v>
      </c>
      <c r="C1267" s="41">
        <f t="array" ref="C1267">IF(IFERROR(INDEX(CATALOG_POINTS,MATCH(A1267,CATALOG_TASK,0)),"")="",IF(MAX(IF(IFERROR(FIND(CATALOG_BASE,A1267),0)=1,CATALOG_POINTS,0))=0,DAILY_POST_POINTS,MAX(IF(IFERROR(FIND(CATALOG_BASE,A1267),0)=1,CATALOG_POINTS,0))),IFERROR(INDEX(CATALOG_POINTS,MATCH(A1267,CATALOG_TASK,0)),""))</f>
        <v>2</v>
      </c>
      <c r="D1267" s="10" t="s">
        <v>858</v>
      </c>
      <c r="E1267" s="41" t="str">
        <f t="shared" si="1"/>
        <v>PROX3</v>
      </c>
    </row>
    <row r="1268" ht="15.75" customHeight="1">
      <c r="A1268" s="10" t="s">
        <v>37</v>
      </c>
      <c r="B1268" s="10" t="s">
        <v>122</v>
      </c>
      <c r="C1268" s="41">
        <f t="array" ref="C1268">IF(IFERROR(INDEX(CATALOG_POINTS,MATCH(A1268,CATALOG_TASK,0)),"")="",IF(MAX(IF(IFERROR(FIND(CATALOG_BASE,A1268),0)=1,CATALOG_POINTS,0))=0,DAILY_POST_POINTS,MAX(IF(IFERROR(FIND(CATALOG_BASE,A1268),0)=1,CATALOG_POINTS,0))),IFERROR(INDEX(CATALOG_POINTS,MATCH(A1268,CATALOG_TASK,0)),""))</f>
        <v>2</v>
      </c>
      <c r="D1268" s="10" t="s">
        <v>858</v>
      </c>
      <c r="E1268" s="41" t="str">
        <f t="shared" si="1"/>
        <v>PROX3</v>
      </c>
    </row>
    <row r="1269" ht="15.75" customHeight="1">
      <c r="A1269" s="10" t="s">
        <v>55</v>
      </c>
      <c r="B1269" s="10" t="s">
        <v>142</v>
      </c>
      <c r="C1269" s="41">
        <f t="array" ref="C1269">IF(IFERROR(INDEX(CATALOG_POINTS,MATCH(A1269,CATALOG_TASK,0)),"")="",IF(MAX(IF(IFERROR(FIND(CATALOG_BASE,A1269),0)=1,CATALOG_POINTS,0))=0,DAILY_POST_POINTS,MAX(IF(IFERROR(FIND(CATALOG_BASE,A1269),0)=1,CATALOG_POINTS,0))),IFERROR(INDEX(CATALOG_POINTS,MATCH(A1269,CATALOG_TASK,0)),""))</f>
        <v>8</v>
      </c>
      <c r="D1269" s="10" t="s">
        <v>858</v>
      </c>
      <c r="E1269" s="41" t="str">
        <f t="shared" si="1"/>
        <v>PROX3</v>
      </c>
    </row>
    <row r="1270" ht="15.75" customHeight="1">
      <c r="A1270" s="10" t="s">
        <v>174</v>
      </c>
      <c r="B1270" s="10" t="s">
        <v>124</v>
      </c>
      <c r="C1270" s="41">
        <f t="array" ref="C1270">IF(IFERROR(INDEX(CATALOG_POINTS,MATCH(A1270,CATALOG_TASK,0)),"")="",IF(MAX(IF(IFERROR(FIND(CATALOG_BASE,A1270),0)=1,CATALOG_POINTS,0))=0,DAILY_POST_POINTS,MAX(IF(IFERROR(FIND(CATALOG_BASE,A1270),0)=1,CATALOG_POINTS,0))),IFERROR(INDEX(CATALOG_POINTS,MATCH(A1270,CATALOG_TASK,0)),""))</f>
        <v>1</v>
      </c>
      <c r="D1270" s="10" t="s">
        <v>858</v>
      </c>
      <c r="E1270" s="41" t="str">
        <f t="shared" si="1"/>
        <v>PROX3</v>
      </c>
    </row>
    <row r="1271" ht="15.75" customHeight="1">
      <c r="A1271" s="10" t="s">
        <v>859</v>
      </c>
      <c r="B1271" s="10" t="s">
        <v>128</v>
      </c>
      <c r="C1271" s="41">
        <f t="array" ref="C1271">IF(IFERROR(INDEX(CATALOG_POINTS,MATCH(A1271,CATALOG_TASK,0)),"")="",IF(MAX(IF(IFERROR(FIND(CATALOG_BASE,A1271),0)=1,CATALOG_POINTS,0))=0,DAILY_POST_POINTS,MAX(IF(IFERROR(FIND(CATALOG_BASE,A1271),0)=1,CATALOG_POINTS,0))),IFERROR(INDEX(CATALOG_POINTS,MATCH(A1271,CATALOG_TASK,0)),""))</f>
        <v>1</v>
      </c>
      <c r="D1271" s="10" t="s">
        <v>859</v>
      </c>
      <c r="E1271" s="41" t="str">
        <f t="shared" si="1"/>
        <v>PROX3</v>
      </c>
    </row>
    <row r="1272" ht="15.75" customHeight="1">
      <c r="A1272" s="10" t="s">
        <v>860</v>
      </c>
      <c r="B1272" s="10" t="s">
        <v>131</v>
      </c>
      <c r="C1272" s="41">
        <f t="array" ref="C1272">IF(IFERROR(INDEX(CATALOG_POINTS,MATCH(A1272,CATALOG_TASK,0)),"")="",IF(MAX(IF(IFERROR(FIND(CATALOG_BASE,A1272),0)=1,CATALOG_POINTS,0))=0,DAILY_POST_POINTS,MAX(IF(IFERROR(FIND(CATALOG_BASE,A1272),0)=1,CATALOG_POINTS,0))),IFERROR(INDEX(CATALOG_POINTS,MATCH(A1272,CATALOG_TASK,0)),""))</f>
        <v>1</v>
      </c>
      <c r="D1272" s="10" t="s">
        <v>860</v>
      </c>
      <c r="E1272" s="41" t="str">
        <f t="shared" si="1"/>
        <v>PROX3</v>
      </c>
    </row>
    <row r="1273" ht="15.75" customHeight="1">
      <c r="A1273" s="10" t="s">
        <v>861</v>
      </c>
      <c r="B1273" s="10" t="s">
        <v>137</v>
      </c>
      <c r="C1273" s="41">
        <f t="array" ref="C1273">IF(IFERROR(INDEX(CATALOG_POINTS,MATCH(A1273,CATALOG_TASK,0)),"")="",IF(MAX(IF(IFERROR(FIND(CATALOG_BASE,A1273),0)=1,CATALOG_POINTS,0))=0,DAILY_POST_POINTS,MAX(IF(IFERROR(FIND(CATALOG_BASE,A1273),0)=1,CATALOG_POINTS,0))),IFERROR(INDEX(CATALOG_POINTS,MATCH(A1273,CATALOG_TASK,0)),""))</f>
        <v>1</v>
      </c>
      <c r="D1273" s="10" t="s">
        <v>861</v>
      </c>
      <c r="E1273" s="41" t="str">
        <f t="shared" si="1"/>
        <v>PROX3</v>
      </c>
    </row>
    <row r="1274" ht="15.75" customHeight="1">
      <c r="A1274" s="10" t="s">
        <v>37</v>
      </c>
      <c r="B1274" s="10" t="s">
        <v>121</v>
      </c>
      <c r="C1274" s="41">
        <f t="array" ref="C1274">IF(IFERROR(INDEX(CATALOG_POINTS,MATCH(A1274,CATALOG_TASK,0)),"")="",IF(MAX(IF(IFERROR(FIND(CATALOG_BASE,A1274),0)=1,CATALOG_POINTS,0))=0,DAILY_POST_POINTS,MAX(IF(IFERROR(FIND(CATALOG_BASE,A1274),0)=1,CATALOG_POINTS,0))),IFERROR(INDEX(CATALOG_POINTS,MATCH(A1274,CATALOG_TASK,0)),""))</f>
        <v>2</v>
      </c>
      <c r="D1274" s="10" t="s">
        <v>861</v>
      </c>
      <c r="E1274" s="41" t="str">
        <f t="shared" si="1"/>
        <v>PROX3</v>
      </c>
    </row>
    <row r="1275" ht="15.75" customHeight="1">
      <c r="A1275" s="10" t="s">
        <v>862</v>
      </c>
      <c r="B1275" s="10" t="s">
        <v>135</v>
      </c>
      <c r="C1275" s="41">
        <f t="array" ref="C1275">IF(IFERROR(INDEX(CATALOG_POINTS,MATCH(A1275,CATALOG_TASK,0)),"")="",IF(MAX(IF(IFERROR(FIND(CATALOG_BASE,A1275),0)=1,CATALOG_POINTS,0))=0,DAILY_POST_POINTS,MAX(IF(IFERROR(FIND(CATALOG_BASE,A1275),0)=1,CATALOG_POINTS,0))),IFERROR(INDEX(CATALOG_POINTS,MATCH(A1275,CATALOG_TASK,0)),""))</f>
        <v>1</v>
      </c>
      <c r="D1275" s="10" t="s">
        <v>863</v>
      </c>
      <c r="E1275" s="41" t="str">
        <f t="shared" si="1"/>
        <v>PROX3</v>
      </c>
    </row>
    <row r="1276" ht="15.75" customHeight="1">
      <c r="A1276" s="10" t="s">
        <v>864</v>
      </c>
      <c r="B1276" s="10" t="s">
        <v>126</v>
      </c>
      <c r="C1276" s="41">
        <f t="array" ref="C1276">IF(IFERROR(INDEX(CATALOG_POINTS,MATCH(A1276,CATALOG_TASK,0)),"")="",IF(MAX(IF(IFERROR(FIND(CATALOG_BASE,A1276),0)=1,CATALOG_POINTS,0))=0,DAILY_POST_POINTS,MAX(IF(IFERROR(FIND(CATALOG_BASE,A1276),0)=1,CATALOG_POINTS,0))),IFERROR(INDEX(CATALOG_POINTS,MATCH(A1276,CATALOG_TASK,0)),""))</f>
        <v>1</v>
      </c>
      <c r="D1276" s="10" t="s">
        <v>864</v>
      </c>
      <c r="E1276" s="41" t="str">
        <f t="shared" si="1"/>
        <v>PROX3</v>
      </c>
    </row>
    <row r="1277" ht="15.75" customHeight="1">
      <c r="A1277" s="10" t="s">
        <v>865</v>
      </c>
      <c r="B1277" s="10" t="s">
        <v>132</v>
      </c>
      <c r="C1277" s="41">
        <f t="array" ref="C1277">IF(IFERROR(INDEX(CATALOG_POINTS,MATCH(A1277,CATALOG_TASK,0)),"")="",IF(MAX(IF(IFERROR(FIND(CATALOG_BASE,A1277),0)=1,CATALOG_POINTS,0))=0,DAILY_POST_POINTS,MAX(IF(IFERROR(FIND(CATALOG_BASE,A1277),0)=1,CATALOG_POINTS,0))),IFERROR(INDEX(CATALOG_POINTS,MATCH(A1277,CATALOG_TASK,0)),""))</f>
        <v>1</v>
      </c>
      <c r="D1277" s="10" t="s">
        <v>865</v>
      </c>
      <c r="E1277" s="41" t="str">
        <f t="shared" si="1"/>
        <v>PROX3</v>
      </c>
    </row>
    <row r="1278" ht="15.75" customHeight="1">
      <c r="A1278" s="10" t="s">
        <v>866</v>
      </c>
      <c r="B1278" s="10" t="s">
        <v>126</v>
      </c>
      <c r="C1278" s="41">
        <f t="array" ref="C1278">IF(IFERROR(INDEX(CATALOG_POINTS,MATCH(A1278,CATALOG_TASK,0)),"")="",IF(MAX(IF(IFERROR(FIND(CATALOG_BASE,A1278),0)=1,CATALOG_POINTS,0))=0,DAILY_POST_POINTS,MAX(IF(IFERROR(FIND(CATALOG_BASE,A1278),0)=1,CATALOG_POINTS,0))),IFERROR(INDEX(CATALOG_POINTS,MATCH(A1278,CATALOG_TASK,0)),""))</f>
        <v>1</v>
      </c>
      <c r="D1278" s="10" t="s">
        <v>866</v>
      </c>
      <c r="E1278" s="41" t="str">
        <f t="shared" si="1"/>
        <v>PROX4</v>
      </c>
    </row>
    <row r="1279" ht="15.75" customHeight="1">
      <c r="A1279" s="10" t="s">
        <v>37</v>
      </c>
      <c r="B1279" s="10" t="s">
        <v>122</v>
      </c>
      <c r="C1279" s="41">
        <f t="array" ref="C1279">IF(IFERROR(INDEX(CATALOG_POINTS,MATCH(A1279,CATALOG_TASK,0)),"")="",IF(MAX(IF(IFERROR(FIND(CATALOG_BASE,A1279),0)=1,CATALOG_POINTS,0))=0,DAILY_POST_POINTS,MAX(IF(IFERROR(FIND(CATALOG_BASE,A1279),0)=1,CATALOG_POINTS,0))),IFERROR(INDEX(CATALOG_POINTS,MATCH(A1279,CATALOG_TASK,0)),""))</f>
        <v>2</v>
      </c>
      <c r="D1279" s="10" t="s">
        <v>867</v>
      </c>
      <c r="E1279" s="41" t="str">
        <f t="shared" si="1"/>
        <v>PROX3</v>
      </c>
    </row>
    <row r="1280" ht="15.75" customHeight="1">
      <c r="A1280" s="10" t="s">
        <v>867</v>
      </c>
      <c r="B1280" s="10" t="s">
        <v>117</v>
      </c>
      <c r="C1280" s="41">
        <f t="array" ref="C1280">IF(IFERROR(INDEX(CATALOG_POINTS,MATCH(A1280,CATALOG_TASK,0)),"")="",IF(MAX(IF(IFERROR(FIND(CATALOG_BASE,A1280),0)=1,CATALOG_POINTS,0))=0,DAILY_POST_POINTS,MAX(IF(IFERROR(FIND(CATALOG_BASE,A1280),0)=1,CATALOG_POINTS,0))),IFERROR(INDEX(CATALOG_POINTS,MATCH(A1280,CATALOG_TASK,0)),""))</f>
        <v>1</v>
      </c>
      <c r="D1280" s="10" t="s">
        <v>867</v>
      </c>
      <c r="E1280" s="41" t="str">
        <f t="shared" si="1"/>
        <v>PROX3</v>
      </c>
    </row>
    <row r="1281" ht="15.75" customHeight="1">
      <c r="A1281" s="10" t="s">
        <v>868</v>
      </c>
      <c r="B1281" s="10" t="s">
        <v>117</v>
      </c>
      <c r="C1281" s="41">
        <f t="array" ref="C1281">IF(IFERROR(INDEX(CATALOG_POINTS,MATCH(A1281,CATALOG_TASK,0)),"")="",IF(MAX(IF(IFERROR(FIND(CATALOG_BASE,A1281),0)=1,CATALOG_POINTS,0))=0,DAILY_POST_POINTS,MAX(IF(IFERROR(FIND(CATALOG_BASE,A1281),0)=1,CATALOG_POINTS,0))),IFERROR(INDEX(CATALOG_POINTS,MATCH(A1281,CATALOG_TASK,0)),""))</f>
        <v>1</v>
      </c>
      <c r="D1281" s="10" t="s">
        <v>868</v>
      </c>
      <c r="E1281" s="41" t="str">
        <f t="shared" si="1"/>
        <v>PROX3</v>
      </c>
    </row>
    <row r="1282" ht="15.75" customHeight="1">
      <c r="A1282" s="10" t="s">
        <v>37</v>
      </c>
      <c r="B1282" s="10" t="s">
        <v>123</v>
      </c>
      <c r="C1282" s="41">
        <f t="array" ref="C1282">IF(IFERROR(INDEX(CATALOG_POINTS,MATCH(A1282,CATALOG_TASK,0)),"")="",IF(MAX(IF(IFERROR(FIND(CATALOG_BASE,A1282),0)=1,CATALOG_POINTS,0))=0,DAILY_POST_POINTS,MAX(IF(IFERROR(FIND(CATALOG_BASE,A1282),0)=1,CATALOG_POINTS,0))),IFERROR(INDEX(CATALOG_POINTS,MATCH(A1282,CATALOG_TASK,0)),""))</f>
        <v>2</v>
      </c>
      <c r="D1282" s="10" t="s">
        <v>868</v>
      </c>
      <c r="E1282" s="41" t="str">
        <f t="shared" si="1"/>
        <v>PROX3</v>
      </c>
    </row>
    <row r="1283" ht="15.75" customHeight="1">
      <c r="A1283" s="10" t="s">
        <v>869</v>
      </c>
      <c r="B1283" s="10" t="s">
        <v>137</v>
      </c>
      <c r="C1283" s="41">
        <f t="array" ref="C1283">IF(IFERROR(INDEX(CATALOG_POINTS,MATCH(A1283,CATALOG_TASK,0)),"")="",IF(MAX(IF(IFERROR(FIND(CATALOG_BASE,A1283),0)=1,CATALOG_POINTS,0))=0,DAILY_POST_POINTS,MAX(IF(IFERROR(FIND(CATALOG_BASE,A1283),0)=1,CATALOG_POINTS,0))),IFERROR(INDEX(CATALOG_POINTS,MATCH(A1283,CATALOG_TASK,0)),""))</f>
        <v>1</v>
      </c>
      <c r="D1283" s="10" t="s">
        <v>869</v>
      </c>
      <c r="E1283" s="41" t="str">
        <f t="shared" si="1"/>
        <v>PROX3</v>
      </c>
    </row>
    <row r="1284" ht="15.75" customHeight="1">
      <c r="A1284" s="10" t="s">
        <v>870</v>
      </c>
      <c r="B1284" s="10" t="s">
        <v>117</v>
      </c>
      <c r="C1284" s="41">
        <f t="array" ref="C1284">IF(IFERROR(INDEX(CATALOG_POINTS,MATCH(A1284,CATALOG_TASK,0)),"")="",IF(MAX(IF(IFERROR(FIND(CATALOG_BASE,A1284),0)=1,CATALOG_POINTS,0))=0,DAILY_POST_POINTS,MAX(IF(IFERROR(FIND(CATALOG_BASE,A1284),0)=1,CATALOG_POINTS,0))),IFERROR(INDEX(CATALOG_POINTS,MATCH(A1284,CATALOG_TASK,0)),""))</f>
        <v>1</v>
      </c>
      <c r="D1284" s="10" t="s">
        <v>870</v>
      </c>
      <c r="E1284" s="41" t="str">
        <f t="shared" si="1"/>
        <v>PROX3</v>
      </c>
    </row>
    <row r="1285" ht="15.75" customHeight="1">
      <c r="A1285" s="10" t="s">
        <v>871</v>
      </c>
      <c r="B1285" s="10" t="s">
        <v>131</v>
      </c>
      <c r="C1285" s="41">
        <f t="array" ref="C1285">IF(IFERROR(INDEX(CATALOG_POINTS,MATCH(A1285,CATALOG_TASK,0)),"")="",IF(MAX(IF(IFERROR(FIND(CATALOG_BASE,A1285),0)=1,CATALOG_POINTS,0))=0,DAILY_POST_POINTS,MAX(IF(IFERROR(FIND(CATALOG_BASE,A1285),0)=1,CATALOG_POINTS,0))),IFERROR(INDEX(CATALOG_POINTS,MATCH(A1285,CATALOG_TASK,0)),""))</f>
        <v>1</v>
      </c>
      <c r="D1285" s="10" t="s">
        <v>871</v>
      </c>
      <c r="E1285" s="41" t="str">
        <f t="shared" si="1"/>
        <v>PROX3</v>
      </c>
    </row>
    <row r="1286" ht="15.75" customHeight="1">
      <c r="A1286" s="10" t="s">
        <v>872</v>
      </c>
      <c r="B1286" s="10" t="s">
        <v>137</v>
      </c>
      <c r="C1286" s="41">
        <f t="array" ref="C1286">IF(IFERROR(INDEX(CATALOG_POINTS,MATCH(A1286,CATALOG_TASK,0)),"")="",IF(MAX(IF(IFERROR(FIND(CATALOG_BASE,A1286),0)=1,CATALOG_POINTS,0))=0,DAILY_POST_POINTS,MAX(IF(IFERROR(FIND(CATALOG_BASE,A1286),0)=1,CATALOG_POINTS,0))),IFERROR(INDEX(CATALOG_POINTS,MATCH(A1286,CATALOG_TASK,0)),""))</f>
        <v>1</v>
      </c>
      <c r="D1286" s="10" t="s">
        <v>872</v>
      </c>
      <c r="E1286" s="41" t="str">
        <f t="shared" si="1"/>
        <v>PROX4</v>
      </c>
    </row>
    <row r="1287" ht="15.75" customHeight="1">
      <c r="A1287" s="10" t="s">
        <v>873</v>
      </c>
      <c r="B1287" s="10" t="s">
        <v>128</v>
      </c>
      <c r="C1287" s="41">
        <f t="array" ref="C1287">IF(IFERROR(INDEX(CATALOG_POINTS,MATCH(A1287,CATALOG_TASK,0)),"")="",IF(MAX(IF(IFERROR(FIND(CATALOG_BASE,A1287),0)=1,CATALOG_POINTS,0))=0,DAILY_POST_POINTS,MAX(IF(IFERROR(FIND(CATALOG_BASE,A1287),0)=1,CATALOG_POINTS,0))),IFERROR(INDEX(CATALOG_POINTS,MATCH(A1287,CATALOG_TASK,0)),""))</f>
        <v>1</v>
      </c>
      <c r="D1287" s="10" t="s">
        <v>873</v>
      </c>
      <c r="E1287" s="41" t="str">
        <f t="shared" si="1"/>
        <v>PROX4</v>
      </c>
    </row>
    <row r="1288" ht="15.75" customHeight="1">
      <c r="A1288" s="10" t="s">
        <v>874</v>
      </c>
      <c r="B1288" s="10" t="s">
        <v>119</v>
      </c>
      <c r="C1288" s="41">
        <f t="array" ref="C1288">IF(IFERROR(INDEX(CATALOG_POINTS,MATCH(A1288,CATALOG_TASK,0)),"")="",IF(MAX(IF(IFERROR(FIND(CATALOG_BASE,A1288),0)=1,CATALOG_POINTS,0))=0,DAILY_POST_POINTS,MAX(IF(IFERROR(FIND(CATALOG_BASE,A1288),0)=1,CATALOG_POINTS,0))),IFERROR(INDEX(CATALOG_POINTS,MATCH(A1288,CATALOG_TASK,0)),""))</f>
        <v>1</v>
      </c>
      <c r="D1288" s="10" t="s">
        <v>874</v>
      </c>
      <c r="E1288" s="41" t="str">
        <f t="shared" si="1"/>
        <v>PROX3</v>
      </c>
    </row>
    <row r="1289" ht="15.75" customHeight="1">
      <c r="A1289" s="10" t="s">
        <v>875</v>
      </c>
      <c r="B1289" s="10" t="s">
        <v>120</v>
      </c>
      <c r="C1289" s="41">
        <f t="array" ref="C1289">IF(IFERROR(INDEX(CATALOG_POINTS,MATCH(A1289,CATALOG_TASK,0)),"")="",IF(MAX(IF(IFERROR(FIND(CATALOG_BASE,A1289),0)=1,CATALOG_POINTS,0))=0,DAILY_POST_POINTS,MAX(IF(IFERROR(FIND(CATALOG_BASE,A1289),0)=1,CATALOG_POINTS,0))),IFERROR(INDEX(CATALOG_POINTS,MATCH(A1289,CATALOG_TASK,0)),""))</f>
        <v>1</v>
      </c>
      <c r="D1289" s="10" t="s">
        <v>875</v>
      </c>
      <c r="E1289" s="41" t="str">
        <f t="shared" si="1"/>
        <v>PROX3</v>
      </c>
    </row>
    <row r="1290" ht="15.75" customHeight="1">
      <c r="A1290" s="10" t="s">
        <v>174</v>
      </c>
      <c r="B1290" s="10" t="s">
        <v>123</v>
      </c>
      <c r="C1290" s="41">
        <f t="array" ref="C1290">IF(IFERROR(INDEX(CATALOG_POINTS,MATCH(A1290,CATALOG_TASK,0)),"")="",IF(MAX(IF(IFERROR(FIND(CATALOG_BASE,A1290),0)=1,CATALOG_POINTS,0))=0,DAILY_POST_POINTS,MAX(IF(IFERROR(FIND(CATALOG_BASE,A1290),0)=1,CATALOG_POINTS,0))),IFERROR(INDEX(CATALOG_POINTS,MATCH(A1290,CATALOG_TASK,0)),""))</f>
        <v>1</v>
      </c>
      <c r="D1290" s="10" t="s">
        <v>876</v>
      </c>
      <c r="E1290" s="41" t="str">
        <f t="shared" si="1"/>
        <v>PROX4</v>
      </c>
    </row>
    <row r="1291" ht="15.75" customHeight="1">
      <c r="A1291" s="10" t="s">
        <v>877</v>
      </c>
      <c r="B1291" s="10" t="s">
        <v>117</v>
      </c>
      <c r="C1291" s="41">
        <f t="array" ref="C1291">IF(IFERROR(INDEX(CATALOG_POINTS,MATCH(A1291,CATALOG_TASK,0)),"")="",IF(MAX(IF(IFERROR(FIND(CATALOG_BASE,A1291),0)=1,CATALOG_POINTS,0))=0,DAILY_POST_POINTS,MAX(IF(IFERROR(FIND(CATALOG_BASE,A1291),0)=1,CATALOG_POINTS,0))),IFERROR(INDEX(CATALOG_POINTS,MATCH(A1291,CATALOG_TASK,0)),""))</f>
        <v>1</v>
      </c>
      <c r="D1291" s="10" t="s">
        <v>877</v>
      </c>
      <c r="E1291" s="41" t="str">
        <f t="shared" si="1"/>
        <v>PROX3</v>
      </c>
    </row>
    <row r="1292" ht="15.75" customHeight="1">
      <c r="A1292" s="10" t="s">
        <v>174</v>
      </c>
      <c r="B1292" s="10" t="s">
        <v>127</v>
      </c>
      <c r="C1292" s="41">
        <f t="array" ref="C1292">IF(IFERROR(INDEX(CATALOG_POINTS,MATCH(A1292,CATALOG_TASK,0)),"")="",IF(MAX(IF(IFERROR(FIND(CATALOG_BASE,A1292),0)=1,CATALOG_POINTS,0))=0,DAILY_POST_POINTS,MAX(IF(IFERROR(FIND(CATALOG_BASE,A1292),0)=1,CATALOG_POINTS,0))),IFERROR(INDEX(CATALOG_POINTS,MATCH(A1292,CATALOG_TASK,0)),""))</f>
        <v>1</v>
      </c>
      <c r="D1292" s="10" t="s">
        <v>878</v>
      </c>
      <c r="E1292" s="41" t="str">
        <f t="shared" si="1"/>
        <v>PROX3</v>
      </c>
    </row>
    <row r="1293" ht="15.75" customHeight="1">
      <c r="A1293" s="10" t="s">
        <v>178</v>
      </c>
      <c r="B1293" s="10" t="s">
        <v>149</v>
      </c>
      <c r="C1293" s="41">
        <f t="array" ref="C1293">IF(IFERROR(INDEX(CATALOG_POINTS,MATCH(A1293,CATALOG_TASK,0)),"")="",IF(MAX(IF(IFERROR(FIND(CATALOG_BASE,A1293),0)=1,CATALOG_POINTS,0))=0,DAILY_POST_POINTS,MAX(IF(IFERROR(FIND(CATALOG_BASE,A1293),0)=1,CATALOG_POINTS,0))),IFERROR(INDEX(CATALOG_POINTS,MATCH(A1293,CATALOG_TASK,0)),""))</f>
        <v>1</v>
      </c>
      <c r="D1293" s="10" t="s">
        <v>878</v>
      </c>
      <c r="E1293" s="41" t="str">
        <f t="shared" si="1"/>
        <v>PROX3</v>
      </c>
    </row>
    <row r="1294" ht="15.75" customHeight="1">
      <c r="A1294" s="10" t="s">
        <v>878</v>
      </c>
      <c r="B1294" s="10" t="s">
        <v>120</v>
      </c>
      <c r="C1294" s="41">
        <f t="array" ref="C1294">IF(IFERROR(INDEX(CATALOG_POINTS,MATCH(A1294,CATALOG_TASK,0)),"")="",IF(MAX(IF(IFERROR(FIND(CATALOG_BASE,A1294),0)=1,CATALOG_POINTS,0))=0,DAILY_POST_POINTS,MAX(IF(IFERROR(FIND(CATALOG_BASE,A1294),0)=1,CATALOG_POINTS,0))),IFERROR(INDEX(CATALOG_POINTS,MATCH(A1294,CATALOG_TASK,0)),""))</f>
        <v>1</v>
      </c>
      <c r="D1294" s="10" t="s">
        <v>878</v>
      </c>
      <c r="E1294" s="41" t="str">
        <f t="shared" si="1"/>
        <v>PROX3</v>
      </c>
    </row>
    <row r="1295" ht="15.75" customHeight="1">
      <c r="A1295" s="10" t="s">
        <v>24</v>
      </c>
      <c r="B1295" s="10" t="s">
        <v>121</v>
      </c>
      <c r="C1295" s="41">
        <f t="array" ref="C1295">IF(IFERROR(INDEX(CATALOG_POINTS,MATCH(A1295,CATALOG_TASK,0)),"")="",IF(MAX(IF(IFERROR(FIND(CATALOG_BASE,A1295),0)=1,CATALOG_POINTS,0))=0,DAILY_POST_POINTS,MAX(IF(IFERROR(FIND(CATALOG_BASE,A1295),0)=1,CATALOG_POINTS,0))),IFERROR(INDEX(CATALOG_POINTS,MATCH(A1295,CATALOG_TASK,0)),""))</f>
        <v>2</v>
      </c>
      <c r="D1295" s="10" t="s">
        <v>878</v>
      </c>
      <c r="E1295" s="41" t="str">
        <f t="shared" si="1"/>
        <v>PROX3</v>
      </c>
    </row>
    <row r="1296" ht="15.75" customHeight="1">
      <c r="A1296" s="10" t="s">
        <v>879</v>
      </c>
      <c r="B1296" s="10" t="s">
        <v>127</v>
      </c>
      <c r="C1296" s="41">
        <f t="array" ref="C1296">IF(IFERROR(INDEX(CATALOG_POINTS,MATCH(A1296,CATALOG_TASK,0)),"")="",IF(MAX(IF(IFERROR(FIND(CATALOG_BASE,A1296),0)=1,CATALOG_POINTS,0))=0,DAILY_POST_POINTS,MAX(IF(IFERROR(FIND(CATALOG_BASE,A1296),0)=1,CATALOG_POINTS,0))),IFERROR(INDEX(CATALOG_POINTS,MATCH(A1296,CATALOG_TASK,0)),""))</f>
        <v>1</v>
      </c>
      <c r="D1296" s="10" t="s">
        <v>879</v>
      </c>
      <c r="E1296" s="41" t="str">
        <f t="shared" si="1"/>
        <v>PROX4</v>
      </c>
    </row>
    <row r="1297" ht="15.75" customHeight="1">
      <c r="A1297" s="10" t="s">
        <v>37</v>
      </c>
      <c r="B1297" s="10" t="s">
        <v>123</v>
      </c>
      <c r="C1297" s="41">
        <f t="array" ref="C1297">IF(IFERROR(INDEX(CATALOG_POINTS,MATCH(A1297,CATALOG_TASK,0)),"")="",IF(MAX(IF(IFERROR(FIND(CATALOG_BASE,A1297),0)=1,CATALOG_POINTS,0))=0,DAILY_POST_POINTS,MAX(IF(IFERROR(FIND(CATALOG_BASE,A1297),0)=1,CATALOG_POINTS,0))),IFERROR(INDEX(CATALOG_POINTS,MATCH(A1297,CATALOG_TASK,0)),""))</f>
        <v>2</v>
      </c>
      <c r="D1297" s="10" t="s">
        <v>879</v>
      </c>
      <c r="E1297" s="41" t="str">
        <f t="shared" si="1"/>
        <v>PROX4</v>
      </c>
    </row>
    <row r="1298" ht="15.75" customHeight="1">
      <c r="A1298" s="10" t="s">
        <v>174</v>
      </c>
      <c r="B1298" s="10" t="s">
        <v>123</v>
      </c>
      <c r="C1298" s="41">
        <f t="array" ref="C1298">IF(IFERROR(INDEX(CATALOG_POINTS,MATCH(A1298,CATALOG_TASK,0)),"")="",IF(MAX(IF(IFERROR(FIND(CATALOG_BASE,A1298),0)=1,CATALOG_POINTS,0))=0,DAILY_POST_POINTS,MAX(IF(IFERROR(FIND(CATALOG_BASE,A1298),0)=1,CATALOG_POINTS,0))),IFERROR(INDEX(CATALOG_POINTS,MATCH(A1298,CATALOG_TASK,0)),""))</f>
        <v>1</v>
      </c>
      <c r="D1298" s="10" t="s">
        <v>880</v>
      </c>
      <c r="E1298" s="41" t="str">
        <f t="shared" si="1"/>
        <v>PROX3</v>
      </c>
    </row>
    <row r="1299" ht="15.75" customHeight="1">
      <c r="A1299" s="10" t="s">
        <v>174</v>
      </c>
      <c r="B1299" s="10" t="s">
        <v>123</v>
      </c>
      <c r="C1299" s="41">
        <f t="array" ref="C1299">IF(IFERROR(INDEX(CATALOG_POINTS,MATCH(A1299,CATALOG_TASK,0)),"")="",IF(MAX(IF(IFERROR(FIND(CATALOG_BASE,A1299),0)=1,CATALOG_POINTS,0))=0,DAILY_POST_POINTS,MAX(IF(IFERROR(FIND(CATALOG_BASE,A1299),0)=1,CATALOG_POINTS,0))),IFERROR(INDEX(CATALOG_POINTS,MATCH(A1299,CATALOG_TASK,0)),""))</f>
        <v>1</v>
      </c>
      <c r="D1299" s="10" t="s">
        <v>880</v>
      </c>
      <c r="E1299" s="41" t="str">
        <f t="shared" si="1"/>
        <v>PROX3</v>
      </c>
    </row>
    <row r="1300" ht="15.75" customHeight="1">
      <c r="A1300" s="10" t="s">
        <v>881</v>
      </c>
      <c r="B1300" s="10" t="s">
        <v>127</v>
      </c>
      <c r="C1300" s="41">
        <f t="array" ref="C1300">IF(IFERROR(INDEX(CATALOG_POINTS,MATCH(A1300,CATALOG_TASK,0)),"")="",IF(MAX(IF(IFERROR(FIND(CATALOG_BASE,A1300),0)=1,CATALOG_POINTS,0))=0,DAILY_POST_POINTS,MAX(IF(IFERROR(FIND(CATALOG_BASE,A1300),0)=1,CATALOG_POINTS,0))),IFERROR(INDEX(CATALOG_POINTS,MATCH(A1300,CATALOG_TASK,0)),""))</f>
        <v>2</v>
      </c>
      <c r="D1300" s="10" t="s">
        <v>882</v>
      </c>
      <c r="E1300" s="41" t="str">
        <f t="shared" si="1"/>
        <v>PROX4</v>
      </c>
    </row>
    <row r="1301" ht="15.75" customHeight="1">
      <c r="A1301" s="10" t="s">
        <v>180</v>
      </c>
      <c r="B1301" s="10" t="s">
        <v>138</v>
      </c>
      <c r="C1301" s="41">
        <f t="array" ref="C1301">IF(IFERROR(INDEX(CATALOG_POINTS,MATCH(A1301,CATALOG_TASK,0)),"")="",IF(MAX(IF(IFERROR(FIND(CATALOG_BASE,A1301),0)=1,CATALOG_POINTS,0))=0,DAILY_POST_POINTS,MAX(IF(IFERROR(FIND(CATALOG_BASE,A1301),0)=1,CATALOG_POINTS,0))),IFERROR(INDEX(CATALOG_POINTS,MATCH(A1301,CATALOG_TASK,0)),""))</f>
        <v>1</v>
      </c>
      <c r="D1301" s="10" t="s">
        <v>882</v>
      </c>
      <c r="E1301" s="41" t="str">
        <f t="shared" si="1"/>
        <v>PROX4</v>
      </c>
    </row>
    <row r="1302" ht="15.75" customHeight="1">
      <c r="A1302" s="10" t="s">
        <v>883</v>
      </c>
      <c r="B1302" s="10" t="s">
        <v>124</v>
      </c>
      <c r="C1302" s="41">
        <f t="array" ref="C1302">IF(IFERROR(INDEX(CATALOG_POINTS,MATCH(A1302,CATALOG_TASK,0)),"")="",IF(MAX(IF(IFERROR(FIND(CATALOG_BASE,A1302),0)=1,CATALOG_POINTS,0))=0,DAILY_POST_POINTS,MAX(IF(IFERROR(FIND(CATALOG_BASE,A1302),0)=1,CATALOG_POINTS,0))),IFERROR(INDEX(CATALOG_POINTS,MATCH(A1302,CATALOG_TASK,0)),""))</f>
        <v>2</v>
      </c>
      <c r="D1302" s="10" t="s">
        <v>882</v>
      </c>
      <c r="E1302" s="41" t="str">
        <f t="shared" si="1"/>
        <v>PROX4</v>
      </c>
    </row>
    <row r="1303" ht="15.75" customHeight="1">
      <c r="A1303" s="10" t="s">
        <v>884</v>
      </c>
      <c r="B1303" s="10" t="s">
        <v>124</v>
      </c>
      <c r="C1303" s="41">
        <f t="array" ref="C1303">IF(IFERROR(INDEX(CATALOG_POINTS,MATCH(A1303,CATALOG_TASK,0)),"")="",IF(MAX(IF(IFERROR(FIND(CATALOG_BASE,A1303),0)=1,CATALOG_POINTS,0))=0,DAILY_POST_POINTS,MAX(IF(IFERROR(FIND(CATALOG_BASE,A1303),0)=1,CATALOG_POINTS,0))),IFERROR(INDEX(CATALOG_POINTS,MATCH(A1303,CATALOG_TASK,0)),""))</f>
        <v>2</v>
      </c>
      <c r="D1303" s="10" t="s">
        <v>882</v>
      </c>
      <c r="E1303" s="41" t="str">
        <f t="shared" si="1"/>
        <v>PROX4</v>
      </c>
    </row>
    <row r="1304" ht="15.75" customHeight="1">
      <c r="A1304" s="10" t="s">
        <v>882</v>
      </c>
      <c r="B1304" s="10" t="s">
        <v>127</v>
      </c>
      <c r="C1304" s="41">
        <f t="array" ref="C1304">IF(IFERROR(INDEX(CATALOG_POINTS,MATCH(A1304,CATALOG_TASK,0)),"")="",IF(MAX(IF(IFERROR(FIND(CATALOG_BASE,A1304),0)=1,CATALOG_POINTS,0))=0,DAILY_POST_POINTS,MAX(IF(IFERROR(FIND(CATALOG_BASE,A1304),0)=1,CATALOG_POINTS,0))),IFERROR(INDEX(CATALOG_POINTS,MATCH(A1304,CATALOG_TASK,0)),""))</f>
        <v>1</v>
      </c>
      <c r="D1304" s="10" t="s">
        <v>882</v>
      </c>
      <c r="E1304" s="41" t="str">
        <f t="shared" si="1"/>
        <v>PROX4</v>
      </c>
    </row>
    <row r="1305" ht="15.75" customHeight="1">
      <c r="A1305" s="10" t="s">
        <v>37</v>
      </c>
      <c r="B1305" s="10" t="s">
        <v>124</v>
      </c>
      <c r="C1305" s="41">
        <f t="array" ref="C1305">IF(IFERROR(INDEX(CATALOG_POINTS,MATCH(A1305,CATALOG_TASK,0)),"")="",IF(MAX(IF(IFERROR(FIND(CATALOG_BASE,A1305),0)=1,CATALOG_POINTS,0))=0,DAILY_POST_POINTS,MAX(IF(IFERROR(FIND(CATALOG_BASE,A1305),0)=1,CATALOG_POINTS,0))),IFERROR(INDEX(CATALOG_POINTS,MATCH(A1305,CATALOG_TASK,0)),""))</f>
        <v>2</v>
      </c>
      <c r="D1305" s="10" t="s">
        <v>882</v>
      </c>
      <c r="E1305" s="41" t="str">
        <f t="shared" si="1"/>
        <v>PROX4</v>
      </c>
    </row>
    <row r="1306" ht="15.75" customHeight="1">
      <c r="A1306" s="10" t="s">
        <v>885</v>
      </c>
      <c r="B1306" s="10" t="s">
        <v>135</v>
      </c>
      <c r="C1306" s="41">
        <f t="array" ref="C1306">IF(IFERROR(INDEX(CATALOG_POINTS,MATCH(A1306,CATALOG_TASK,0)),"")="",IF(MAX(IF(IFERROR(FIND(CATALOG_BASE,A1306),0)=1,CATALOG_POINTS,0))=0,DAILY_POST_POINTS,MAX(IF(IFERROR(FIND(CATALOG_BASE,A1306),0)=1,CATALOG_POINTS,0))),IFERROR(INDEX(CATALOG_POINTS,MATCH(A1306,CATALOG_TASK,0)),""))</f>
        <v>1</v>
      </c>
      <c r="D1306" s="10" t="s">
        <v>885</v>
      </c>
      <c r="E1306" s="41" t="str">
        <f t="shared" si="1"/>
        <v>PROX4</v>
      </c>
    </row>
    <row r="1307" ht="15.75" customHeight="1">
      <c r="A1307" s="10" t="s">
        <v>886</v>
      </c>
      <c r="B1307" s="10" t="s">
        <v>129</v>
      </c>
      <c r="C1307" s="41">
        <f t="array" ref="C1307">IF(IFERROR(INDEX(CATALOG_POINTS,MATCH(A1307,CATALOG_TASK,0)),"")="",IF(MAX(IF(IFERROR(FIND(CATALOG_BASE,A1307),0)=1,CATALOG_POINTS,0))=0,DAILY_POST_POINTS,MAX(IF(IFERROR(FIND(CATALOG_BASE,A1307),0)=1,CATALOG_POINTS,0))),IFERROR(INDEX(CATALOG_POINTS,MATCH(A1307,CATALOG_TASK,0)),""))</f>
        <v>1</v>
      </c>
      <c r="D1307" s="10" t="s">
        <v>886</v>
      </c>
      <c r="E1307" s="41" t="str">
        <f t="shared" si="1"/>
        <v>PROX3</v>
      </c>
    </row>
    <row r="1308" ht="15.75" customHeight="1">
      <c r="A1308" s="10" t="s">
        <v>37</v>
      </c>
      <c r="B1308" s="10" t="s">
        <v>126</v>
      </c>
      <c r="C1308" s="41">
        <f t="array" ref="C1308">IF(IFERROR(INDEX(CATALOG_POINTS,MATCH(A1308,CATALOG_TASK,0)),"")="",IF(MAX(IF(IFERROR(FIND(CATALOG_BASE,A1308),0)=1,CATALOG_POINTS,0))=0,DAILY_POST_POINTS,MAX(IF(IFERROR(FIND(CATALOG_BASE,A1308),0)=1,CATALOG_POINTS,0))),IFERROR(INDEX(CATALOG_POINTS,MATCH(A1308,CATALOG_TASK,0)),""))</f>
        <v>2</v>
      </c>
      <c r="D1308" s="10" t="s">
        <v>887</v>
      </c>
      <c r="E1308" s="41" t="str">
        <f t="shared" si="1"/>
        <v>E0</v>
      </c>
    </row>
    <row r="1309" ht="15.75" customHeight="1">
      <c r="A1309" s="10" t="s">
        <v>887</v>
      </c>
      <c r="B1309" s="10" t="s">
        <v>120</v>
      </c>
      <c r="C1309" s="41">
        <f t="array" ref="C1309">IF(IFERROR(INDEX(CATALOG_POINTS,MATCH(A1309,CATALOG_TASK,0)),"")="",IF(MAX(IF(IFERROR(FIND(CATALOG_BASE,A1309),0)=1,CATALOG_POINTS,0))=0,DAILY_POST_POINTS,MAX(IF(IFERROR(FIND(CATALOG_BASE,A1309),0)=1,CATALOG_POINTS,0))),IFERROR(INDEX(CATALOG_POINTS,MATCH(A1309,CATALOG_TASK,0)),""))</f>
        <v>1</v>
      </c>
      <c r="D1309" s="10" t="s">
        <v>887</v>
      </c>
      <c r="E1309" s="41" t="str">
        <f t="shared" si="1"/>
        <v>E0</v>
      </c>
    </row>
    <row r="1310" ht="15.75" customHeight="1">
      <c r="A1310" s="10" t="s">
        <v>515</v>
      </c>
      <c r="B1310" s="10" t="s">
        <v>123</v>
      </c>
      <c r="C1310" s="41">
        <f t="array" ref="C1310">IF(IFERROR(INDEX(CATALOG_POINTS,MATCH(A1310,CATALOG_TASK,0)),"")="",IF(MAX(IF(IFERROR(FIND(CATALOG_BASE,A1310),0)=1,CATALOG_POINTS,0))=0,DAILY_POST_POINTS,MAX(IF(IFERROR(FIND(CATALOG_BASE,A1310),0)=1,CATALOG_POINTS,0))),IFERROR(INDEX(CATALOG_POINTS,MATCH(A1310,CATALOG_TASK,0)),""))</f>
        <v>1</v>
      </c>
      <c r="D1310" s="10" t="s">
        <v>887</v>
      </c>
      <c r="E1310" s="41" t="str">
        <f t="shared" si="1"/>
        <v>E0</v>
      </c>
    </row>
    <row r="1311" ht="15.75" customHeight="1">
      <c r="A1311" s="10" t="s">
        <v>888</v>
      </c>
      <c r="B1311" s="10" t="s">
        <v>123</v>
      </c>
      <c r="C1311" s="41">
        <f t="array" ref="C1311">IF(IFERROR(INDEX(CATALOG_POINTS,MATCH(A1311,CATALOG_TASK,0)),"")="",IF(MAX(IF(IFERROR(FIND(CATALOG_BASE,A1311),0)=1,CATALOG_POINTS,0))=0,DAILY_POST_POINTS,MAX(IF(IFERROR(FIND(CATALOG_BASE,A1311),0)=1,CATALOG_POINTS,0))),IFERROR(INDEX(CATALOG_POINTS,MATCH(A1311,CATALOG_TASK,0)),""))</f>
        <v>1</v>
      </c>
      <c r="D1311" s="10" t="s">
        <v>888</v>
      </c>
      <c r="E1311" s="41" t="str">
        <f t="shared" si="1"/>
        <v>PROX3</v>
      </c>
    </row>
    <row r="1312" ht="15.75" customHeight="1">
      <c r="A1312" s="10" t="s">
        <v>168</v>
      </c>
      <c r="B1312" s="10" t="s">
        <v>119</v>
      </c>
      <c r="C1312" s="41">
        <f t="array" ref="C1312">IF(IFERROR(INDEX(CATALOG_POINTS,MATCH(A1312,CATALOG_TASK,0)),"")="",IF(MAX(IF(IFERROR(FIND(CATALOG_BASE,A1312),0)=1,CATALOG_POINTS,0))=0,DAILY_POST_POINTS,MAX(IF(IFERROR(FIND(CATALOG_BASE,A1312),0)=1,CATALOG_POINTS,0))),IFERROR(INDEX(CATALOG_POINTS,MATCH(A1312,CATALOG_TASK,0)),""))</f>
        <v>1</v>
      </c>
      <c r="D1312" s="10" t="s">
        <v>889</v>
      </c>
      <c r="E1312" s="41" t="str">
        <f t="shared" si="1"/>
        <v/>
      </c>
    </row>
    <row r="1313" ht="15.75" customHeight="1">
      <c r="A1313" s="10" t="s">
        <v>890</v>
      </c>
      <c r="B1313" s="10" t="s">
        <v>119</v>
      </c>
      <c r="C1313" s="41">
        <f t="array" ref="C1313">IF(IFERROR(INDEX(CATALOG_POINTS,MATCH(A1313,CATALOG_TASK,0)),"")="",IF(MAX(IF(IFERROR(FIND(CATALOG_BASE,A1313),0)=1,CATALOG_POINTS,0))=0,DAILY_POST_POINTS,MAX(IF(IFERROR(FIND(CATALOG_BASE,A1313),0)=1,CATALOG_POINTS,0))),IFERROR(INDEX(CATALOG_POINTS,MATCH(A1313,CATALOG_TASK,0)),""))</f>
        <v>1</v>
      </c>
      <c r="D1313" s="10" t="s">
        <v>889</v>
      </c>
      <c r="E1313" s="41" t="str">
        <f t="shared" si="1"/>
        <v/>
      </c>
    </row>
    <row r="1314" ht="15.75" customHeight="1">
      <c r="A1314" s="10" t="s">
        <v>34</v>
      </c>
      <c r="B1314" s="10" t="s">
        <v>119</v>
      </c>
      <c r="C1314" s="41">
        <f t="array" ref="C1314">IF(IFERROR(INDEX(CATALOG_POINTS,MATCH(A1314,CATALOG_TASK,0)),"")="",IF(MAX(IF(IFERROR(FIND(CATALOG_BASE,A1314),0)=1,CATALOG_POINTS,0))=0,DAILY_POST_POINTS,MAX(IF(IFERROR(FIND(CATALOG_BASE,A1314),0)=1,CATALOG_POINTS,0))),IFERROR(INDEX(CATALOG_POINTS,MATCH(A1314,CATALOG_TASK,0)),""))</f>
        <v>2</v>
      </c>
      <c r="D1314" s="10" t="s">
        <v>889</v>
      </c>
      <c r="E1314" s="41" t="str">
        <f t="shared" si="1"/>
        <v/>
      </c>
    </row>
    <row r="1315" ht="15.75" customHeight="1">
      <c r="A1315" s="10" t="s">
        <v>37</v>
      </c>
      <c r="B1315" s="10" t="s">
        <v>127</v>
      </c>
      <c r="C1315" s="41">
        <f t="array" ref="C1315">IF(IFERROR(INDEX(CATALOG_POINTS,MATCH(A1315,CATALOG_TASK,0)),"")="",IF(MAX(IF(IFERROR(FIND(CATALOG_BASE,A1315),0)=1,CATALOG_POINTS,0))=0,DAILY_POST_POINTS,MAX(IF(IFERROR(FIND(CATALOG_BASE,A1315),0)=1,CATALOG_POINTS,0))),IFERROR(INDEX(CATALOG_POINTS,MATCH(A1315,CATALOG_TASK,0)),""))</f>
        <v>2</v>
      </c>
      <c r="D1315" s="10" t="s">
        <v>891</v>
      </c>
      <c r="E1315" s="41" t="str">
        <f t="shared" si="1"/>
        <v>PROX3</v>
      </c>
    </row>
    <row r="1316" ht="15.75" customHeight="1">
      <c r="A1316" s="10" t="s">
        <v>891</v>
      </c>
      <c r="B1316" s="10" t="s">
        <v>122</v>
      </c>
      <c r="C1316" s="41">
        <f t="array" ref="C1316">IF(IFERROR(INDEX(CATALOG_POINTS,MATCH(A1316,CATALOG_TASK,0)),"")="",IF(MAX(IF(IFERROR(FIND(CATALOG_BASE,A1316),0)=1,CATALOG_POINTS,0))=0,DAILY_POST_POINTS,MAX(IF(IFERROR(FIND(CATALOG_BASE,A1316),0)=1,CATALOG_POINTS,0))),IFERROR(INDEX(CATALOG_POINTS,MATCH(A1316,CATALOG_TASK,0)),""))</f>
        <v>1</v>
      </c>
      <c r="D1316" s="10" t="s">
        <v>891</v>
      </c>
      <c r="E1316" s="41" t="str">
        <f t="shared" si="1"/>
        <v>PROX3</v>
      </c>
    </row>
    <row r="1317" ht="15.75" customHeight="1">
      <c r="A1317" s="10" t="s">
        <v>892</v>
      </c>
      <c r="B1317" s="10" t="s">
        <v>117</v>
      </c>
      <c r="C1317" s="41">
        <f t="array" ref="C1317">IF(IFERROR(INDEX(CATALOG_POINTS,MATCH(A1317,CATALOG_TASK,0)),"")="",IF(MAX(IF(IFERROR(FIND(CATALOG_BASE,A1317),0)=1,CATALOG_POINTS,0))=0,DAILY_POST_POINTS,MAX(IF(IFERROR(FIND(CATALOG_BASE,A1317),0)=1,CATALOG_POINTS,0))),IFERROR(INDEX(CATALOG_POINTS,MATCH(A1317,CATALOG_TASK,0)),""))</f>
        <v>1</v>
      </c>
      <c r="D1317" s="10" t="s">
        <v>892</v>
      </c>
      <c r="E1317" s="41" t="str">
        <f t="shared" si="1"/>
        <v>PROX3</v>
      </c>
    </row>
    <row r="1318" ht="15.75" customHeight="1">
      <c r="A1318" s="10" t="s">
        <v>893</v>
      </c>
      <c r="B1318" s="10" t="s">
        <v>135</v>
      </c>
      <c r="C1318" s="41">
        <f t="array" ref="C1318">IF(IFERROR(INDEX(CATALOG_POINTS,MATCH(A1318,CATALOG_TASK,0)),"")="",IF(MAX(IF(IFERROR(FIND(CATALOG_BASE,A1318),0)=1,CATALOG_POINTS,0))=0,DAILY_POST_POINTS,MAX(IF(IFERROR(FIND(CATALOG_BASE,A1318),0)=1,CATALOG_POINTS,0))),IFERROR(INDEX(CATALOG_POINTS,MATCH(A1318,CATALOG_TASK,0)),""))</f>
        <v>1</v>
      </c>
      <c r="D1318" s="10" t="s">
        <v>894</v>
      </c>
      <c r="E1318" s="41" t="str">
        <f t="shared" si="1"/>
        <v/>
      </c>
    </row>
    <row r="1319" ht="15.75" customHeight="1">
      <c r="A1319" s="10" t="s">
        <v>895</v>
      </c>
      <c r="B1319" s="10" t="s">
        <v>119</v>
      </c>
      <c r="C1319" s="41">
        <f t="array" ref="C1319">IF(IFERROR(INDEX(CATALOG_POINTS,MATCH(A1319,CATALOG_TASK,0)),"")="",IF(MAX(IF(IFERROR(FIND(CATALOG_BASE,A1319),0)=1,CATALOG_POINTS,0))=0,DAILY_POST_POINTS,MAX(IF(IFERROR(FIND(CATALOG_BASE,A1319),0)=1,CATALOG_POINTS,0))),IFERROR(INDEX(CATALOG_POINTS,MATCH(A1319,CATALOG_TASK,0)),""))</f>
        <v>1</v>
      </c>
      <c r="D1319" s="10" t="s">
        <v>895</v>
      </c>
      <c r="E1319" s="41" t="str">
        <f t="shared" si="1"/>
        <v>PROX3</v>
      </c>
    </row>
    <row r="1320" ht="15.75" customHeight="1">
      <c r="A1320" s="10" t="s">
        <v>896</v>
      </c>
      <c r="B1320" s="10" t="s">
        <v>119</v>
      </c>
      <c r="C1320" s="41">
        <f t="array" ref="C1320">IF(IFERROR(INDEX(CATALOG_POINTS,MATCH(A1320,CATALOG_TASK,0)),"")="",IF(MAX(IF(IFERROR(FIND(CATALOG_BASE,A1320),0)=1,CATALOG_POINTS,0))=0,DAILY_POST_POINTS,MAX(IF(IFERROR(FIND(CATALOG_BASE,A1320),0)=1,CATALOG_POINTS,0))),IFERROR(INDEX(CATALOG_POINTS,MATCH(A1320,CATALOG_TASK,0)),""))</f>
        <v>1</v>
      </c>
      <c r="D1320" s="10" t="s">
        <v>896</v>
      </c>
      <c r="E1320" s="41" t="str">
        <f t="shared" si="1"/>
        <v>PROX3</v>
      </c>
    </row>
    <row r="1321" ht="15.75" customHeight="1">
      <c r="A1321" s="10" t="s">
        <v>52</v>
      </c>
      <c r="B1321" s="10" t="s">
        <v>151</v>
      </c>
      <c r="C1321" s="41">
        <f t="array" ref="C1321">IF(IFERROR(INDEX(CATALOG_POINTS,MATCH(A1321,CATALOG_TASK,0)),"")="",IF(MAX(IF(IFERROR(FIND(CATALOG_BASE,A1321),0)=1,CATALOG_POINTS,0))=0,DAILY_POST_POINTS,MAX(IF(IFERROR(FIND(CATALOG_BASE,A1321),0)=1,CATALOG_POINTS,0))),IFERROR(INDEX(CATALOG_POINTS,MATCH(A1321,CATALOG_TASK,0)),""))</f>
        <v>10</v>
      </c>
      <c r="D1321" s="10" t="s">
        <v>897</v>
      </c>
      <c r="E1321" s="41" t="str">
        <f t="shared" si="1"/>
        <v>PROX4</v>
      </c>
    </row>
    <row r="1322" ht="15.75" customHeight="1">
      <c r="A1322" s="10" t="s">
        <v>37</v>
      </c>
      <c r="B1322" s="10" t="s">
        <v>123</v>
      </c>
      <c r="C1322" s="41">
        <f t="array" ref="C1322">IF(IFERROR(INDEX(CATALOG_POINTS,MATCH(A1322,CATALOG_TASK,0)),"")="",IF(MAX(IF(IFERROR(FIND(CATALOG_BASE,A1322),0)=1,CATALOG_POINTS,0))=0,DAILY_POST_POINTS,MAX(IF(IFERROR(FIND(CATALOG_BASE,A1322),0)=1,CATALOG_POINTS,0))),IFERROR(INDEX(CATALOG_POINTS,MATCH(A1322,CATALOG_TASK,0)),""))</f>
        <v>2</v>
      </c>
      <c r="D1322" s="10" t="s">
        <v>897</v>
      </c>
      <c r="E1322" s="41" t="str">
        <f t="shared" si="1"/>
        <v>PROX4</v>
      </c>
    </row>
    <row r="1323" ht="15.75" customHeight="1">
      <c r="A1323" s="10" t="s">
        <v>898</v>
      </c>
      <c r="B1323" s="10" t="s">
        <v>117</v>
      </c>
      <c r="C1323" s="41">
        <f t="array" ref="C1323">IF(IFERROR(INDEX(CATALOG_POINTS,MATCH(A1323,CATALOG_TASK,0)),"")="",IF(MAX(IF(IFERROR(FIND(CATALOG_BASE,A1323),0)=1,CATALOG_POINTS,0))=0,DAILY_POST_POINTS,MAX(IF(IFERROR(FIND(CATALOG_BASE,A1323),0)=1,CATALOG_POINTS,0))),IFERROR(INDEX(CATALOG_POINTS,MATCH(A1323,CATALOG_TASK,0)),""))</f>
        <v>1</v>
      </c>
      <c r="D1323" s="10" t="s">
        <v>898</v>
      </c>
      <c r="E1323" s="41" t="str">
        <f t="shared" si="1"/>
        <v>PROX3</v>
      </c>
    </row>
    <row r="1324" ht="15.75" customHeight="1">
      <c r="A1324" s="10" t="s">
        <v>37</v>
      </c>
      <c r="B1324" s="10" t="s">
        <v>121</v>
      </c>
      <c r="C1324" s="41">
        <f t="array" ref="C1324">IF(IFERROR(INDEX(CATALOG_POINTS,MATCH(A1324,CATALOG_TASK,0)),"")="",IF(MAX(IF(IFERROR(FIND(CATALOG_BASE,A1324),0)=1,CATALOG_POINTS,0))=0,DAILY_POST_POINTS,MAX(IF(IFERROR(FIND(CATALOG_BASE,A1324),0)=1,CATALOG_POINTS,0))),IFERROR(INDEX(CATALOG_POINTS,MATCH(A1324,CATALOG_TASK,0)),""))</f>
        <v>2</v>
      </c>
      <c r="D1324" s="10" t="s">
        <v>899</v>
      </c>
      <c r="E1324" s="41" t="str">
        <f t="shared" si="1"/>
        <v>E0</v>
      </c>
    </row>
    <row r="1325" ht="15.75" customHeight="1">
      <c r="A1325" s="10" t="s">
        <v>37</v>
      </c>
      <c r="B1325" s="10" t="s">
        <v>121</v>
      </c>
      <c r="C1325" s="41">
        <f t="array" ref="C1325">IF(IFERROR(INDEX(CATALOG_POINTS,MATCH(A1325,CATALOG_TASK,0)),"")="",IF(MAX(IF(IFERROR(FIND(CATALOG_BASE,A1325),0)=1,CATALOG_POINTS,0))=0,DAILY_POST_POINTS,MAX(IF(IFERROR(FIND(CATALOG_BASE,A1325),0)=1,CATALOG_POINTS,0))),IFERROR(INDEX(CATALOG_POINTS,MATCH(A1325,CATALOG_TASK,0)),""))</f>
        <v>2</v>
      </c>
      <c r="D1325" s="10" t="s">
        <v>899</v>
      </c>
      <c r="E1325" s="41" t="str">
        <f t="shared" si="1"/>
        <v>E0</v>
      </c>
    </row>
    <row r="1326" ht="15.75" customHeight="1">
      <c r="A1326" s="10" t="s">
        <v>37</v>
      </c>
      <c r="B1326" s="10" t="s">
        <v>126</v>
      </c>
      <c r="C1326" s="41">
        <f t="array" ref="C1326">IF(IFERROR(INDEX(CATALOG_POINTS,MATCH(A1326,CATALOG_TASK,0)),"")="",IF(MAX(IF(IFERROR(FIND(CATALOG_BASE,A1326),0)=1,CATALOG_POINTS,0))=0,DAILY_POST_POINTS,MAX(IF(IFERROR(FIND(CATALOG_BASE,A1326),0)=1,CATALOG_POINTS,0))),IFERROR(INDEX(CATALOG_POINTS,MATCH(A1326,CATALOG_TASK,0)),""))</f>
        <v>2</v>
      </c>
      <c r="D1326" s="10" t="s">
        <v>900</v>
      </c>
      <c r="E1326" s="41" t="str">
        <f t="shared" si="1"/>
        <v/>
      </c>
    </row>
    <row r="1327" ht="15.75" customHeight="1">
      <c r="A1327" s="10" t="s">
        <v>900</v>
      </c>
      <c r="B1327" s="10" t="s">
        <v>121</v>
      </c>
      <c r="C1327" s="41">
        <f t="array" ref="C1327">IF(IFERROR(INDEX(CATALOG_POINTS,MATCH(A1327,CATALOG_TASK,0)),"")="",IF(MAX(IF(IFERROR(FIND(CATALOG_BASE,A1327),0)=1,CATALOG_POINTS,0))=0,DAILY_POST_POINTS,MAX(IF(IFERROR(FIND(CATALOG_BASE,A1327),0)=1,CATALOG_POINTS,0))),IFERROR(INDEX(CATALOG_POINTS,MATCH(A1327,CATALOG_TASK,0)),""))</f>
        <v>1</v>
      </c>
      <c r="D1327" s="10" t="s">
        <v>900</v>
      </c>
      <c r="E1327" s="41" t="str">
        <f t="shared" si="1"/>
        <v/>
      </c>
    </row>
    <row r="1328" ht="15.75" customHeight="1">
      <c r="A1328" s="10" t="s">
        <v>178</v>
      </c>
      <c r="B1328" s="10" t="s">
        <v>119</v>
      </c>
      <c r="C1328" s="41">
        <f t="array" ref="C1328">IF(IFERROR(INDEX(CATALOG_POINTS,MATCH(A1328,CATALOG_TASK,0)),"")="",IF(MAX(IF(IFERROR(FIND(CATALOG_BASE,A1328),0)=1,CATALOG_POINTS,0))=0,DAILY_POST_POINTS,MAX(IF(IFERROR(FIND(CATALOG_BASE,A1328),0)=1,CATALOG_POINTS,0))),IFERROR(INDEX(CATALOG_POINTS,MATCH(A1328,CATALOG_TASK,0)),""))</f>
        <v>1</v>
      </c>
      <c r="D1328" s="10" t="s">
        <v>901</v>
      </c>
      <c r="E1328" s="41" t="str">
        <f t="shared" si="1"/>
        <v>PROX3</v>
      </c>
    </row>
    <row r="1329" ht="15.75" customHeight="1">
      <c r="A1329" s="10" t="s">
        <v>37</v>
      </c>
      <c r="B1329" s="10" t="s">
        <v>122</v>
      </c>
      <c r="C1329" s="41">
        <f t="array" ref="C1329">IF(IFERROR(INDEX(CATALOG_POINTS,MATCH(A1329,CATALOG_TASK,0)),"")="",IF(MAX(IF(IFERROR(FIND(CATALOG_BASE,A1329),0)=1,CATALOG_POINTS,0))=0,DAILY_POST_POINTS,MAX(IF(IFERROR(FIND(CATALOG_BASE,A1329),0)=1,CATALOG_POINTS,0))),IFERROR(INDEX(CATALOG_POINTS,MATCH(A1329,CATALOG_TASK,0)),""))</f>
        <v>2</v>
      </c>
      <c r="D1329" s="10" t="s">
        <v>901</v>
      </c>
      <c r="E1329" s="41" t="str">
        <f t="shared" si="1"/>
        <v>PROX3</v>
      </c>
    </row>
    <row r="1330" ht="15.75" customHeight="1">
      <c r="A1330" s="10" t="s">
        <v>168</v>
      </c>
      <c r="B1330" s="10" t="s">
        <v>120</v>
      </c>
      <c r="C1330" s="41">
        <f t="array" ref="C1330">IF(IFERROR(INDEX(CATALOG_POINTS,MATCH(A1330,CATALOG_TASK,0)),"")="",IF(MAX(IF(IFERROR(FIND(CATALOG_BASE,A1330),0)=1,CATALOG_POINTS,0))=0,DAILY_POST_POINTS,MAX(IF(IFERROR(FIND(CATALOG_BASE,A1330),0)=1,CATALOG_POINTS,0))),IFERROR(INDEX(CATALOG_POINTS,MATCH(A1330,CATALOG_TASK,0)),""))</f>
        <v>1</v>
      </c>
      <c r="D1330" s="10" t="s">
        <v>901</v>
      </c>
      <c r="E1330" s="41" t="str">
        <f t="shared" si="1"/>
        <v>PROX3</v>
      </c>
    </row>
    <row r="1331" ht="15.75" customHeight="1">
      <c r="A1331" s="10" t="s">
        <v>901</v>
      </c>
      <c r="B1331" s="10" t="s">
        <v>123</v>
      </c>
      <c r="C1331" s="41">
        <f t="array" ref="C1331">IF(IFERROR(INDEX(CATALOG_POINTS,MATCH(A1331,CATALOG_TASK,0)),"")="",IF(MAX(IF(IFERROR(FIND(CATALOG_BASE,A1331),0)=1,CATALOG_POINTS,0))=0,DAILY_POST_POINTS,MAX(IF(IFERROR(FIND(CATALOG_BASE,A1331),0)=1,CATALOG_POINTS,0))),IFERROR(INDEX(CATALOG_POINTS,MATCH(A1331,CATALOG_TASK,0)),""))</f>
        <v>1</v>
      </c>
      <c r="D1331" s="10" t="s">
        <v>901</v>
      </c>
      <c r="E1331" s="41" t="str">
        <f t="shared" si="1"/>
        <v>PROX3</v>
      </c>
    </row>
    <row r="1332" ht="15.75" customHeight="1">
      <c r="A1332" s="10" t="s">
        <v>37</v>
      </c>
      <c r="B1332" s="10" t="s">
        <v>120</v>
      </c>
      <c r="C1332" s="41">
        <f t="array" ref="C1332">IF(IFERROR(INDEX(CATALOG_POINTS,MATCH(A1332,CATALOG_TASK,0)),"")="",IF(MAX(IF(IFERROR(FIND(CATALOG_BASE,A1332),0)=1,CATALOG_POINTS,0))=0,DAILY_POST_POINTS,MAX(IF(IFERROR(FIND(CATALOG_BASE,A1332),0)=1,CATALOG_POINTS,0))),IFERROR(INDEX(CATALOG_POINTS,MATCH(A1332,CATALOG_TASK,0)),""))</f>
        <v>2</v>
      </c>
      <c r="D1332" s="10" t="s">
        <v>901</v>
      </c>
      <c r="E1332" s="41" t="str">
        <f t="shared" si="1"/>
        <v>PROX3</v>
      </c>
    </row>
    <row r="1333" ht="15.75" customHeight="1">
      <c r="A1333" s="10" t="s">
        <v>902</v>
      </c>
      <c r="B1333" s="10" t="s">
        <v>124</v>
      </c>
      <c r="C1333" s="41">
        <f t="array" ref="C1333">IF(IFERROR(INDEX(CATALOG_POINTS,MATCH(A1333,CATALOG_TASK,0)),"")="",IF(MAX(IF(IFERROR(FIND(CATALOG_BASE,A1333),0)=1,CATALOG_POINTS,0))=0,DAILY_POST_POINTS,MAX(IF(IFERROR(FIND(CATALOG_BASE,A1333),0)=1,CATALOG_POINTS,0))),IFERROR(INDEX(CATALOG_POINTS,MATCH(A1333,CATALOG_TASK,0)),""))</f>
        <v>1</v>
      </c>
      <c r="D1333" s="10" t="s">
        <v>902</v>
      </c>
      <c r="E1333" s="41" t="str">
        <f t="shared" si="1"/>
        <v>PROX3</v>
      </c>
    </row>
    <row r="1334" ht="15.75" customHeight="1">
      <c r="A1334" s="10" t="s">
        <v>37</v>
      </c>
      <c r="B1334" s="10" t="s">
        <v>125</v>
      </c>
      <c r="C1334" s="41">
        <f t="array" ref="C1334">IF(IFERROR(INDEX(CATALOG_POINTS,MATCH(A1334,CATALOG_TASK,0)),"")="",IF(MAX(IF(IFERROR(FIND(CATALOG_BASE,A1334),0)=1,CATALOG_POINTS,0))=0,DAILY_POST_POINTS,MAX(IF(IFERROR(FIND(CATALOG_BASE,A1334),0)=1,CATALOG_POINTS,0))),IFERROR(INDEX(CATALOG_POINTS,MATCH(A1334,CATALOG_TASK,0)),""))</f>
        <v>2</v>
      </c>
      <c r="D1334" s="10" t="s">
        <v>903</v>
      </c>
      <c r="E1334" s="41" t="str">
        <f t="shared" si="1"/>
        <v>PROX3</v>
      </c>
    </row>
    <row r="1335" ht="15.75" customHeight="1">
      <c r="A1335" s="10" t="s">
        <v>168</v>
      </c>
      <c r="B1335" s="10" t="s">
        <v>121</v>
      </c>
      <c r="C1335" s="41">
        <f t="array" ref="C1335">IF(IFERROR(INDEX(CATALOG_POINTS,MATCH(A1335,CATALOG_TASK,0)),"")="",IF(MAX(IF(IFERROR(FIND(CATALOG_BASE,A1335),0)=1,CATALOG_POINTS,0))=0,DAILY_POST_POINTS,MAX(IF(IFERROR(FIND(CATALOG_BASE,A1335),0)=1,CATALOG_POINTS,0))),IFERROR(INDEX(CATALOG_POINTS,MATCH(A1335,CATALOG_TASK,0)),""))</f>
        <v>1</v>
      </c>
      <c r="D1335" s="10" t="s">
        <v>903</v>
      </c>
      <c r="E1335" s="41" t="str">
        <f t="shared" si="1"/>
        <v>PROX3</v>
      </c>
    </row>
    <row r="1336" ht="15.75" customHeight="1">
      <c r="A1336" s="10" t="s">
        <v>37</v>
      </c>
      <c r="B1336" s="10" t="s">
        <v>121</v>
      </c>
      <c r="C1336" s="41">
        <f t="array" ref="C1336">IF(IFERROR(INDEX(CATALOG_POINTS,MATCH(A1336,CATALOG_TASK,0)),"")="",IF(MAX(IF(IFERROR(FIND(CATALOG_BASE,A1336),0)=1,CATALOG_POINTS,0))=0,DAILY_POST_POINTS,MAX(IF(IFERROR(FIND(CATALOG_BASE,A1336),0)=1,CATALOG_POINTS,0))),IFERROR(INDEX(CATALOG_POINTS,MATCH(A1336,CATALOG_TASK,0)),""))</f>
        <v>2</v>
      </c>
      <c r="D1336" s="10" t="s">
        <v>903</v>
      </c>
      <c r="E1336" s="41" t="str">
        <f t="shared" si="1"/>
        <v>PROX3</v>
      </c>
    </row>
    <row r="1337" ht="15.75" customHeight="1">
      <c r="A1337" s="10" t="s">
        <v>903</v>
      </c>
      <c r="B1337" s="10" t="s">
        <v>117</v>
      </c>
      <c r="C1337" s="41">
        <f t="array" ref="C1337">IF(IFERROR(INDEX(CATALOG_POINTS,MATCH(A1337,CATALOG_TASK,0)),"")="",IF(MAX(IF(IFERROR(FIND(CATALOG_BASE,A1337),0)=1,CATALOG_POINTS,0))=0,DAILY_POST_POINTS,MAX(IF(IFERROR(FIND(CATALOG_BASE,A1337),0)=1,CATALOG_POINTS,0))),IFERROR(INDEX(CATALOG_POINTS,MATCH(A1337,CATALOG_TASK,0)),""))</f>
        <v>1</v>
      </c>
      <c r="D1337" s="10" t="s">
        <v>903</v>
      </c>
      <c r="E1337" s="41" t="str">
        <f t="shared" si="1"/>
        <v>PROX3</v>
      </c>
    </row>
    <row r="1338" ht="15.75" customHeight="1">
      <c r="A1338" s="10" t="s">
        <v>904</v>
      </c>
      <c r="B1338" s="10" t="s">
        <v>117</v>
      </c>
      <c r="C1338" s="41">
        <f t="array" ref="C1338">IF(IFERROR(INDEX(CATALOG_POINTS,MATCH(A1338,CATALOG_TASK,0)),"")="",IF(MAX(IF(IFERROR(FIND(CATALOG_BASE,A1338),0)=1,CATALOG_POINTS,0))=0,DAILY_POST_POINTS,MAX(IF(IFERROR(FIND(CATALOG_BASE,A1338),0)=1,CATALOG_POINTS,0))),IFERROR(INDEX(CATALOG_POINTS,MATCH(A1338,CATALOG_TASK,0)),""))</f>
        <v>1</v>
      </c>
      <c r="D1338" s="10" t="s">
        <v>904</v>
      </c>
      <c r="E1338" s="41" t="str">
        <f t="shared" si="1"/>
        <v>PROX3</v>
      </c>
    </row>
    <row r="1339" ht="15.75" customHeight="1">
      <c r="A1339" s="10" t="s">
        <v>37</v>
      </c>
      <c r="B1339" s="10" t="s">
        <v>122</v>
      </c>
      <c r="C1339" s="41">
        <f t="array" ref="C1339">IF(IFERROR(INDEX(CATALOG_POINTS,MATCH(A1339,CATALOG_TASK,0)),"")="",IF(MAX(IF(IFERROR(FIND(CATALOG_BASE,A1339),0)=1,CATALOG_POINTS,0))=0,DAILY_POST_POINTS,MAX(IF(IFERROR(FIND(CATALOG_BASE,A1339),0)=1,CATALOG_POINTS,0))),IFERROR(INDEX(CATALOG_POINTS,MATCH(A1339,CATALOG_TASK,0)),""))</f>
        <v>2</v>
      </c>
      <c r="D1339" s="10" t="s">
        <v>905</v>
      </c>
      <c r="E1339" s="41" t="str">
        <f t="shared" si="1"/>
        <v>PROX3</v>
      </c>
    </row>
    <row r="1340" ht="15.75" customHeight="1">
      <c r="A1340" s="10" t="s">
        <v>905</v>
      </c>
      <c r="B1340" s="10" t="s">
        <v>126</v>
      </c>
      <c r="C1340" s="41">
        <f t="array" ref="C1340">IF(IFERROR(INDEX(CATALOG_POINTS,MATCH(A1340,CATALOG_TASK,0)),"")="",IF(MAX(IF(IFERROR(FIND(CATALOG_BASE,A1340),0)=1,CATALOG_POINTS,0))=0,DAILY_POST_POINTS,MAX(IF(IFERROR(FIND(CATALOG_BASE,A1340),0)=1,CATALOG_POINTS,0))),IFERROR(INDEX(CATALOG_POINTS,MATCH(A1340,CATALOG_TASK,0)),""))</f>
        <v>1</v>
      </c>
      <c r="D1340" s="10" t="s">
        <v>905</v>
      </c>
      <c r="E1340" s="41" t="str">
        <f t="shared" si="1"/>
        <v>PROX3</v>
      </c>
    </row>
    <row r="1341" ht="15.75" customHeight="1">
      <c r="A1341" s="10" t="s">
        <v>906</v>
      </c>
      <c r="B1341" s="10" t="s">
        <v>135</v>
      </c>
      <c r="C1341" s="41">
        <f t="array" ref="C1341">IF(IFERROR(INDEX(CATALOG_POINTS,MATCH(A1341,CATALOG_TASK,0)),"")="",IF(MAX(IF(IFERROR(FIND(CATALOG_BASE,A1341),0)=1,CATALOG_POINTS,0))=0,DAILY_POST_POINTS,MAX(IF(IFERROR(FIND(CATALOG_BASE,A1341),0)=1,CATALOG_POINTS,0))),IFERROR(INDEX(CATALOG_POINTS,MATCH(A1341,CATALOG_TASK,0)),""))</f>
        <v>1</v>
      </c>
      <c r="D1341" s="10" t="s">
        <v>907</v>
      </c>
      <c r="E1341" s="41" t="str">
        <f t="shared" si="1"/>
        <v>PROX4</v>
      </c>
    </row>
    <row r="1342" ht="15.75" customHeight="1">
      <c r="A1342" s="10" t="s">
        <v>908</v>
      </c>
      <c r="B1342" s="10" t="s">
        <v>128</v>
      </c>
      <c r="C1342" s="41">
        <f t="array" ref="C1342">IF(IFERROR(INDEX(CATALOG_POINTS,MATCH(A1342,CATALOG_TASK,0)),"")="",IF(MAX(IF(IFERROR(FIND(CATALOG_BASE,A1342),0)=1,CATALOG_POINTS,0))=0,DAILY_POST_POINTS,MAX(IF(IFERROR(FIND(CATALOG_BASE,A1342),0)=1,CATALOG_POINTS,0))),IFERROR(INDEX(CATALOG_POINTS,MATCH(A1342,CATALOG_TASK,0)),""))</f>
        <v>1</v>
      </c>
      <c r="D1342" s="10" t="s">
        <v>908</v>
      </c>
      <c r="E1342" s="41" t="str">
        <f t="shared" si="1"/>
        <v>PROX3</v>
      </c>
    </row>
    <row r="1343" ht="15.75" customHeight="1">
      <c r="A1343" s="10" t="s">
        <v>909</v>
      </c>
      <c r="B1343" s="10" t="s">
        <v>131</v>
      </c>
      <c r="C1343" s="41">
        <f t="array" ref="C1343">IF(IFERROR(INDEX(CATALOG_POINTS,MATCH(A1343,CATALOG_TASK,0)),"")="",IF(MAX(IF(IFERROR(FIND(CATALOG_BASE,A1343),0)=1,CATALOG_POINTS,0))=0,DAILY_POST_POINTS,MAX(IF(IFERROR(FIND(CATALOG_BASE,A1343),0)=1,CATALOG_POINTS,0))),IFERROR(INDEX(CATALOG_POINTS,MATCH(A1343,CATALOG_TASK,0)),""))</f>
        <v>1</v>
      </c>
      <c r="D1343" s="10" t="s">
        <v>909</v>
      </c>
      <c r="E1343" s="41" t="str">
        <f t="shared" si="1"/>
        <v>PROX3</v>
      </c>
    </row>
    <row r="1344" ht="15.75" customHeight="1">
      <c r="A1344" s="10" t="s">
        <v>168</v>
      </c>
      <c r="B1344" s="10" t="s">
        <v>119</v>
      </c>
      <c r="C1344" s="41">
        <f t="array" ref="C1344">IF(IFERROR(INDEX(CATALOG_POINTS,MATCH(A1344,CATALOG_TASK,0)),"")="",IF(MAX(IF(IFERROR(FIND(CATALOG_BASE,A1344),0)=1,CATALOG_POINTS,0))=0,DAILY_POST_POINTS,MAX(IF(IFERROR(FIND(CATALOG_BASE,A1344),0)=1,CATALOG_POINTS,0))),IFERROR(INDEX(CATALOG_POINTS,MATCH(A1344,CATALOG_TASK,0)),""))</f>
        <v>1</v>
      </c>
      <c r="D1344" s="10" t="s">
        <v>910</v>
      </c>
      <c r="E1344" s="41" t="str">
        <f t="shared" si="1"/>
        <v>PROX3</v>
      </c>
    </row>
    <row r="1345" ht="15.75" customHeight="1">
      <c r="A1345" s="10" t="s">
        <v>910</v>
      </c>
      <c r="B1345" s="10" t="s">
        <v>127</v>
      </c>
      <c r="C1345" s="41">
        <f t="array" ref="C1345">IF(IFERROR(INDEX(CATALOG_POINTS,MATCH(A1345,CATALOG_TASK,0)),"")="",IF(MAX(IF(IFERROR(FIND(CATALOG_BASE,A1345),0)=1,CATALOG_POINTS,0))=0,DAILY_POST_POINTS,MAX(IF(IFERROR(FIND(CATALOG_BASE,A1345),0)=1,CATALOG_POINTS,0))),IFERROR(INDEX(CATALOG_POINTS,MATCH(A1345,CATALOG_TASK,0)),""))</f>
        <v>1</v>
      </c>
      <c r="D1345" s="10" t="s">
        <v>910</v>
      </c>
      <c r="E1345" s="41" t="str">
        <f t="shared" si="1"/>
        <v>PROX3</v>
      </c>
    </row>
    <row r="1346" ht="15.75" customHeight="1">
      <c r="A1346" s="10" t="s">
        <v>911</v>
      </c>
      <c r="B1346" s="10" t="s">
        <v>119</v>
      </c>
      <c r="C1346" s="41">
        <f t="array" ref="C1346">IF(IFERROR(INDEX(CATALOG_POINTS,MATCH(A1346,CATALOG_TASK,0)),"")="",IF(MAX(IF(IFERROR(FIND(CATALOG_BASE,A1346),0)=1,CATALOG_POINTS,0))=0,DAILY_POST_POINTS,MAX(IF(IFERROR(FIND(CATALOG_BASE,A1346),0)=1,CATALOG_POINTS,0))),IFERROR(INDEX(CATALOG_POINTS,MATCH(A1346,CATALOG_TASK,0)),""))</f>
        <v>1</v>
      </c>
      <c r="D1346" s="10" t="s">
        <v>911</v>
      </c>
      <c r="E1346" s="41" t="str">
        <f t="shared" si="1"/>
        <v>PROX3</v>
      </c>
    </row>
    <row r="1347" ht="15.75" customHeight="1">
      <c r="A1347" s="10" t="s">
        <v>912</v>
      </c>
      <c r="B1347" s="10" t="s">
        <v>117</v>
      </c>
      <c r="C1347" s="41">
        <f t="array" ref="C1347">IF(IFERROR(INDEX(CATALOG_POINTS,MATCH(A1347,CATALOG_TASK,0)),"")="",IF(MAX(IF(IFERROR(FIND(CATALOG_BASE,A1347),0)=1,CATALOG_POINTS,0))=0,DAILY_POST_POINTS,MAX(IF(IFERROR(FIND(CATALOG_BASE,A1347),0)=1,CATALOG_POINTS,0))),IFERROR(INDEX(CATALOG_POINTS,MATCH(A1347,CATALOG_TASK,0)),""))</f>
        <v>1</v>
      </c>
      <c r="D1347" s="10" t="s">
        <v>912</v>
      </c>
      <c r="E1347" s="41" t="str">
        <f t="shared" si="1"/>
        <v>PROX3</v>
      </c>
    </row>
    <row r="1348" ht="15.75" customHeight="1">
      <c r="A1348" s="10" t="s">
        <v>913</v>
      </c>
      <c r="B1348" s="10" t="s">
        <v>127</v>
      </c>
      <c r="C1348" s="41">
        <f t="array" ref="C1348">IF(IFERROR(INDEX(CATALOG_POINTS,MATCH(A1348,CATALOG_TASK,0)),"")="",IF(MAX(IF(IFERROR(FIND(CATALOG_BASE,A1348),0)=1,CATALOG_POINTS,0))=0,DAILY_POST_POINTS,MAX(IF(IFERROR(FIND(CATALOG_BASE,A1348),0)=1,CATALOG_POINTS,0))),IFERROR(INDEX(CATALOG_POINTS,MATCH(A1348,CATALOG_TASK,0)),""))</f>
        <v>1</v>
      </c>
      <c r="D1348" s="10" t="s">
        <v>913</v>
      </c>
      <c r="E1348" s="41" t="str">
        <f t="shared" si="1"/>
        <v>PROX4</v>
      </c>
    </row>
    <row r="1349" ht="15.75" customHeight="1">
      <c r="A1349" s="10" t="s">
        <v>914</v>
      </c>
      <c r="B1349" s="10" t="s">
        <v>136</v>
      </c>
      <c r="C1349" s="41">
        <f t="array" ref="C1349">IF(IFERROR(INDEX(CATALOG_POINTS,MATCH(A1349,CATALOG_TASK,0)),"")="",IF(MAX(IF(IFERROR(FIND(CATALOG_BASE,A1349),0)=1,CATALOG_POINTS,0))=0,DAILY_POST_POINTS,MAX(IF(IFERROR(FIND(CATALOG_BASE,A1349),0)=1,CATALOG_POINTS,0))),IFERROR(INDEX(CATALOG_POINTS,MATCH(A1349,CATALOG_TASK,0)),""))</f>
        <v>1</v>
      </c>
      <c r="D1349" s="10" t="s">
        <v>914</v>
      </c>
      <c r="E1349" s="41" t="str">
        <f t="shared" si="1"/>
        <v>PROX3</v>
      </c>
    </row>
    <row r="1350" ht="15.75" customHeight="1">
      <c r="A1350" s="10" t="s">
        <v>915</v>
      </c>
      <c r="B1350" s="10" t="s">
        <v>136</v>
      </c>
      <c r="C1350" s="41">
        <f t="array" ref="C1350">IF(IFERROR(INDEX(CATALOG_POINTS,MATCH(A1350,CATALOG_TASK,0)),"")="",IF(MAX(IF(IFERROR(FIND(CATALOG_BASE,A1350),0)=1,CATALOG_POINTS,0))=0,DAILY_POST_POINTS,MAX(IF(IFERROR(FIND(CATALOG_BASE,A1350),0)=1,CATALOG_POINTS,0))),IFERROR(INDEX(CATALOG_POINTS,MATCH(A1350,CATALOG_TASK,0)),""))</f>
        <v>1</v>
      </c>
      <c r="D1350" s="10" t="s">
        <v>915</v>
      </c>
      <c r="E1350" s="41" t="str">
        <f t="shared" si="1"/>
        <v>PROX4</v>
      </c>
    </row>
    <row r="1351" ht="15.75" customHeight="1">
      <c r="A1351" s="10" t="s">
        <v>916</v>
      </c>
      <c r="B1351" s="10" t="s">
        <v>134</v>
      </c>
      <c r="C1351" s="41">
        <f t="array" ref="C1351">IF(IFERROR(INDEX(CATALOG_POINTS,MATCH(A1351,CATALOG_TASK,0)),"")="",IF(MAX(IF(IFERROR(FIND(CATALOG_BASE,A1351),0)=1,CATALOG_POINTS,0))=0,DAILY_POST_POINTS,MAX(IF(IFERROR(FIND(CATALOG_BASE,A1351),0)=1,CATALOG_POINTS,0))),IFERROR(INDEX(CATALOG_POINTS,MATCH(A1351,CATALOG_TASK,0)),""))</f>
        <v>1</v>
      </c>
      <c r="D1351" s="10" t="s">
        <v>916</v>
      </c>
      <c r="E1351" s="41" t="str">
        <f t="shared" si="1"/>
        <v>PROX3</v>
      </c>
    </row>
    <row r="1352" ht="15.75" customHeight="1">
      <c r="A1352" s="10" t="s">
        <v>917</v>
      </c>
      <c r="B1352" s="10" t="s">
        <v>135</v>
      </c>
      <c r="C1352" s="41">
        <f t="array" ref="C1352">IF(IFERROR(INDEX(CATALOG_POINTS,MATCH(A1352,CATALOG_TASK,0)),"")="",IF(MAX(IF(IFERROR(FIND(CATALOG_BASE,A1352),0)=1,CATALOG_POINTS,0))=0,DAILY_POST_POINTS,MAX(IF(IFERROR(FIND(CATALOG_BASE,A1352),0)=1,CATALOG_POINTS,0))),IFERROR(INDEX(CATALOG_POINTS,MATCH(A1352,CATALOG_TASK,0)),""))</f>
        <v>1</v>
      </c>
      <c r="D1352" s="10" t="s">
        <v>917</v>
      </c>
      <c r="E1352" s="41" t="str">
        <f t="shared" si="1"/>
        <v>PROX4</v>
      </c>
    </row>
    <row r="1353" ht="15.75" customHeight="1">
      <c r="A1353" s="10" t="s">
        <v>37</v>
      </c>
      <c r="B1353" s="10" t="s">
        <v>119</v>
      </c>
      <c r="C1353" s="41">
        <f t="array" ref="C1353">IF(IFERROR(INDEX(CATALOG_POINTS,MATCH(A1353,CATALOG_TASK,0)),"")="",IF(MAX(IF(IFERROR(FIND(CATALOG_BASE,A1353),0)=1,CATALOG_POINTS,0))=0,DAILY_POST_POINTS,MAX(IF(IFERROR(FIND(CATALOG_BASE,A1353),0)=1,CATALOG_POINTS,0))),IFERROR(INDEX(CATALOG_POINTS,MATCH(A1353,CATALOG_TASK,0)),""))</f>
        <v>2</v>
      </c>
      <c r="D1353" s="10" t="s">
        <v>918</v>
      </c>
      <c r="E1353" s="41" t="str">
        <f t="shared" si="1"/>
        <v>PROX3</v>
      </c>
    </row>
    <row r="1354" ht="15.75" customHeight="1">
      <c r="A1354" s="10" t="s">
        <v>37</v>
      </c>
      <c r="B1354" s="10" t="s">
        <v>125</v>
      </c>
      <c r="C1354" s="41">
        <f t="array" ref="C1354">IF(IFERROR(INDEX(CATALOG_POINTS,MATCH(A1354,CATALOG_TASK,0)),"")="",IF(MAX(IF(IFERROR(FIND(CATALOG_BASE,A1354),0)=1,CATALOG_POINTS,0))=0,DAILY_POST_POINTS,MAX(IF(IFERROR(FIND(CATALOG_BASE,A1354),0)=1,CATALOG_POINTS,0))),IFERROR(INDEX(CATALOG_POINTS,MATCH(A1354,CATALOG_TASK,0)),""))</f>
        <v>2</v>
      </c>
      <c r="D1354" s="10" t="s">
        <v>918</v>
      </c>
      <c r="E1354" s="41" t="str">
        <f t="shared" si="1"/>
        <v>PROX3</v>
      </c>
    </row>
    <row r="1355" ht="15.75" customHeight="1">
      <c r="A1355" s="10" t="s">
        <v>37</v>
      </c>
      <c r="B1355" s="10" t="s">
        <v>119</v>
      </c>
      <c r="C1355" s="41">
        <f t="array" ref="C1355">IF(IFERROR(INDEX(CATALOG_POINTS,MATCH(A1355,CATALOG_TASK,0)),"")="",IF(MAX(IF(IFERROR(FIND(CATALOG_BASE,A1355),0)=1,CATALOG_POINTS,0))=0,DAILY_POST_POINTS,MAX(IF(IFERROR(FIND(CATALOG_BASE,A1355),0)=1,CATALOG_POINTS,0))),IFERROR(INDEX(CATALOG_POINTS,MATCH(A1355,CATALOG_TASK,0)),""))</f>
        <v>2</v>
      </c>
      <c r="D1355" s="10" t="s">
        <v>918</v>
      </c>
      <c r="E1355" s="41" t="str">
        <f t="shared" si="1"/>
        <v>PROX3</v>
      </c>
    </row>
    <row r="1356" ht="15.75" customHeight="1">
      <c r="A1356" s="10" t="s">
        <v>918</v>
      </c>
      <c r="B1356" s="10" t="s">
        <v>124</v>
      </c>
      <c r="C1356" s="41">
        <f t="array" ref="C1356">IF(IFERROR(INDEX(CATALOG_POINTS,MATCH(A1356,CATALOG_TASK,0)),"")="",IF(MAX(IF(IFERROR(FIND(CATALOG_BASE,A1356),0)=1,CATALOG_POINTS,0))=0,DAILY_POST_POINTS,MAX(IF(IFERROR(FIND(CATALOG_BASE,A1356),0)=1,CATALOG_POINTS,0))),IFERROR(INDEX(CATALOG_POINTS,MATCH(A1356,CATALOG_TASK,0)),""))</f>
        <v>1</v>
      </c>
      <c r="D1356" s="10" t="s">
        <v>918</v>
      </c>
      <c r="E1356" s="41" t="str">
        <f t="shared" si="1"/>
        <v>PROX3</v>
      </c>
    </row>
    <row r="1357" ht="15.75" customHeight="1">
      <c r="A1357" s="10" t="s">
        <v>37</v>
      </c>
      <c r="B1357" s="10" t="s">
        <v>119</v>
      </c>
      <c r="C1357" s="41">
        <f t="array" ref="C1357">IF(IFERROR(INDEX(CATALOG_POINTS,MATCH(A1357,CATALOG_TASK,0)),"")="",IF(MAX(IF(IFERROR(FIND(CATALOG_BASE,A1357),0)=1,CATALOG_POINTS,0))=0,DAILY_POST_POINTS,MAX(IF(IFERROR(FIND(CATALOG_BASE,A1357),0)=1,CATALOG_POINTS,0))),IFERROR(INDEX(CATALOG_POINTS,MATCH(A1357,CATALOG_TASK,0)),""))</f>
        <v>2</v>
      </c>
      <c r="D1357" s="10" t="s">
        <v>918</v>
      </c>
      <c r="E1357" s="41" t="str">
        <f t="shared" si="1"/>
        <v>PROX3</v>
      </c>
    </row>
    <row r="1358" ht="15.75" customHeight="1">
      <c r="A1358" s="10" t="s">
        <v>168</v>
      </c>
      <c r="B1358" s="10" t="s">
        <v>125</v>
      </c>
      <c r="C1358" s="41">
        <f t="array" ref="C1358">IF(IFERROR(INDEX(CATALOG_POINTS,MATCH(A1358,CATALOG_TASK,0)),"")="",IF(MAX(IF(IFERROR(FIND(CATALOG_BASE,A1358),0)=1,CATALOG_POINTS,0))=0,DAILY_POST_POINTS,MAX(IF(IFERROR(FIND(CATALOG_BASE,A1358),0)=1,CATALOG_POINTS,0))),IFERROR(INDEX(CATALOG_POINTS,MATCH(A1358,CATALOG_TASK,0)),""))</f>
        <v>1</v>
      </c>
      <c r="D1358" s="10" t="s">
        <v>918</v>
      </c>
      <c r="E1358" s="41" t="str">
        <f t="shared" si="1"/>
        <v>PROX3</v>
      </c>
    </row>
    <row r="1359" ht="15.75" customHeight="1">
      <c r="A1359" s="10" t="s">
        <v>919</v>
      </c>
      <c r="B1359" s="10" t="s">
        <v>120</v>
      </c>
      <c r="C1359" s="41">
        <f t="array" ref="C1359">IF(IFERROR(INDEX(CATALOG_POINTS,MATCH(A1359,CATALOG_TASK,0)),"")="",IF(MAX(IF(IFERROR(FIND(CATALOG_BASE,A1359),0)=1,CATALOG_POINTS,0))=0,DAILY_POST_POINTS,MAX(IF(IFERROR(FIND(CATALOG_BASE,A1359),0)=1,CATALOG_POINTS,0))),IFERROR(INDEX(CATALOG_POINTS,MATCH(A1359,CATALOG_TASK,0)),""))</f>
        <v>1</v>
      </c>
      <c r="D1359" s="10" t="s">
        <v>919</v>
      </c>
      <c r="E1359" s="41" t="str">
        <f t="shared" si="1"/>
        <v>PROX3</v>
      </c>
    </row>
    <row r="1360" ht="15.75" customHeight="1">
      <c r="A1360" s="10" t="s">
        <v>37</v>
      </c>
      <c r="B1360" s="10" t="s">
        <v>128</v>
      </c>
      <c r="C1360" s="41">
        <f t="array" ref="C1360">IF(IFERROR(INDEX(CATALOG_POINTS,MATCH(A1360,CATALOG_TASK,0)),"")="",IF(MAX(IF(IFERROR(FIND(CATALOG_BASE,A1360),0)=1,CATALOG_POINTS,0))=0,DAILY_POST_POINTS,MAX(IF(IFERROR(FIND(CATALOG_BASE,A1360),0)=1,CATALOG_POINTS,0))),IFERROR(INDEX(CATALOG_POINTS,MATCH(A1360,CATALOG_TASK,0)),""))</f>
        <v>2</v>
      </c>
      <c r="D1360" s="10" t="s">
        <v>919</v>
      </c>
      <c r="E1360" s="41" t="str">
        <f t="shared" si="1"/>
        <v>PROX3</v>
      </c>
    </row>
    <row r="1361" ht="15.75" customHeight="1">
      <c r="A1361" s="10" t="s">
        <v>178</v>
      </c>
      <c r="B1361" s="10" t="s">
        <v>123</v>
      </c>
      <c r="C1361" s="41">
        <f t="array" ref="C1361">IF(IFERROR(INDEX(CATALOG_POINTS,MATCH(A1361,CATALOG_TASK,0)),"")="",IF(MAX(IF(IFERROR(FIND(CATALOG_BASE,A1361),0)=1,CATALOG_POINTS,0))=0,DAILY_POST_POINTS,MAX(IF(IFERROR(FIND(CATALOG_BASE,A1361),0)=1,CATALOG_POINTS,0))),IFERROR(INDEX(CATALOG_POINTS,MATCH(A1361,CATALOG_TASK,0)),""))</f>
        <v>1</v>
      </c>
      <c r="D1361" s="10" t="s">
        <v>920</v>
      </c>
      <c r="E1361" s="41" t="str">
        <f t="shared" si="1"/>
        <v>PROX4</v>
      </c>
    </row>
    <row r="1362" ht="15.75" customHeight="1">
      <c r="A1362" s="10" t="s">
        <v>920</v>
      </c>
      <c r="B1362" s="10" t="s">
        <v>124</v>
      </c>
      <c r="C1362" s="41">
        <f t="array" ref="C1362">IF(IFERROR(INDEX(CATALOG_POINTS,MATCH(A1362,CATALOG_TASK,0)),"")="",IF(MAX(IF(IFERROR(FIND(CATALOG_BASE,A1362),0)=1,CATALOG_POINTS,0))=0,DAILY_POST_POINTS,MAX(IF(IFERROR(FIND(CATALOG_BASE,A1362),0)=1,CATALOG_POINTS,0))),IFERROR(INDEX(CATALOG_POINTS,MATCH(A1362,CATALOG_TASK,0)),""))</f>
        <v>1</v>
      </c>
      <c r="D1362" s="10" t="s">
        <v>920</v>
      </c>
      <c r="E1362" s="41" t="str">
        <f t="shared" si="1"/>
        <v>PROX4</v>
      </c>
    </row>
    <row r="1363" ht="15.75" customHeight="1">
      <c r="A1363" s="10" t="s">
        <v>921</v>
      </c>
      <c r="B1363" s="10" t="s">
        <v>135</v>
      </c>
      <c r="C1363" s="41">
        <f t="array" ref="C1363">IF(IFERROR(INDEX(CATALOG_POINTS,MATCH(A1363,CATALOG_TASK,0)),"")="",IF(MAX(IF(IFERROR(FIND(CATALOG_BASE,A1363),0)=1,CATALOG_POINTS,0))=0,DAILY_POST_POINTS,MAX(IF(IFERROR(FIND(CATALOG_BASE,A1363),0)=1,CATALOG_POINTS,0))),IFERROR(INDEX(CATALOG_POINTS,MATCH(A1363,CATALOG_TASK,0)),""))</f>
        <v>1</v>
      </c>
      <c r="D1363" s="10" t="s">
        <v>921</v>
      </c>
      <c r="E1363" s="41" t="str">
        <f t="shared" si="1"/>
        <v>PROX3</v>
      </c>
    </row>
    <row r="1364" ht="15.75" customHeight="1">
      <c r="A1364" s="10" t="s">
        <v>922</v>
      </c>
      <c r="B1364" s="10" t="s">
        <v>119</v>
      </c>
      <c r="C1364" s="41">
        <f t="array" ref="C1364">IF(IFERROR(INDEX(CATALOG_POINTS,MATCH(A1364,CATALOG_TASK,0)),"")="",IF(MAX(IF(IFERROR(FIND(CATALOG_BASE,A1364),0)=1,CATALOG_POINTS,0))=0,DAILY_POST_POINTS,MAX(IF(IFERROR(FIND(CATALOG_BASE,A1364),0)=1,CATALOG_POINTS,0))),IFERROR(INDEX(CATALOG_POINTS,MATCH(A1364,CATALOG_TASK,0)),""))</f>
        <v>1</v>
      </c>
      <c r="D1364" s="10" t="s">
        <v>922</v>
      </c>
      <c r="E1364" s="41" t="str">
        <f t="shared" si="1"/>
        <v>PROX3</v>
      </c>
    </row>
    <row r="1365" ht="15.75" customHeight="1">
      <c r="A1365" s="10" t="s">
        <v>923</v>
      </c>
      <c r="B1365" s="10" t="s">
        <v>120</v>
      </c>
      <c r="C1365" s="41">
        <f t="array" ref="C1365">IF(IFERROR(INDEX(CATALOG_POINTS,MATCH(A1365,CATALOG_TASK,0)),"")="",IF(MAX(IF(IFERROR(FIND(CATALOG_BASE,A1365),0)=1,CATALOG_POINTS,0))=0,DAILY_POST_POINTS,MAX(IF(IFERROR(FIND(CATALOG_BASE,A1365),0)=1,CATALOG_POINTS,0))),IFERROR(INDEX(CATALOG_POINTS,MATCH(A1365,CATALOG_TASK,0)),""))</f>
        <v>1</v>
      </c>
      <c r="D1365" s="10" t="s">
        <v>923</v>
      </c>
      <c r="E1365" s="41" t="str">
        <f t="shared" si="1"/>
        <v>PROX4</v>
      </c>
    </row>
    <row r="1366" ht="15.75" customHeight="1">
      <c r="A1366" s="10" t="s">
        <v>890</v>
      </c>
      <c r="B1366" s="10" t="s">
        <v>119</v>
      </c>
      <c r="C1366" s="41">
        <f t="array" ref="C1366">IF(IFERROR(INDEX(CATALOG_POINTS,MATCH(A1366,CATALOG_TASK,0)),"")="",IF(MAX(IF(IFERROR(FIND(CATALOG_BASE,A1366),0)=1,CATALOG_POINTS,0))=0,DAILY_POST_POINTS,MAX(IF(IFERROR(FIND(CATALOG_BASE,A1366),0)=1,CATALOG_POINTS,0))),IFERROR(INDEX(CATALOG_POINTS,MATCH(A1366,CATALOG_TASK,0)),""))</f>
        <v>1</v>
      </c>
      <c r="D1366" s="10" t="s">
        <v>923</v>
      </c>
      <c r="E1366" s="41" t="str">
        <f t="shared" si="1"/>
        <v>PROX4</v>
      </c>
    </row>
    <row r="1367" ht="15.75" customHeight="1">
      <c r="A1367" s="10" t="s">
        <v>174</v>
      </c>
      <c r="B1367" s="10" t="s">
        <v>127</v>
      </c>
      <c r="C1367" s="41">
        <f t="array" ref="C1367">IF(IFERROR(INDEX(CATALOG_POINTS,MATCH(A1367,CATALOG_TASK,0)),"")="",IF(MAX(IF(IFERROR(FIND(CATALOG_BASE,A1367),0)=1,CATALOG_POINTS,0))=0,DAILY_POST_POINTS,MAX(IF(IFERROR(FIND(CATALOG_BASE,A1367),0)=1,CATALOG_POINTS,0))),IFERROR(INDEX(CATALOG_POINTS,MATCH(A1367,CATALOG_TASK,0)),""))</f>
        <v>1</v>
      </c>
      <c r="D1367" s="10" t="s">
        <v>923</v>
      </c>
      <c r="E1367" s="41" t="str">
        <f t="shared" si="1"/>
        <v>PROX4</v>
      </c>
    </row>
    <row r="1368" ht="15.75" customHeight="1">
      <c r="A1368" s="10" t="s">
        <v>168</v>
      </c>
      <c r="B1368" s="10" t="s">
        <v>119</v>
      </c>
      <c r="C1368" s="41">
        <f t="array" ref="C1368">IF(IFERROR(INDEX(CATALOG_POINTS,MATCH(A1368,CATALOG_TASK,0)),"")="",IF(MAX(IF(IFERROR(FIND(CATALOG_BASE,A1368),0)=1,CATALOG_POINTS,0))=0,DAILY_POST_POINTS,MAX(IF(IFERROR(FIND(CATALOG_BASE,A1368),0)=1,CATALOG_POINTS,0))),IFERROR(INDEX(CATALOG_POINTS,MATCH(A1368,CATALOG_TASK,0)),""))</f>
        <v>1</v>
      </c>
      <c r="D1368" s="10" t="s">
        <v>923</v>
      </c>
      <c r="E1368" s="41" t="str">
        <f t="shared" si="1"/>
        <v>PROX4</v>
      </c>
    </row>
    <row r="1369" ht="15.75" customHeight="1">
      <c r="A1369" s="10" t="s">
        <v>924</v>
      </c>
      <c r="B1369" s="10" t="s">
        <v>123</v>
      </c>
      <c r="C1369" s="41">
        <f t="array" ref="C1369">IF(IFERROR(INDEX(CATALOG_POINTS,MATCH(A1369,CATALOG_TASK,0)),"")="",IF(MAX(IF(IFERROR(FIND(CATALOG_BASE,A1369),0)=1,CATALOG_POINTS,0))=0,DAILY_POST_POINTS,MAX(IF(IFERROR(FIND(CATALOG_BASE,A1369),0)=1,CATALOG_POINTS,0))),IFERROR(INDEX(CATALOG_POINTS,MATCH(A1369,CATALOG_TASK,0)),""))</f>
        <v>1</v>
      </c>
      <c r="D1369" s="10" t="s">
        <v>924</v>
      </c>
      <c r="E1369" s="41" t="str">
        <f t="shared" si="1"/>
        <v>E0</v>
      </c>
    </row>
    <row r="1370" ht="15.75" customHeight="1">
      <c r="A1370" s="10" t="s">
        <v>37</v>
      </c>
      <c r="B1370" s="10" t="s">
        <v>119</v>
      </c>
      <c r="C1370" s="41">
        <f t="array" ref="C1370">IF(IFERROR(INDEX(CATALOG_POINTS,MATCH(A1370,CATALOG_TASK,0)),"")="",IF(MAX(IF(IFERROR(FIND(CATALOG_BASE,A1370),0)=1,CATALOG_POINTS,0))=0,DAILY_POST_POINTS,MAX(IF(IFERROR(FIND(CATALOG_BASE,A1370),0)=1,CATALOG_POINTS,0))),IFERROR(INDEX(CATALOG_POINTS,MATCH(A1370,CATALOG_TASK,0)),""))</f>
        <v>2</v>
      </c>
      <c r="D1370" s="10" t="s">
        <v>924</v>
      </c>
      <c r="E1370" s="41" t="str">
        <f t="shared" si="1"/>
        <v>E0</v>
      </c>
    </row>
    <row r="1371" ht="15.75" customHeight="1">
      <c r="A1371" s="10" t="s">
        <v>925</v>
      </c>
      <c r="B1371" s="10" t="s">
        <v>134</v>
      </c>
      <c r="C1371" s="41">
        <f t="array" ref="C1371">IF(IFERROR(INDEX(CATALOG_POINTS,MATCH(A1371,CATALOG_TASK,0)),"")="",IF(MAX(IF(IFERROR(FIND(CATALOG_BASE,A1371),0)=1,CATALOG_POINTS,0))=0,DAILY_POST_POINTS,MAX(IF(IFERROR(FIND(CATALOG_BASE,A1371),0)=1,CATALOG_POINTS,0))),IFERROR(INDEX(CATALOG_POINTS,MATCH(A1371,CATALOG_TASK,0)),""))</f>
        <v>1</v>
      </c>
      <c r="D1371" s="10" t="s">
        <v>925</v>
      </c>
      <c r="E1371" s="41" t="str">
        <f t="shared" si="1"/>
        <v>PROX3</v>
      </c>
    </row>
    <row r="1372" ht="15.75" customHeight="1">
      <c r="A1372" s="10" t="s">
        <v>926</v>
      </c>
      <c r="B1372" s="10" t="s">
        <v>129</v>
      </c>
      <c r="C1372" s="41">
        <f t="array" ref="C1372">IF(IFERROR(INDEX(CATALOG_POINTS,MATCH(A1372,CATALOG_TASK,0)),"")="",IF(MAX(IF(IFERROR(FIND(CATALOG_BASE,A1372),0)=1,CATALOG_POINTS,0))=0,DAILY_POST_POINTS,MAX(IF(IFERROR(FIND(CATALOG_BASE,A1372),0)=1,CATALOG_POINTS,0))),IFERROR(INDEX(CATALOG_POINTS,MATCH(A1372,CATALOG_TASK,0)),""))</f>
        <v>1</v>
      </c>
      <c r="D1372" s="10" t="s">
        <v>926</v>
      </c>
      <c r="E1372" s="41" t="str">
        <f t="shared" si="1"/>
        <v>PROX3</v>
      </c>
    </row>
    <row r="1373" ht="15.75" customHeight="1">
      <c r="A1373" s="10" t="s">
        <v>927</v>
      </c>
      <c r="B1373" s="10" t="s">
        <v>128</v>
      </c>
      <c r="C1373" s="41">
        <f t="array" ref="C1373">IF(IFERROR(INDEX(CATALOG_POINTS,MATCH(A1373,CATALOG_TASK,0)),"")="",IF(MAX(IF(IFERROR(FIND(CATALOG_BASE,A1373),0)=1,CATALOG_POINTS,0))=0,DAILY_POST_POINTS,MAX(IF(IFERROR(FIND(CATALOG_BASE,A1373),0)=1,CATALOG_POINTS,0))),IFERROR(INDEX(CATALOG_POINTS,MATCH(A1373,CATALOG_TASK,0)),""))</f>
        <v>1</v>
      </c>
      <c r="D1373" s="10" t="s">
        <v>927</v>
      </c>
      <c r="E1373" s="41" t="str">
        <f t="shared" si="1"/>
        <v>PROX3</v>
      </c>
    </row>
    <row r="1374" ht="15.75" customHeight="1">
      <c r="A1374" s="10" t="s">
        <v>37</v>
      </c>
      <c r="B1374" s="10" t="s">
        <v>123</v>
      </c>
      <c r="C1374" s="41">
        <f t="array" ref="C1374">IF(IFERROR(INDEX(CATALOG_POINTS,MATCH(A1374,CATALOG_TASK,0)),"")="",IF(MAX(IF(IFERROR(FIND(CATALOG_BASE,A1374),0)=1,CATALOG_POINTS,0))=0,DAILY_POST_POINTS,MAX(IF(IFERROR(FIND(CATALOG_BASE,A1374),0)=1,CATALOG_POINTS,0))),IFERROR(INDEX(CATALOG_POINTS,MATCH(A1374,CATALOG_TASK,0)),""))</f>
        <v>2</v>
      </c>
      <c r="D1374" s="10" t="s">
        <v>927</v>
      </c>
      <c r="E1374" s="41" t="str">
        <f t="shared" si="1"/>
        <v>PROX3</v>
      </c>
    </row>
    <row r="1375" ht="15.75" customHeight="1">
      <c r="A1375" s="10" t="s">
        <v>928</v>
      </c>
      <c r="B1375" s="10" t="s">
        <v>119</v>
      </c>
      <c r="C1375" s="41">
        <f t="array" ref="C1375">IF(IFERROR(INDEX(CATALOG_POINTS,MATCH(A1375,CATALOG_TASK,0)),"")="",IF(MAX(IF(IFERROR(FIND(CATALOG_BASE,A1375),0)=1,CATALOG_POINTS,0))=0,DAILY_POST_POINTS,MAX(IF(IFERROR(FIND(CATALOG_BASE,A1375),0)=1,CATALOG_POINTS,0))),IFERROR(INDEX(CATALOG_POINTS,MATCH(A1375,CATALOG_TASK,0)),""))</f>
        <v>1</v>
      </c>
      <c r="D1375" s="10" t="s">
        <v>928</v>
      </c>
      <c r="E1375" s="41" t="str">
        <f t="shared" si="1"/>
        <v>PROX3</v>
      </c>
    </row>
    <row r="1376" ht="15.75" customHeight="1">
      <c r="A1376" s="10" t="s">
        <v>929</v>
      </c>
      <c r="B1376" s="10" t="s">
        <v>127</v>
      </c>
      <c r="C1376" s="41">
        <f t="array" ref="C1376">IF(IFERROR(INDEX(CATALOG_POINTS,MATCH(A1376,CATALOG_TASK,0)),"")="",IF(MAX(IF(IFERROR(FIND(CATALOG_BASE,A1376),0)=1,CATALOG_POINTS,0))=0,DAILY_POST_POINTS,MAX(IF(IFERROR(FIND(CATALOG_BASE,A1376),0)=1,CATALOG_POINTS,0))),IFERROR(INDEX(CATALOG_POINTS,MATCH(A1376,CATALOG_TASK,0)),""))</f>
        <v>1</v>
      </c>
      <c r="D1376" s="10" t="s">
        <v>929</v>
      </c>
      <c r="E1376" s="41" t="str">
        <f t="shared" si="1"/>
        <v>PROX3</v>
      </c>
    </row>
    <row r="1377" ht="15.75" customHeight="1">
      <c r="A1377" s="10" t="s">
        <v>37</v>
      </c>
      <c r="B1377" s="10" t="s">
        <v>124</v>
      </c>
      <c r="C1377" s="41">
        <f t="array" ref="C1377">IF(IFERROR(INDEX(CATALOG_POINTS,MATCH(A1377,CATALOG_TASK,0)),"")="",IF(MAX(IF(IFERROR(FIND(CATALOG_BASE,A1377),0)=1,CATALOG_POINTS,0))=0,DAILY_POST_POINTS,MAX(IF(IFERROR(FIND(CATALOG_BASE,A1377),0)=1,CATALOG_POINTS,0))),IFERROR(INDEX(CATALOG_POINTS,MATCH(A1377,CATALOG_TASK,0)),""))</f>
        <v>2</v>
      </c>
      <c r="D1377" s="10" t="s">
        <v>930</v>
      </c>
      <c r="E1377" s="41" t="str">
        <f t="shared" si="1"/>
        <v>PROX4</v>
      </c>
    </row>
    <row r="1378" ht="15.75" customHeight="1">
      <c r="A1378" s="10" t="s">
        <v>930</v>
      </c>
      <c r="B1378" s="10" t="s">
        <v>120</v>
      </c>
      <c r="C1378" s="41">
        <f t="array" ref="C1378">IF(IFERROR(INDEX(CATALOG_POINTS,MATCH(A1378,CATALOG_TASK,0)),"")="",IF(MAX(IF(IFERROR(FIND(CATALOG_BASE,A1378),0)=1,CATALOG_POINTS,0))=0,DAILY_POST_POINTS,MAX(IF(IFERROR(FIND(CATALOG_BASE,A1378),0)=1,CATALOG_POINTS,0))),IFERROR(INDEX(CATALOG_POINTS,MATCH(A1378,CATALOG_TASK,0)),""))</f>
        <v>1</v>
      </c>
      <c r="D1378" s="10" t="s">
        <v>930</v>
      </c>
      <c r="E1378" s="41" t="str">
        <f t="shared" si="1"/>
        <v>PROX4</v>
      </c>
    </row>
    <row r="1379" ht="15.75" customHeight="1">
      <c r="A1379" s="10" t="s">
        <v>37</v>
      </c>
      <c r="B1379" s="10" t="s">
        <v>128</v>
      </c>
      <c r="C1379" s="41">
        <f t="array" ref="C1379">IF(IFERROR(INDEX(CATALOG_POINTS,MATCH(A1379,CATALOG_TASK,0)),"")="",IF(MAX(IF(IFERROR(FIND(CATALOG_BASE,A1379),0)=1,CATALOG_POINTS,0))=0,DAILY_POST_POINTS,MAX(IF(IFERROR(FIND(CATALOG_BASE,A1379),0)=1,CATALOG_POINTS,0))),IFERROR(INDEX(CATALOG_POINTS,MATCH(A1379,CATALOG_TASK,0)),""))</f>
        <v>2</v>
      </c>
      <c r="D1379" s="10" t="s">
        <v>930</v>
      </c>
      <c r="E1379" s="41" t="str">
        <f t="shared" si="1"/>
        <v>PROX4</v>
      </c>
    </row>
    <row r="1380" ht="15.75" customHeight="1">
      <c r="A1380" s="10" t="s">
        <v>37</v>
      </c>
      <c r="B1380" s="10" t="s">
        <v>127</v>
      </c>
      <c r="C1380" s="41">
        <f t="array" ref="C1380">IF(IFERROR(INDEX(CATALOG_POINTS,MATCH(A1380,CATALOG_TASK,0)),"")="",IF(MAX(IF(IFERROR(FIND(CATALOG_BASE,A1380),0)=1,CATALOG_POINTS,0))=0,DAILY_POST_POINTS,MAX(IF(IFERROR(FIND(CATALOG_BASE,A1380),0)=1,CATALOG_POINTS,0))),IFERROR(INDEX(CATALOG_POINTS,MATCH(A1380,CATALOG_TASK,0)),""))</f>
        <v>2</v>
      </c>
      <c r="D1380" s="10" t="s">
        <v>930</v>
      </c>
      <c r="E1380" s="41" t="str">
        <f t="shared" si="1"/>
        <v>PROX4</v>
      </c>
    </row>
    <row r="1381" ht="15.75" customHeight="1">
      <c r="A1381" s="10" t="s">
        <v>37</v>
      </c>
      <c r="B1381" s="10" t="s">
        <v>122</v>
      </c>
      <c r="C1381" s="41">
        <f t="array" ref="C1381">IF(IFERROR(INDEX(CATALOG_POINTS,MATCH(A1381,CATALOG_TASK,0)),"")="",IF(MAX(IF(IFERROR(FIND(CATALOG_BASE,A1381),0)=1,CATALOG_POINTS,0))=0,DAILY_POST_POINTS,MAX(IF(IFERROR(FIND(CATALOG_BASE,A1381),0)=1,CATALOG_POINTS,0))),IFERROR(INDEX(CATALOG_POINTS,MATCH(A1381,CATALOG_TASK,0)),""))</f>
        <v>2</v>
      </c>
      <c r="D1381" s="10" t="s">
        <v>930</v>
      </c>
      <c r="E1381" s="41" t="str">
        <f t="shared" si="1"/>
        <v>PROX4</v>
      </c>
    </row>
    <row r="1382" ht="15.75" customHeight="1">
      <c r="A1382" s="10" t="s">
        <v>37</v>
      </c>
      <c r="B1382" s="10" t="s">
        <v>121</v>
      </c>
      <c r="C1382" s="41">
        <f t="array" ref="C1382">IF(IFERROR(INDEX(CATALOG_POINTS,MATCH(A1382,CATALOG_TASK,0)),"")="",IF(MAX(IF(IFERROR(FIND(CATALOG_BASE,A1382),0)=1,CATALOG_POINTS,0))=0,DAILY_POST_POINTS,MAX(IF(IFERROR(FIND(CATALOG_BASE,A1382),0)=1,CATALOG_POINTS,0))),IFERROR(INDEX(CATALOG_POINTS,MATCH(A1382,CATALOG_TASK,0)),""))</f>
        <v>2</v>
      </c>
      <c r="D1382" s="10" t="s">
        <v>930</v>
      </c>
      <c r="E1382" s="41" t="str">
        <f t="shared" si="1"/>
        <v>PROX4</v>
      </c>
    </row>
    <row r="1383" ht="15.75" customHeight="1">
      <c r="A1383" s="10" t="s">
        <v>37</v>
      </c>
      <c r="B1383" s="10" t="s">
        <v>121</v>
      </c>
      <c r="C1383" s="41">
        <f t="array" ref="C1383">IF(IFERROR(INDEX(CATALOG_POINTS,MATCH(A1383,CATALOG_TASK,0)),"")="",IF(MAX(IF(IFERROR(FIND(CATALOG_BASE,A1383),0)=1,CATALOG_POINTS,0))=0,DAILY_POST_POINTS,MAX(IF(IFERROR(FIND(CATALOG_BASE,A1383),0)=1,CATALOG_POINTS,0))),IFERROR(INDEX(CATALOG_POINTS,MATCH(A1383,CATALOG_TASK,0)),""))</f>
        <v>2</v>
      </c>
      <c r="D1383" s="10" t="s">
        <v>930</v>
      </c>
      <c r="E1383" s="41" t="str">
        <f t="shared" si="1"/>
        <v>PROX4</v>
      </c>
    </row>
    <row r="1384" ht="15.75" customHeight="1">
      <c r="A1384" s="10" t="s">
        <v>931</v>
      </c>
      <c r="B1384" s="10" t="s">
        <v>136</v>
      </c>
      <c r="C1384" s="41">
        <f t="array" ref="C1384">IF(IFERROR(INDEX(CATALOG_POINTS,MATCH(A1384,CATALOG_TASK,0)),"")="",IF(MAX(IF(IFERROR(FIND(CATALOG_BASE,A1384),0)=1,CATALOG_POINTS,0))=0,DAILY_POST_POINTS,MAX(IF(IFERROR(FIND(CATALOG_BASE,A1384),0)=1,CATALOG_POINTS,0))),IFERROR(INDEX(CATALOG_POINTS,MATCH(A1384,CATALOG_TASK,0)),""))</f>
        <v>1</v>
      </c>
      <c r="D1384" s="10" t="s">
        <v>931</v>
      </c>
      <c r="E1384" s="41" t="str">
        <f t="shared" si="1"/>
        <v>PROX3</v>
      </c>
    </row>
    <row r="1385" ht="15.75" customHeight="1">
      <c r="A1385" s="10" t="s">
        <v>178</v>
      </c>
      <c r="B1385" s="10" t="s">
        <v>149</v>
      </c>
      <c r="C1385" s="41">
        <f t="array" ref="C1385">IF(IFERROR(INDEX(CATALOG_POINTS,MATCH(A1385,CATALOG_TASK,0)),"")="",IF(MAX(IF(IFERROR(FIND(CATALOG_BASE,A1385),0)=1,CATALOG_POINTS,0))=0,DAILY_POST_POINTS,MAX(IF(IFERROR(FIND(CATALOG_BASE,A1385),0)=1,CATALOG_POINTS,0))),IFERROR(INDEX(CATALOG_POINTS,MATCH(A1385,CATALOG_TASK,0)),""))</f>
        <v>1</v>
      </c>
      <c r="D1385" s="10" t="s">
        <v>931</v>
      </c>
      <c r="E1385" s="41" t="str">
        <f t="shared" si="1"/>
        <v>PROX3</v>
      </c>
    </row>
    <row r="1386" ht="15.75" customHeight="1">
      <c r="A1386" s="10" t="s">
        <v>932</v>
      </c>
      <c r="B1386" s="10" t="s">
        <v>132</v>
      </c>
      <c r="C1386" s="41">
        <f t="array" ref="C1386">IF(IFERROR(INDEX(CATALOG_POINTS,MATCH(A1386,CATALOG_TASK,0)),"")="",IF(MAX(IF(IFERROR(FIND(CATALOG_BASE,A1386),0)=1,CATALOG_POINTS,0))=0,DAILY_POST_POINTS,MAX(IF(IFERROR(FIND(CATALOG_BASE,A1386),0)=1,CATALOG_POINTS,0))),IFERROR(INDEX(CATALOG_POINTS,MATCH(A1386,CATALOG_TASK,0)),""))</f>
        <v>1</v>
      </c>
      <c r="D1386" s="10" t="s">
        <v>932</v>
      </c>
      <c r="E1386" s="41" t="str">
        <f t="shared" si="1"/>
        <v/>
      </c>
    </row>
    <row r="1387" ht="15.75" customHeight="1">
      <c r="A1387" s="10" t="s">
        <v>178</v>
      </c>
      <c r="B1387" s="10" t="s">
        <v>119</v>
      </c>
      <c r="C1387" s="41">
        <f t="array" ref="C1387">IF(IFERROR(INDEX(CATALOG_POINTS,MATCH(A1387,CATALOG_TASK,0)),"")="",IF(MAX(IF(IFERROR(FIND(CATALOG_BASE,A1387),0)=1,CATALOG_POINTS,0))=0,DAILY_POST_POINTS,MAX(IF(IFERROR(FIND(CATALOG_BASE,A1387),0)=1,CATALOG_POINTS,0))),IFERROR(INDEX(CATALOG_POINTS,MATCH(A1387,CATALOG_TASK,0)),""))</f>
        <v>1</v>
      </c>
      <c r="D1387" s="10" t="s">
        <v>933</v>
      </c>
      <c r="E1387" s="41" t="str">
        <f t="shared" si="1"/>
        <v>PROX3</v>
      </c>
    </row>
    <row r="1388" ht="15.75" customHeight="1">
      <c r="A1388" s="10" t="s">
        <v>168</v>
      </c>
      <c r="B1388" s="10" t="s">
        <v>127</v>
      </c>
      <c r="C1388" s="41">
        <f t="array" ref="C1388">IF(IFERROR(INDEX(CATALOG_POINTS,MATCH(A1388,CATALOG_TASK,0)),"")="",IF(MAX(IF(IFERROR(FIND(CATALOG_BASE,A1388),0)=1,CATALOG_POINTS,0))=0,DAILY_POST_POINTS,MAX(IF(IFERROR(FIND(CATALOG_BASE,A1388),0)=1,CATALOG_POINTS,0))),IFERROR(INDEX(CATALOG_POINTS,MATCH(A1388,CATALOG_TASK,0)),""))</f>
        <v>1</v>
      </c>
      <c r="D1388" s="10" t="s">
        <v>933</v>
      </c>
      <c r="E1388" s="41" t="str">
        <f t="shared" si="1"/>
        <v>PROX3</v>
      </c>
    </row>
    <row r="1389" ht="15.75" customHeight="1">
      <c r="A1389" s="10" t="s">
        <v>37</v>
      </c>
      <c r="B1389" s="10" t="s">
        <v>119</v>
      </c>
      <c r="C1389" s="41">
        <f t="array" ref="C1389">IF(IFERROR(INDEX(CATALOG_POINTS,MATCH(A1389,CATALOG_TASK,0)),"")="",IF(MAX(IF(IFERROR(FIND(CATALOG_BASE,A1389),0)=1,CATALOG_POINTS,0))=0,DAILY_POST_POINTS,MAX(IF(IFERROR(FIND(CATALOG_BASE,A1389),0)=1,CATALOG_POINTS,0))),IFERROR(INDEX(CATALOG_POINTS,MATCH(A1389,CATALOG_TASK,0)),""))</f>
        <v>2</v>
      </c>
      <c r="D1389" s="10" t="s">
        <v>933</v>
      </c>
      <c r="E1389" s="41" t="str">
        <f t="shared" si="1"/>
        <v>PROX3</v>
      </c>
    </row>
    <row r="1390" ht="15.75" customHeight="1">
      <c r="A1390" s="10" t="s">
        <v>37</v>
      </c>
      <c r="B1390" s="10" t="s">
        <v>120</v>
      </c>
      <c r="C1390" s="41">
        <f t="array" ref="C1390">IF(IFERROR(INDEX(CATALOG_POINTS,MATCH(A1390,CATALOG_TASK,0)),"")="",IF(MAX(IF(IFERROR(FIND(CATALOG_BASE,A1390),0)=1,CATALOG_POINTS,0))=0,DAILY_POST_POINTS,MAX(IF(IFERROR(FIND(CATALOG_BASE,A1390),0)=1,CATALOG_POINTS,0))),IFERROR(INDEX(CATALOG_POINTS,MATCH(A1390,CATALOG_TASK,0)),""))</f>
        <v>2</v>
      </c>
      <c r="D1390" s="10" t="s">
        <v>933</v>
      </c>
      <c r="E1390" s="41" t="str">
        <f t="shared" si="1"/>
        <v>PROX3</v>
      </c>
    </row>
    <row r="1391" ht="15.75" customHeight="1">
      <c r="A1391" s="10" t="s">
        <v>168</v>
      </c>
      <c r="B1391" s="10" t="s">
        <v>127</v>
      </c>
      <c r="C1391" s="41">
        <f t="array" ref="C1391">IF(IFERROR(INDEX(CATALOG_POINTS,MATCH(A1391,CATALOG_TASK,0)),"")="",IF(MAX(IF(IFERROR(FIND(CATALOG_BASE,A1391),0)=1,CATALOG_POINTS,0))=0,DAILY_POST_POINTS,MAX(IF(IFERROR(FIND(CATALOG_BASE,A1391),0)=1,CATALOG_POINTS,0))),IFERROR(INDEX(CATALOG_POINTS,MATCH(A1391,CATALOG_TASK,0)),""))</f>
        <v>1</v>
      </c>
      <c r="D1391" s="10" t="s">
        <v>933</v>
      </c>
      <c r="E1391" s="41" t="str">
        <f t="shared" si="1"/>
        <v>PROX3</v>
      </c>
    </row>
    <row r="1392" ht="15.75" customHeight="1">
      <c r="A1392" s="10" t="s">
        <v>37</v>
      </c>
      <c r="B1392" s="10" t="s">
        <v>124</v>
      </c>
      <c r="C1392" s="41">
        <f t="array" ref="C1392">IF(IFERROR(INDEX(CATALOG_POINTS,MATCH(A1392,CATALOG_TASK,0)),"")="",IF(MAX(IF(IFERROR(FIND(CATALOG_BASE,A1392),0)=1,CATALOG_POINTS,0))=0,DAILY_POST_POINTS,MAX(IF(IFERROR(FIND(CATALOG_BASE,A1392),0)=1,CATALOG_POINTS,0))),IFERROR(INDEX(CATALOG_POINTS,MATCH(A1392,CATALOG_TASK,0)),""))</f>
        <v>2</v>
      </c>
      <c r="D1392" s="10" t="s">
        <v>933</v>
      </c>
      <c r="E1392" s="41" t="str">
        <f t="shared" si="1"/>
        <v>PROX3</v>
      </c>
    </row>
    <row r="1393" ht="15.75" customHeight="1">
      <c r="A1393" s="10" t="s">
        <v>933</v>
      </c>
      <c r="B1393" s="10" t="s">
        <v>123</v>
      </c>
      <c r="C1393" s="41">
        <f t="array" ref="C1393">IF(IFERROR(INDEX(CATALOG_POINTS,MATCH(A1393,CATALOG_TASK,0)),"")="",IF(MAX(IF(IFERROR(FIND(CATALOG_BASE,A1393),0)=1,CATALOG_POINTS,0))=0,DAILY_POST_POINTS,MAX(IF(IFERROR(FIND(CATALOG_BASE,A1393),0)=1,CATALOG_POINTS,0))),IFERROR(INDEX(CATALOG_POINTS,MATCH(A1393,CATALOG_TASK,0)),""))</f>
        <v>1</v>
      </c>
      <c r="D1393" s="10" t="s">
        <v>933</v>
      </c>
      <c r="E1393" s="41" t="str">
        <f t="shared" si="1"/>
        <v>PROX3</v>
      </c>
    </row>
    <row r="1394" ht="15.75" customHeight="1">
      <c r="A1394" s="10" t="s">
        <v>37</v>
      </c>
      <c r="B1394" s="10" t="s">
        <v>125</v>
      </c>
      <c r="C1394" s="41">
        <f t="array" ref="C1394">IF(IFERROR(INDEX(CATALOG_POINTS,MATCH(A1394,CATALOG_TASK,0)),"")="",IF(MAX(IF(IFERROR(FIND(CATALOG_BASE,A1394),0)=1,CATALOG_POINTS,0))=0,DAILY_POST_POINTS,MAX(IF(IFERROR(FIND(CATALOG_BASE,A1394),0)=1,CATALOG_POINTS,0))),IFERROR(INDEX(CATALOG_POINTS,MATCH(A1394,CATALOG_TASK,0)),""))</f>
        <v>2</v>
      </c>
      <c r="D1394" s="10" t="s">
        <v>933</v>
      </c>
      <c r="E1394" s="41" t="str">
        <f t="shared" si="1"/>
        <v>PROX3</v>
      </c>
    </row>
    <row r="1395" ht="15.75" customHeight="1">
      <c r="A1395" s="10" t="s">
        <v>174</v>
      </c>
      <c r="B1395" s="10" t="s">
        <v>123</v>
      </c>
      <c r="C1395" s="41">
        <f t="array" ref="C1395">IF(IFERROR(INDEX(CATALOG_POINTS,MATCH(A1395,CATALOG_TASK,0)),"")="",IF(MAX(IF(IFERROR(FIND(CATALOG_BASE,A1395),0)=1,CATALOG_POINTS,0))=0,DAILY_POST_POINTS,MAX(IF(IFERROR(FIND(CATALOG_BASE,A1395),0)=1,CATALOG_POINTS,0))),IFERROR(INDEX(CATALOG_POINTS,MATCH(A1395,CATALOG_TASK,0)),""))</f>
        <v>1</v>
      </c>
      <c r="D1395" s="10" t="s">
        <v>933</v>
      </c>
      <c r="E1395" s="41" t="str">
        <f t="shared" si="1"/>
        <v>PROX3</v>
      </c>
    </row>
    <row r="1396" ht="15.75" customHeight="1">
      <c r="A1396" s="10" t="s">
        <v>168</v>
      </c>
      <c r="B1396" s="10" t="s">
        <v>127</v>
      </c>
      <c r="C1396" s="41">
        <f t="array" ref="C1396">IF(IFERROR(INDEX(CATALOG_POINTS,MATCH(A1396,CATALOG_TASK,0)),"")="",IF(MAX(IF(IFERROR(FIND(CATALOG_BASE,A1396),0)=1,CATALOG_POINTS,0))=0,DAILY_POST_POINTS,MAX(IF(IFERROR(FIND(CATALOG_BASE,A1396),0)=1,CATALOG_POINTS,0))),IFERROR(INDEX(CATALOG_POINTS,MATCH(A1396,CATALOG_TASK,0)),""))</f>
        <v>1</v>
      </c>
      <c r="D1396" s="10" t="s">
        <v>933</v>
      </c>
      <c r="E1396" s="41" t="str">
        <f t="shared" si="1"/>
        <v>PROX3</v>
      </c>
    </row>
    <row r="1397" ht="15.75" customHeight="1">
      <c r="A1397" s="10" t="s">
        <v>34</v>
      </c>
      <c r="B1397" s="10" t="s">
        <v>127</v>
      </c>
      <c r="C1397" s="41">
        <f t="array" ref="C1397">IF(IFERROR(INDEX(CATALOG_POINTS,MATCH(A1397,CATALOG_TASK,0)),"")="",IF(MAX(IF(IFERROR(FIND(CATALOG_BASE,A1397),0)=1,CATALOG_POINTS,0))=0,DAILY_POST_POINTS,MAX(IF(IFERROR(FIND(CATALOG_BASE,A1397),0)=1,CATALOG_POINTS,0))),IFERROR(INDEX(CATALOG_POINTS,MATCH(A1397,CATALOG_TASK,0)),""))</f>
        <v>2</v>
      </c>
      <c r="D1397" s="10" t="s">
        <v>933</v>
      </c>
      <c r="E1397" s="41" t="str">
        <f t="shared" si="1"/>
        <v>PROX3</v>
      </c>
    </row>
    <row r="1398" ht="15.75" customHeight="1">
      <c r="A1398" s="10" t="s">
        <v>37</v>
      </c>
      <c r="B1398" s="10" t="s">
        <v>128</v>
      </c>
      <c r="C1398" s="41">
        <f t="array" ref="C1398">IF(IFERROR(INDEX(CATALOG_POINTS,MATCH(A1398,CATALOG_TASK,0)),"")="",IF(MAX(IF(IFERROR(FIND(CATALOG_BASE,A1398),0)=1,CATALOG_POINTS,0))=0,DAILY_POST_POINTS,MAX(IF(IFERROR(FIND(CATALOG_BASE,A1398),0)=1,CATALOG_POINTS,0))),IFERROR(INDEX(CATALOG_POINTS,MATCH(A1398,CATALOG_TASK,0)),""))</f>
        <v>2</v>
      </c>
      <c r="D1398" s="10" t="s">
        <v>934</v>
      </c>
      <c r="E1398" s="41" t="str">
        <f t="shared" si="1"/>
        <v>E0</v>
      </c>
    </row>
    <row r="1399" ht="15.75" customHeight="1">
      <c r="A1399" s="10" t="s">
        <v>934</v>
      </c>
      <c r="B1399" s="10" t="s">
        <v>120</v>
      </c>
      <c r="C1399" s="41">
        <f t="array" ref="C1399">IF(IFERROR(INDEX(CATALOG_POINTS,MATCH(A1399,CATALOG_TASK,0)),"")="",IF(MAX(IF(IFERROR(FIND(CATALOG_BASE,A1399),0)=1,CATALOG_POINTS,0))=0,DAILY_POST_POINTS,MAX(IF(IFERROR(FIND(CATALOG_BASE,A1399),0)=1,CATALOG_POINTS,0))),IFERROR(INDEX(CATALOG_POINTS,MATCH(A1399,CATALOG_TASK,0)),""))</f>
        <v>1</v>
      </c>
      <c r="D1399" s="10" t="s">
        <v>934</v>
      </c>
      <c r="E1399" s="41" t="str">
        <f t="shared" si="1"/>
        <v>E0</v>
      </c>
    </row>
    <row r="1400" ht="15.75" customHeight="1">
      <c r="A1400" s="10" t="s">
        <v>37</v>
      </c>
      <c r="B1400" s="10" t="s">
        <v>124</v>
      </c>
      <c r="C1400" s="41">
        <f t="array" ref="C1400">IF(IFERROR(INDEX(CATALOG_POINTS,MATCH(A1400,CATALOG_TASK,0)),"")="",IF(MAX(IF(IFERROR(FIND(CATALOG_BASE,A1400),0)=1,CATALOG_POINTS,0))=0,DAILY_POST_POINTS,MAX(IF(IFERROR(FIND(CATALOG_BASE,A1400),0)=1,CATALOG_POINTS,0))),IFERROR(INDEX(CATALOG_POINTS,MATCH(A1400,CATALOG_TASK,0)),""))</f>
        <v>2</v>
      </c>
      <c r="D1400" s="10" t="s">
        <v>935</v>
      </c>
      <c r="E1400" s="41" t="str">
        <f t="shared" si="1"/>
        <v>PROX4</v>
      </c>
    </row>
    <row r="1401" ht="15.75" customHeight="1">
      <c r="A1401" s="10" t="s">
        <v>37</v>
      </c>
      <c r="B1401" s="10" t="s">
        <v>120</v>
      </c>
      <c r="C1401" s="41">
        <f t="array" ref="C1401">IF(IFERROR(INDEX(CATALOG_POINTS,MATCH(A1401,CATALOG_TASK,0)),"")="",IF(MAX(IF(IFERROR(FIND(CATALOG_BASE,A1401),0)=1,CATALOG_POINTS,0))=0,DAILY_POST_POINTS,MAX(IF(IFERROR(FIND(CATALOG_BASE,A1401),0)=1,CATALOG_POINTS,0))),IFERROR(INDEX(CATALOG_POINTS,MATCH(A1401,CATALOG_TASK,0)),""))</f>
        <v>2</v>
      </c>
      <c r="D1401" s="10" t="s">
        <v>935</v>
      </c>
      <c r="E1401" s="41" t="str">
        <f t="shared" si="1"/>
        <v>PROX4</v>
      </c>
    </row>
    <row r="1402" ht="15.75" customHeight="1">
      <c r="A1402" s="10" t="s">
        <v>935</v>
      </c>
      <c r="B1402" s="10" t="s">
        <v>124</v>
      </c>
      <c r="C1402" s="41">
        <f t="array" ref="C1402">IF(IFERROR(INDEX(CATALOG_POINTS,MATCH(A1402,CATALOG_TASK,0)),"")="",IF(MAX(IF(IFERROR(FIND(CATALOG_BASE,A1402),0)=1,CATALOG_POINTS,0))=0,DAILY_POST_POINTS,MAX(IF(IFERROR(FIND(CATALOG_BASE,A1402),0)=1,CATALOG_POINTS,0))),IFERROR(INDEX(CATALOG_POINTS,MATCH(A1402,CATALOG_TASK,0)),""))</f>
        <v>1</v>
      </c>
      <c r="D1402" s="10" t="s">
        <v>935</v>
      </c>
      <c r="E1402" s="41" t="str">
        <f t="shared" si="1"/>
        <v>PROX4</v>
      </c>
    </row>
    <row r="1403" ht="15.75" customHeight="1">
      <c r="A1403" s="10" t="s">
        <v>936</v>
      </c>
      <c r="B1403" s="10" t="s">
        <v>133</v>
      </c>
      <c r="C1403" s="41">
        <f t="array" ref="C1403">IF(IFERROR(INDEX(CATALOG_POINTS,MATCH(A1403,CATALOG_TASK,0)),"")="",IF(MAX(IF(IFERROR(FIND(CATALOG_BASE,A1403),0)=1,CATALOG_POINTS,0))=0,DAILY_POST_POINTS,MAX(IF(IFERROR(FIND(CATALOG_BASE,A1403),0)=1,CATALOG_POINTS,0))),IFERROR(INDEX(CATALOG_POINTS,MATCH(A1403,CATALOG_TASK,0)),""))</f>
        <v>1</v>
      </c>
      <c r="D1403" s="10" t="s">
        <v>936</v>
      </c>
      <c r="E1403" s="41" t="str">
        <f t="shared" si="1"/>
        <v>PROX4</v>
      </c>
    </row>
    <row r="1404" ht="15.75" customHeight="1">
      <c r="A1404" s="10" t="s">
        <v>937</v>
      </c>
      <c r="B1404" s="10" t="s">
        <v>120</v>
      </c>
      <c r="C1404" s="41">
        <f t="array" ref="C1404">IF(IFERROR(INDEX(CATALOG_POINTS,MATCH(A1404,CATALOG_TASK,0)),"")="",IF(MAX(IF(IFERROR(FIND(CATALOG_BASE,A1404),0)=1,CATALOG_POINTS,0))=0,DAILY_POST_POINTS,MAX(IF(IFERROR(FIND(CATALOG_BASE,A1404),0)=1,CATALOG_POINTS,0))),IFERROR(INDEX(CATALOG_POINTS,MATCH(A1404,CATALOG_TASK,0)),""))</f>
        <v>1</v>
      </c>
      <c r="D1404" s="10" t="s">
        <v>937</v>
      </c>
      <c r="E1404" s="41" t="str">
        <f t="shared" si="1"/>
        <v>PROX3</v>
      </c>
    </row>
    <row r="1405" ht="15.75" customHeight="1">
      <c r="A1405" s="10" t="s">
        <v>37</v>
      </c>
      <c r="B1405" s="10" t="s">
        <v>127</v>
      </c>
      <c r="C1405" s="41">
        <f t="array" ref="C1405">IF(IFERROR(INDEX(CATALOG_POINTS,MATCH(A1405,CATALOG_TASK,0)),"")="",IF(MAX(IF(IFERROR(FIND(CATALOG_BASE,A1405),0)=1,CATALOG_POINTS,0))=0,DAILY_POST_POINTS,MAX(IF(IFERROR(FIND(CATALOG_BASE,A1405),0)=1,CATALOG_POINTS,0))),IFERROR(INDEX(CATALOG_POINTS,MATCH(A1405,CATALOG_TASK,0)),""))</f>
        <v>2</v>
      </c>
      <c r="D1405" s="10" t="s">
        <v>938</v>
      </c>
      <c r="E1405" s="41" t="str">
        <f t="shared" si="1"/>
        <v>E0</v>
      </c>
    </row>
    <row r="1406" ht="15.75" customHeight="1">
      <c r="A1406" s="10" t="s">
        <v>938</v>
      </c>
      <c r="B1406" s="10" t="s">
        <v>134</v>
      </c>
      <c r="C1406" s="41">
        <f t="array" ref="C1406">IF(IFERROR(INDEX(CATALOG_POINTS,MATCH(A1406,CATALOG_TASK,0)),"")="",IF(MAX(IF(IFERROR(FIND(CATALOG_BASE,A1406),0)=1,CATALOG_POINTS,0))=0,DAILY_POST_POINTS,MAX(IF(IFERROR(FIND(CATALOG_BASE,A1406),0)=1,CATALOG_POINTS,0))),IFERROR(INDEX(CATALOG_POINTS,MATCH(A1406,CATALOG_TASK,0)),""))</f>
        <v>1</v>
      </c>
      <c r="D1406" s="10" t="s">
        <v>938</v>
      </c>
      <c r="E1406" s="41" t="str">
        <f t="shared" si="1"/>
        <v>E0</v>
      </c>
    </row>
    <row r="1407" ht="15.75" customHeight="1">
      <c r="A1407" s="10" t="s">
        <v>939</v>
      </c>
      <c r="B1407" s="10" t="s">
        <v>119</v>
      </c>
      <c r="C1407" s="41">
        <f t="array" ref="C1407">IF(IFERROR(INDEX(CATALOG_POINTS,MATCH(A1407,CATALOG_TASK,0)),"")="",IF(MAX(IF(IFERROR(FIND(CATALOG_BASE,A1407),0)=1,CATALOG_POINTS,0))=0,DAILY_POST_POINTS,MAX(IF(IFERROR(FIND(CATALOG_BASE,A1407),0)=1,CATALOG_POINTS,0))),IFERROR(INDEX(CATALOG_POINTS,MATCH(A1407,CATALOG_TASK,0)),""))</f>
        <v>1</v>
      </c>
      <c r="D1407" s="10" t="s">
        <v>939</v>
      </c>
      <c r="E1407" s="41" t="str">
        <f t="shared" si="1"/>
        <v>PROX3</v>
      </c>
    </row>
    <row r="1408" ht="15.75" customHeight="1">
      <c r="A1408" s="10" t="s">
        <v>940</v>
      </c>
      <c r="B1408" s="10" t="s">
        <v>134</v>
      </c>
      <c r="C1408" s="41">
        <f t="array" ref="C1408">IF(IFERROR(INDEX(CATALOG_POINTS,MATCH(A1408,CATALOG_TASK,0)),"")="",IF(MAX(IF(IFERROR(FIND(CATALOG_BASE,A1408),0)=1,CATALOG_POINTS,0))=0,DAILY_POST_POINTS,MAX(IF(IFERROR(FIND(CATALOG_BASE,A1408),0)=1,CATALOG_POINTS,0))),IFERROR(INDEX(CATALOG_POINTS,MATCH(A1408,CATALOG_TASK,0)),""))</f>
        <v>1</v>
      </c>
      <c r="D1408" s="10" t="s">
        <v>940</v>
      </c>
      <c r="E1408" s="41" t="str">
        <f t="shared" si="1"/>
        <v>PROX3</v>
      </c>
    </row>
    <row r="1409" ht="15.75" customHeight="1">
      <c r="A1409" s="10" t="s">
        <v>941</v>
      </c>
      <c r="B1409" s="10" t="s">
        <v>131</v>
      </c>
      <c r="C1409" s="41">
        <f t="array" ref="C1409">IF(IFERROR(INDEX(CATALOG_POINTS,MATCH(A1409,CATALOG_TASK,0)),"")="",IF(MAX(IF(IFERROR(FIND(CATALOG_BASE,A1409),0)=1,CATALOG_POINTS,0))=0,DAILY_POST_POINTS,MAX(IF(IFERROR(FIND(CATALOG_BASE,A1409),0)=1,CATALOG_POINTS,0))),IFERROR(INDEX(CATALOG_POINTS,MATCH(A1409,CATALOG_TASK,0)),""))</f>
        <v>1</v>
      </c>
      <c r="D1409" s="10" t="s">
        <v>941</v>
      </c>
      <c r="E1409" s="41" t="str">
        <f t="shared" si="1"/>
        <v>PROX3</v>
      </c>
    </row>
    <row r="1410" ht="15.75" customHeight="1">
      <c r="A1410" s="10" t="s">
        <v>942</v>
      </c>
      <c r="B1410" s="10" t="s">
        <v>121</v>
      </c>
      <c r="C1410" s="41">
        <f t="array" ref="C1410">IF(IFERROR(INDEX(CATALOG_POINTS,MATCH(A1410,CATALOG_TASK,0)),"")="",IF(MAX(IF(IFERROR(FIND(CATALOG_BASE,A1410),0)=1,CATALOG_POINTS,0))=0,DAILY_POST_POINTS,MAX(IF(IFERROR(FIND(CATALOG_BASE,A1410),0)=1,CATALOG_POINTS,0))),IFERROR(INDEX(CATALOG_POINTS,MATCH(A1410,CATALOG_TASK,0)),""))</f>
        <v>1</v>
      </c>
      <c r="D1410" s="10" t="s">
        <v>942</v>
      </c>
      <c r="E1410" s="41" t="str">
        <f t="shared" si="1"/>
        <v>PROX3</v>
      </c>
    </row>
    <row r="1411" ht="15.75" customHeight="1">
      <c r="A1411" s="10" t="s">
        <v>943</v>
      </c>
      <c r="B1411" s="10" t="s">
        <v>129</v>
      </c>
      <c r="C1411" s="41">
        <f t="array" ref="C1411">IF(IFERROR(INDEX(CATALOG_POINTS,MATCH(A1411,CATALOG_TASK,0)),"")="",IF(MAX(IF(IFERROR(FIND(CATALOG_BASE,A1411),0)=1,CATALOG_POINTS,0))=0,DAILY_POST_POINTS,MAX(IF(IFERROR(FIND(CATALOG_BASE,A1411),0)=1,CATALOG_POINTS,0))),IFERROR(INDEX(CATALOG_POINTS,MATCH(A1411,CATALOG_TASK,0)),""))</f>
        <v>1</v>
      </c>
      <c r="D1411" s="10" t="s">
        <v>943</v>
      </c>
      <c r="E1411" s="41" t="str">
        <f t="shared" si="1"/>
        <v>PROX3</v>
      </c>
    </row>
    <row r="1412" ht="15.75" customHeight="1">
      <c r="A1412" s="10" t="s">
        <v>37</v>
      </c>
      <c r="B1412" s="10" t="s">
        <v>120</v>
      </c>
      <c r="C1412" s="41">
        <f t="array" ref="C1412">IF(IFERROR(INDEX(CATALOG_POINTS,MATCH(A1412,CATALOG_TASK,0)),"")="",IF(MAX(IF(IFERROR(FIND(CATALOG_BASE,A1412),0)=1,CATALOG_POINTS,0))=0,DAILY_POST_POINTS,MAX(IF(IFERROR(FIND(CATALOG_BASE,A1412),0)=1,CATALOG_POINTS,0))),IFERROR(INDEX(CATALOG_POINTS,MATCH(A1412,CATALOG_TASK,0)),""))</f>
        <v>2</v>
      </c>
      <c r="D1412" s="10" t="s">
        <v>943</v>
      </c>
      <c r="E1412" s="41" t="str">
        <f t="shared" si="1"/>
        <v>PROX3</v>
      </c>
    </row>
    <row r="1413" ht="15.75" customHeight="1">
      <c r="A1413" s="10" t="s">
        <v>34</v>
      </c>
      <c r="B1413" s="10" t="s">
        <v>119</v>
      </c>
      <c r="C1413" s="41">
        <f t="array" ref="C1413">IF(IFERROR(INDEX(CATALOG_POINTS,MATCH(A1413,CATALOG_TASK,0)),"")="",IF(MAX(IF(IFERROR(FIND(CATALOG_BASE,A1413),0)=1,CATALOG_POINTS,0))=0,DAILY_POST_POINTS,MAX(IF(IFERROR(FIND(CATALOG_BASE,A1413),0)=1,CATALOG_POINTS,0))),IFERROR(INDEX(CATALOG_POINTS,MATCH(A1413,CATALOG_TASK,0)),""))</f>
        <v>2</v>
      </c>
      <c r="D1413" s="10" t="s">
        <v>944</v>
      </c>
      <c r="E1413" s="41" t="str">
        <f t="shared" si="1"/>
        <v/>
      </c>
    </row>
    <row r="1414" ht="15.75" customHeight="1">
      <c r="A1414" s="10" t="s">
        <v>945</v>
      </c>
      <c r="B1414" s="10" t="s">
        <v>125</v>
      </c>
      <c r="C1414" s="41">
        <f t="array" ref="C1414">IF(IFERROR(INDEX(CATALOG_POINTS,MATCH(A1414,CATALOG_TASK,0)),"")="",IF(MAX(IF(IFERROR(FIND(CATALOG_BASE,A1414),0)=1,CATALOG_POINTS,0))=0,DAILY_POST_POINTS,MAX(IF(IFERROR(FIND(CATALOG_BASE,A1414),0)=1,CATALOG_POINTS,0))),IFERROR(INDEX(CATALOG_POINTS,MATCH(A1414,CATALOG_TASK,0)),""))</f>
        <v>1</v>
      </c>
      <c r="D1414" s="10" t="s">
        <v>945</v>
      </c>
      <c r="E1414" s="41" t="str">
        <f t="shared" si="1"/>
        <v>PROX3</v>
      </c>
    </row>
    <row r="1415" ht="15.75" customHeight="1">
      <c r="A1415" s="10" t="s">
        <v>946</v>
      </c>
      <c r="B1415" s="10" t="s">
        <v>133</v>
      </c>
      <c r="C1415" s="41">
        <f t="array" ref="C1415">IF(IFERROR(INDEX(CATALOG_POINTS,MATCH(A1415,CATALOG_TASK,0)),"")="",IF(MAX(IF(IFERROR(FIND(CATALOG_BASE,A1415),0)=1,CATALOG_POINTS,0))=0,DAILY_POST_POINTS,MAX(IF(IFERROR(FIND(CATALOG_BASE,A1415),0)=1,CATALOG_POINTS,0))),IFERROR(INDEX(CATALOG_POINTS,MATCH(A1415,CATALOG_TASK,0)),""))</f>
        <v>1</v>
      </c>
      <c r="D1415" s="10" t="s">
        <v>946</v>
      </c>
      <c r="E1415" s="41" t="str">
        <f t="shared" si="1"/>
        <v>PROX3</v>
      </c>
    </row>
    <row r="1416" ht="15.75" customHeight="1">
      <c r="A1416" s="10" t="s">
        <v>947</v>
      </c>
      <c r="B1416" s="10" t="s">
        <v>133</v>
      </c>
      <c r="C1416" s="41">
        <f t="array" ref="C1416">IF(IFERROR(INDEX(CATALOG_POINTS,MATCH(A1416,CATALOG_TASK,0)),"")="",IF(MAX(IF(IFERROR(FIND(CATALOG_BASE,A1416),0)=1,CATALOG_POINTS,0))=0,DAILY_POST_POINTS,MAX(IF(IFERROR(FIND(CATALOG_BASE,A1416),0)=1,CATALOG_POINTS,0))),IFERROR(INDEX(CATALOG_POINTS,MATCH(A1416,CATALOG_TASK,0)),""))</f>
        <v>1</v>
      </c>
      <c r="D1416" s="10" t="s">
        <v>947</v>
      </c>
      <c r="E1416" s="41" t="str">
        <f t="shared" si="1"/>
        <v>PROX4</v>
      </c>
    </row>
    <row r="1417" ht="15.75" customHeight="1">
      <c r="A1417" s="10" t="s">
        <v>168</v>
      </c>
      <c r="B1417" s="10" t="s">
        <v>126</v>
      </c>
      <c r="C1417" s="41">
        <f t="array" ref="C1417">IF(IFERROR(INDEX(CATALOG_POINTS,MATCH(A1417,CATALOG_TASK,0)),"")="",IF(MAX(IF(IFERROR(FIND(CATALOG_BASE,A1417),0)=1,CATALOG_POINTS,0))=0,DAILY_POST_POINTS,MAX(IF(IFERROR(FIND(CATALOG_BASE,A1417),0)=1,CATALOG_POINTS,0))),IFERROR(INDEX(CATALOG_POINTS,MATCH(A1417,CATALOG_TASK,0)),""))</f>
        <v>1</v>
      </c>
      <c r="D1417" s="10" t="s">
        <v>948</v>
      </c>
      <c r="E1417" s="41" t="str">
        <f t="shared" si="1"/>
        <v>PROX3</v>
      </c>
    </row>
    <row r="1418" ht="15.75" customHeight="1">
      <c r="A1418" s="10" t="s">
        <v>948</v>
      </c>
      <c r="B1418" s="10" t="s">
        <v>127</v>
      </c>
      <c r="C1418" s="41">
        <f t="array" ref="C1418">IF(IFERROR(INDEX(CATALOG_POINTS,MATCH(A1418,CATALOG_TASK,0)),"")="",IF(MAX(IF(IFERROR(FIND(CATALOG_BASE,A1418),0)=1,CATALOG_POINTS,0))=0,DAILY_POST_POINTS,MAX(IF(IFERROR(FIND(CATALOG_BASE,A1418),0)=1,CATALOG_POINTS,0))),IFERROR(INDEX(CATALOG_POINTS,MATCH(A1418,CATALOG_TASK,0)),""))</f>
        <v>1</v>
      </c>
      <c r="D1418" s="10" t="s">
        <v>948</v>
      </c>
      <c r="E1418" s="41" t="str">
        <f t="shared" si="1"/>
        <v>PROX3</v>
      </c>
    </row>
    <row r="1419" ht="15.75" customHeight="1">
      <c r="A1419" s="10" t="s">
        <v>37</v>
      </c>
      <c r="B1419" s="10" t="s">
        <v>126</v>
      </c>
      <c r="C1419" s="41">
        <f t="array" ref="C1419">IF(IFERROR(INDEX(CATALOG_POINTS,MATCH(A1419,CATALOG_TASK,0)),"")="",IF(MAX(IF(IFERROR(FIND(CATALOG_BASE,A1419),0)=1,CATALOG_POINTS,0))=0,DAILY_POST_POINTS,MAX(IF(IFERROR(FIND(CATALOG_BASE,A1419),0)=1,CATALOG_POINTS,0))),IFERROR(INDEX(CATALOG_POINTS,MATCH(A1419,CATALOG_TASK,0)),""))</f>
        <v>2</v>
      </c>
      <c r="D1419" s="10" t="s">
        <v>948</v>
      </c>
      <c r="E1419" s="41" t="str">
        <f t="shared" si="1"/>
        <v>PROX3</v>
      </c>
    </row>
    <row r="1420" ht="15.75" customHeight="1">
      <c r="A1420" s="10" t="s">
        <v>949</v>
      </c>
      <c r="B1420" s="10" t="s">
        <v>131</v>
      </c>
      <c r="C1420" s="41">
        <f t="array" ref="C1420">IF(IFERROR(INDEX(CATALOG_POINTS,MATCH(A1420,CATALOG_TASK,0)),"")="",IF(MAX(IF(IFERROR(FIND(CATALOG_BASE,A1420),0)=1,CATALOG_POINTS,0))=0,DAILY_POST_POINTS,MAX(IF(IFERROR(FIND(CATALOG_BASE,A1420),0)=1,CATALOG_POINTS,0))),IFERROR(INDEX(CATALOG_POINTS,MATCH(A1420,CATALOG_TASK,0)),""))</f>
        <v>1</v>
      </c>
      <c r="D1420" s="10" t="s">
        <v>949</v>
      </c>
      <c r="E1420" s="41" t="str">
        <f t="shared" si="1"/>
        <v>PROX3</v>
      </c>
    </row>
    <row r="1421" ht="15.75" customHeight="1">
      <c r="A1421" s="10" t="s">
        <v>950</v>
      </c>
      <c r="B1421" s="10" t="s">
        <v>124</v>
      </c>
      <c r="C1421" s="41">
        <f t="array" ref="C1421">IF(IFERROR(INDEX(CATALOG_POINTS,MATCH(A1421,CATALOG_TASK,0)),"")="",IF(MAX(IF(IFERROR(FIND(CATALOG_BASE,A1421),0)=1,CATALOG_POINTS,0))=0,DAILY_POST_POINTS,MAX(IF(IFERROR(FIND(CATALOG_BASE,A1421),0)=1,CATALOG_POINTS,0))),IFERROR(INDEX(CATALOG_POINTS,MATCH(A1421,CATALOG_TASK,0)),""))</f>
        <v>1</v>
      </c>
      <c r="D1421" s="10" t="s">
        <v>950</v>
      </c>
      <c r="E1421" s="41" t="str">
        <f t="shared" si="1"/>
        <v>PROX3</v>
      </c>
    </row>
    <row r="1422" ht="15.75" customHeight="1">
      <c r="A1422" s="10" t="s">
        <v>37</v>
      </c>
      <c r="B1422" s="10" t="s">
        <v>126</v>
      </c>
      <c r="C1422" s="41">
        <f t="array" ref="C1422">IF(IFERROR(INDEX(CATALOG_POINTS,MATCH(A1422,CATALOG_TASK,0)),"")="",IF(MAX(IF(IFERROR(FIND(CATALOG_BASE,A1422),0)=1,CATALOG_POINTS,0))=0,DAILY_POST_POINTS,MAX(IF(IFERROR(FIND(CATALOG_BASE,A1422),0)=1,CATALOG_POINTS,0))),IFERROR(INDEX(CATALOG_POINTS,MATCH(A1422,CATALOG_TASK,0)),""))</f>
        <v>2</v>
      </c>
      <c r="D1422" s="10" t="s">
        <v>951</v>
      </c>
      <c r="E1422" s="41" t="str">
        <f t="shared" si="1"/>
        <v/>
      </c>
    </row>
    <row r="1423" ht="15.75" customHeight="1">
      <c r="A1423" s="10" t="s">
        <v>951</v>
      </c>
      <c r="B1423" s="10" t="s">
        <v>122</v>
      </c>
      <c r="C1423" s="41">
        <f t="array" ref="C1423">IF(IFERROR(INDEX(CATALOG_POINTS,MATCH(A1423,CATALOG_TASK,0)),"")="",IF(MAX(IF(IFERROR(FIND(CATALOG_BASE,A1423),0)=1,CATALOG_POINTS,0))=0,DAILY_POST_POINTS,MAX(IF(IFERROR(FIND(CATALOG_BASE,A1423),0)=1,CATALOG_POINTS,0))),IFERROR(INDEX(CATALOG_POINTS,MATCH(A1423,CATALOG_TASK,0)),""))</f>
        <v>1</v>
      </c>
      <c r="D1423" s="10" t="s">
        <v>951</v>
      </c>
      <c r="E1423" s="41" t="str">
        <f t="shared" si="1"/>
        <v/>
      </c>
    </row>
    <row r="1424" ht="15.75" customHeight="1">
      <c r="A1424" s="10" t="s">
        <v>37</v>
      </c>
      <c r="B1424" s="10" t="s">
        <v>121</v>
      </c>
      <c r="C1424" s="41">
        <f t="array" ref="C1424">IF(IFERROR(INDEX(CATALOG_POINTS,MATCH(A1424,CATALOG_TASK,0)),"")="",IF(MAX(IF(IFERROR(FIND(CATALOG_BASE,A1424),0)=1,CATALOG_POINTS,0))=0,DAILY_POST_POINTS,MAX(IF(IFERROR(FIND(CATALOG_BASE,A1424),0)=1,CATALOG_POINTS,0))),IFERROR(INDEX(CATALOG_POINTS,MATCH(A1424,CATALOG_TASK,0)),""))</f>
        <v>2</v>
      </c>
      <c r="D1424" s="10" t="s">
        <v>951</v>
      </c>
      <c r="E1424" s="41" t="str">
        <f t="shared" si="1"/>
        <v/>
      </c>
    </row>
    <row r="1425" ht="15.75" customHeight="1">
      <c r="A1425" s="10" t="s">
        <v>952</v>
      </c>
      <c r="B1425" s="10" t="s">
        <v>125</v>
      </c>
      <c r="C1425" s="41">
        <f t="array" ref="C1425">IF(IFERROR(INDEX(CATALOG_POINTS,MATCH(A1425,CATALOG_TASK,0)),"")="",IF(MAX(IF(IFERROR(FIND(CATALOG_BASE,A1425),0)=1,CATALOG_POINTS,0))=0,DAILY_POST_POINTS,MAX(IF(IFERROR(FIND(CATALOG_BASE,A1425),0)=1,CATALOG_POINTS,0))),IFERROR(INDEX(CATALOG_POINTS,MATCH(A1425,CATALOG_TASK,0)),""))</f>
        <v>1</v>
      </c>
      <c r="D1425" s="10" t="s">
        <v>952</v>
      </c>
      <c r="E1425" s="41" t="str">
        <f t="shared" si="1"/>
        <v>PROX3</v>
      </c>
    </row>
    <row r="1426" ht="15.75" customHeight="1">
      <c r="A1426" s="10" t="s">
        <v>953</v>
      </c>
      <c r="B1426" s="10" t="s">
        <v>132</v>
      </c>
      <c r="C1426" s="41">
        <f t="array" ref="C1426">IF(IFERROR(INDEX(CATALOG_POINTS,MATCH(A1426,CATALOG_TASK,0)),"")="",IF(MAX(IF(IFERROR(FIND(CATALOG_BASE,A1426),0)=1,CATALOG_POINTS,0))=0,DAILY_POST_POINTS,MAX(IF(IFERROR(FIND(CATALOG_BASE,A1426),0)=1,CATALOG_POINTS,0))),IFERROR(INDEX(CATALOG_POINTS,MATCH(A1426,CATALOG_TASK,0)),""))</f>
        <v>1</v>
      </c>
      <c r="D1426" s="10" t="s">
        <v>953</v>
      </c>
      <c r="E1426" s="41" t="str">
        <f t="shared" si="1"/>
        <v>PROX3</v>
      </c>
    </row>
    <row r="1427" ht="15.75" customHeight="1">
      <c r="A1427" s="10" t="s">
        <v>954</v>
      </c>
      <c r="B1427" s="10" t="s">
        <v>131</v>
      </c>
      <c r="C1427" s="41">
        <f t="array" ref="C1427">IF(IFERROR(INDEX(CATALOG_POINTS,MATCH(A1427,CATALOG_TASK,0)),"")="",IF(MAX(IF(IFERROR(FIND(CATALOG_BASE,A1427),0)=1,CATALOG_POINTS,0))=0,DAILY_POST_POINTS,MAX(IF(IFERROR(FIND(CATALOG_BASE,A1427),0)=1,CATALOG_POINTS,0))),IFERROR(INDEX(CATALOG_POINTS,MATCH(A1427,CATALOG_TASK,0)),""))</f>
        <v>1</v>
      </c>
      <c r="D1427" s="10" t="s">
        <v>954</v>
      </c>
      <c r="E1427" s="41" t="str">
        <f t="shared" si="1"/>
        <v>E0</v>
      </c>
    </row>
    <row r="1428" ht="15.75" customHeight="1">
      <c r="A1428" s="10" t="s">
        <v>955</v>
      </c>
      <c r="B1428" s="10" t="s">
        <v>127</v>
      </c>
      <c r="C1428" s="41">
        <f t="array" ref="C1428">IF(IFERROR(INDEX(CATALOG_POINTS,MATCH(A1428,CATALOG_TASK,0)),"")="",IF(MAX(IF(IFERROR(FIND(CATALOG_BASE,A1428),0)=1,CATALOG_POINTS,0))=0,DAILY_POST_POINTS,MAX(IF(IFERROR(FIND(CATALOG_BASE,A1428),0)=1,CATALOG_POINTS,0))),IFERROR(INDEX(CATALOG_POINTS,MATCH(A1428,CATALOG_TASK,0)),""))</f>
        <v>1</v>
      </c>
      <c r="D1428" s="10" t="s">
        <v>955</v>
      </c>
      <c r="E1428" s="41" t="str">
        <f t="shared" si="1"/>
        <v>PROX3</v>
      </c>
    </row>
    <row r="1429" ht="15.75" customHeight="1">
      <c r="A1429" s="10" t="s">
        <v>956</v>
      </c>
      <c r="B1429" s="10" t="s">
        <v>127</v>
      </c>
      <c r="C1429" s="41">
        <f t="array" ref="C1429">IF(IFERROR(INDEX(CATALOG_POINTS,MATCH(A1429,CATALOG_TASK,0)),"")="",IF(MAX(IF(IFERROR(FIND(CATALOG_BASE,A1429),0)=1,CATALOG_POINTS,0))=0,DAILY_POST_POINTS,MAX(IF(IFERROR(FIND(CATALOG_BASE,A1429),0)=1,CATALOG_POINTS,0))),IFERROR(INDEX(CATALOG_POINTS,MATCH(A1429,CATALOG_TASK,0)),""))</f>
        <v>1</v>
      </c>
      <c r="D1429" s="10" t="s">
        <v>956</v>
      </c>
      <c r="E1429" s="41" t="str">
        <f t="shared" si="1"/>
        <v>PROX3</v>
      </c>
    </row>
    <row r="1430" ht="15.75" customHeight="1">
      <c r="A1430" s="10" t="s">
        <v>957</v>
      </c>
      <c r="B1430" s="10" t="s">
        <v>128</v>
      </c>
      <c r="C1430" s="41">
        <f t="array" ref="C1430">IF(IFERROR(INDEX(CATALOG_POINTS,MATCH(A1430,CATALOG_TASK,0)),"")="",IF(MAX(IF(IFERROR(FIND(CATALOG_BASE,A1430),0)=1,CATALOG_POINTS,0))=0,DAILY_POST_POINTS,MAX(IF(IFERROR(FIND(CATALOG_BASE,A1430),0)=1,CATALOG_POINTS,0))),IFERROR(INDEX(CATALOG_POINTS,MATCH(A1430,CATALOG_TASK,0)),""))</f>
        <v>1</v>
      </c>
      <c r="D1430" s="10" t="s">
        <v>957</v>
      </c>
      <c r="E1430" s="41" t="str">
        <f t="shared" si="1"/>
        <v>PROX3</v>
      </c>
    </row>
    <row r="1431" ht="15.75" customHeight="1">
      <c r="A1431" s="10" t="s">
        <v>37</v>
      </c>
      <c r="B1431" s="10" t="s">
        <v>124</v>
      </c>
      <c r="C1431" s="41">
        <f t="array" ref="C1431">IF(IFERROR(INDEX(CATALOG_POINTS,MATCH(A1431,CATALOG_TASK,0)),"")="",IF(MAX(IF(IFERROR(FIND(CATALOG_BASE,A1431),0)=1,CATALOG_POINTS,0))=0,DAILY_POST_POINTS,MAX(IF(IFERROR(FIND(CATALOG_BASE,A1431),0)=1,CATALOG_POINTS,0))),IFERROR(INDEX(CATALOG_POINTS,MATCH(A1431,CATALOG_TASK,0)),""))</f>
        <v>2</v>
      </c>
      <c r="D1431" s="10" t="s">
        <v>958</v>
      </c>
      <c r="E1431" s="41" t="str">
        <f t="shared" si="1"/>
        <v>PROX3</v>
      </c>
    </row>
    <row r="1432" ht="15.75" customHeight="1">
      <c r="A1432" s="10" t="s">
        <v>37</v>
      </c>
      <c r="B1432" s="10" t="s">
        <v>120</v>
      </c>
      <c r="C1432" s="41">
        <f t="array" ref="C1432">IF(IFERROR(INDEX(CATALOG_POINTS,MATCH(A1432,CATALOG_TASK,0)),"")="",IF(MAX(IF(IFERROR(FIND(CATALOG_BASE,A1432),0)=1,CATALOG_POINTS,0))=0,DAILY_POST_POINTS,MAX(IF(IFERROR(FIND(CATALOG_BASE,A1432),0)=1,CATALOG_POINTS,0))),IFERROR(INDEX(CATALOG_POINTS,MATCH(A1432,CATALOG_TASK,0)),""))</f>
        <v>2</v>
      </c>
      <c r="D1432" s="10" t="s">
        <v>958</v>
      </c>
      <c r="E1432" s="41" t="str">
        <f t="shared" si="1"/>
        <v>PROX3</v>
      </c>
    </row>
    <row r="1433" ht="15.75" customHeight="1">
      <c r="A1433" s="10" t="s">
        <v>958</v>
      </c>
      <c r="B1433" s="10" t="s">
        <v>126</v>
      </c>
      <c r="C1433" s="41">
        <f t="array" ref="C1433">IF(IFERROR(INDEX(CATALOG_POINTS,MATCH(A1433,CATALOG_TASK,0)),"")="",IF(MAX(IF(IFERROR(FIND(CATALOG_BASE,A1433),0)=1,CATALOG_POINTS,0))=0,DAILY_POST_POINTS,MAX(IF(IFERROR(FIND(CATALOG_BASE,A1433),0)=1,CATALOG_POINTS,0))),IFERROR(INDEX(CATALOG_POINTS,MATCH(A1433,CATALOG_TASK,0)),""))</f>
        <v>1</v>
      </c>
      <c r="D1433" s="10" t="s">
        <v>958</v>
      </c>
      <c r="E1433" s="41" t="str">
        <f t="shared" si="1"/>
        <v>PROX3</v>
      </c>
    </row>
    <row r="1434" ht="15.75" customHeight="1">
      <c r="A1434" s="10" t="s">
        <v>959</v>
      </c>
      <c r="B1434" s="10" t="s">
        <v>132</v>
      </c>
      <c r="C1434" s="41">
        <f t="array" ref="C1434">IF(IFERROR(INDEX(CATALOG_POINTS,MATCH(A1434,CATALOG_TASK,0)),"")="",IF(MAX(IF(IFERROR(FIND(CATALOG_BASE,A1434),0)=1,CATALOG_POINTS,0))=0,DAILY_POST_POINTS,MAX(IF(IFERROR(FIND(CATALOG_BASE,A1434),0)=1,CATALOG_POINTS,0))),IFERROR(INDEX(CATALOG_POINTS,MATCH(A1434,CATALOG_TASK,0)),""))</f>
        <v>1</v>
      </c>
      <c r="D1434" s="10" t="s">
        <v>959</v>
      </c>
      <c r="E1434" s="41" t="str">
        <f t="shared" si="1"/>
        <v>PROX3</v>
      </c>
    </row>
    <row r="1435" ht="15.75" customHeight="1">
      <c r="A1435" s="10" t="s">
        <v>178</v>
      </c>
      <c r="B1435" s="10" t="s">
        <v>119</v>
      </c>
      <c r="C1435" s="41">
        <f t="array" ref="C1435">IF(IFERROR(INDEX(CATALOG_POINTS,MATCH(A1435,CATALOG_TASK,0)),"")="",IF(MAX(IF(IFERROR(FIND(CATALOG_BASE,A1435),0)=1,CATALOG_POINTS,0))=0,DAILY_POST_POINTS,MAX(IF(IFERROR(FIND(CATALOG_BASE,A1435),0)=1,CATALOG_POINTS,0))),IFERROR(INDEX(CATALOG_POINTS,MATCH(A1435,CATALOG_TASK,0)),""))</f>
        <v>1</v>
      </c>
      <c r="D1435" s="10" t="s">
        <v>960</v>
      </c>
      <c r="E1435" s="41" t="str">
        <f t="shared" si="1"/>
        <v>PROX3</v>
      </c>
    </row>
    <row r="1436" ht="15.75" customHeight="1">
      <c r="A1436" s="10" t="s">
        <v>37</v>
      </c>
      <c r="B1436" s="10" t="s">
        <v>124</v>
      </c>
      <c r="C1436" s="41">
        <f t="array" ref="C1436">IF(IFERROR(INDEX(CATALOG_POINTS,MATCH(A1436,CATALOG_TASK,0)),"")="",IF(MAX(IF(IFERROR(FIND(CATALOG_BASE,A1436),0)=1,CATALOG_POINTS,0))=0,DAILY_POST_POINTS,MAX(IF(IFERROR(FIND(CATALOG_BASE,A1436),0)=1,CATALOG_POINTS,0))),IFERROR(INDEX(CATALOG_POINTS,MATCH(A1436,CATALOG_TASK,0)),""))</f>
        <v>2</v>
      </c>
      <c r="D1436" s="10" t="s">
        <v>960</v>
      </c>
      <c r="E1436" s="41" t="str">
        <f t="shared" si="1"/>
        <v>PROX3</v>
      </c>
    </row>
    <row r="1437" ht="15.75" customHeight="1">
      <c r="A1437" s="10" t="s">
        <v>24</v>
      </c>
      <c r="B1437" s="10" t="s">
        <v>119</v>
      </c>
      <c r="C1437" s="41">
        <f t="array" ref="C1437">IF(IFERROR(INDEX(CATALOG_POINTS,MATCH(A1437,CATALOG_TASK,0)),"")="",IF(MAX(IF(IFERROR(FIND(CATALOG_BASE,A1437),0)=1,CATALOG_POINTS,0))=0,DAILY_POST_POINTS,MAX(IF(IFERROR(FIND(CATALOG_BASE,A1437),0)=1,CATALOG_POINTS,0))),IFERROR(INDEX(CATALOG_POINTS,MATCH(A1437,CATALOG_TASK,0)),""))</f>
        <v>2</v>
      </c>
      <c r="D1437" s="10" t="s">
        <v>960</v>
      </c>
      <c r="E1437" s="41" t="str">
        <f t="shared" si="1"/>
        <v>PROX3</v>
      </c>
    </row>
    <row r="1438" ht="15.75" customHeight="1">
      <c r="A1438" s="10" t="s">
        <v>37</v>
      </c>
      <c r="B1438" s="10" t="s">
        <v>126</v>
      </c>
      <c r="C1438" s="41">
        <f t="array" ref="C1438">IF(IFERROR(INDEX(CATALOG_POINTS,MATCH(A1438,CATALOG_TASK,0)),"")="",IF(MAX(IF(IFERROR(FIND(CATALOG_BASE,A1438),0)=1,CATALOG_POINTS,0))=0,DAILY_POST_POINTS,MAX(IF(IFERROR(FIND(CATALOG_BASE,A1438),0)=1,CATALOG_POINTS,0))),IFERROR(INDEX(CATALOG_POINTS,MATCH(A1438,CATALOG_TASK,0)),""))</f>
        <v>2</v>
      </c>
      <c r="D1438" s="10" t="s">
        <v>960</v>
      </c>
      <c r="E1438" s="41" t="str">
        <f t="shared" si="1"/>
        <v>PROX3</v>
      </c>
    </row>
    <row r="1439" ht="15.75" customHeight="1">
      <c r="A1439" s="10" t="s">
        <v>960</v>
      </c>
      <c r="B1439" s="10" t="s">
        <v>124</v>
      </c>
      <c r="C1439" s="41">
        <f t="array" ref="C1439">IF(IFERROR(INDEX(CATALOG_POINTS,MATCH(A1439,CATALOG_TASK,0)),"")="",IF(MAX(IF(IFERROR(FIND(CATALOG_BASE,A1439),0)=1,CATALOG_POINTS,0))=0,DAILY_POST_POINTS,MAX(IF(IFERROR(FIND(CATALOG_BASE,A1439),0)=1,CATALOG_POINTS,0))),IFERROR(INDEX(CATALOG_POINTS,MATCH(A1439,CATALOG_TASK,0)),""))</f>
        <v>1</v>
      </c>
      <c r="D1439" s="10" t="s">
        <v>960</v>
      </c>
      <c r="E1439" s="41" t="str">
        <f t="shared" si="1"/>
        <v>PROX3</v>
      </c>
    </row>
    <row r="1440" ht="15.75" customHeight="1">
      <c r="A1440" s="10" t="s">
        <v>961</v>
      </c>
      <c r="B1440" s="10" t="s">
        <v>117</v>
      </c>
      <c r="C1440" s="41">
        <f t="array" ref="C1440">IF(IFERROR(INDEX(CATALOG_POINTS,MATCH(A1440,CATALOG_TASK,0)),"")="",IF(MAX(IF(IFERROR(FIND(CATALOG_BASE,A1440),0)=1,CATALOG_POINTS,0))=0,DAILY_POST_POINTS,MAX(IF(IFERROR(FIND(CATALOG_BASE,A1440),0)=1,CATALOG_POINTS,0))),IFERROR(INDEX(CATALOG_POINTS,MATCH(A1440,CATALOG_TASK,0)),""))</f>
        <v>1</v>
      </c>
      <c r="D1440" s="10" t="s">
        <v>961</v>
      </c>
      <c r="E1440" s="41" t="str">
        <f t="shared" si="1"/>
        <v>PROX3</v>
      </c>
    </row>
    <row r="1441" ht="15.75" customHeight="1">
      <c r="A1441" s="10" t="s">
        <v>962</v>
      </c>
      <c r="B1441" s="10" t="s">
        <v>119</v>
      </c>
      <c r="C1441" s="41">
        <f t="array" ref="C1441">IF(IFERROR(INDEX(CATALOG_POINTS,MATCH(A1441,CATALOG_TASK,0)),"")="",IF(MAX(IF(IFERROR(FIND(CATALOG_BASE,A1441),0)=1,CATALOG_POINTS,0))=0,DAILY_POST_POINTS,MAX(IF(IFERROR(FIND(CATALOG_BASE,A1441),0)=1,CATALOG_POINTS,0))),IFERROR(INDEX(CATALOG_POINTS,MATCH(A1441,CATALOG_TASK,0)),""))</f>
        <v>1</v>
      </c>
      <c r="D1441" s="10" t="s">
        <v>962</v>
      </c>
      <c r="E1441" s="41" t="str">
        <f t="shared" si="1"/>
        <v>PROX3</v>
      </c>
    </row>
    <row r="1442" ht="15.75" customHeight="1">
      <c r="A1442" s="10" t="s">
        <v>963</v>
      </c>
      <c r="B1442" s="10" t="s">
        <v>131</v>
      </c>
      <c r="C1442" s="41">
        <f t="array" ref="C1442">IF(IFERROR(INDEX(CATALOG_POINTS,MATCH(A1442,CATALOG_TASK,0)),"")="",IF(MAX(IF(IFERROR(FIND(CATALOG_BASE,A1442),0)=1,CATALOG_POINTS,0))=0,DAILY_POST_POINTS,MAX(IF(IFERROR(FIND(CATALOG_BASE,A1442),0)=1,CATALOG_POINTS,0))),IFERROR(INDEX(CATALOG_POINTS,MATCH(A1442,CATALOG_TASK,0)),""))</f>
        <v>1</v>
      </c>
      <c r="D1442" s="10" t="s">
        <v>963</v>
      </c>
      <c r="E1442" s="41" t="str">
        <f t="shared" si="1"/>
        <v>PROX4</v>
      </c>
    </row>
    <row r="1443" ht="15.75" customHeight="1">
      <c r="A1443" s="10" t="s">
        <v>178</v>
      </c>
      <c r="B1443" s="10" t="s">
        <v>125</v>
      </c>
      <c r="C1443" s="41">
        <f t="array" ref="C1443">IF(IFERROR(INDEX(CATALOG_POINTS,MATCH(A1443,CATALOG_TASK,0)),"")="",IF(MAX(IF(IFERROR(FIND(CATALOG_BASE,A1443),0)=1,CATALOG_POINTS,0))=0,DAILY_POST_POINTS,MAX(IF(IFERROR(FIND(CATALOG_BASE,A1443),0)=1,CATALOG_POINTS,0))),IFERROR(INDEX(CATALOG_POINTS,MATCH(A1443,CATALOG_TASK,0)),""))</f>
        <v>1</v>
      </c>
      <c r="D1443" s="10" t="s">
        <v>964</v>
      </c>
      <c r="E1443" s="41" t="str">
        <f t="shared" si="1"/>
        <v>PROX5</v>
      </c>
    </row>
    <row r="1444" ht="15.75" customHeight="1">
      <c r="A1444" s="10" t="s">
        <v>174</v>
      </c>
      <c r="B1444" s="10" t="s">
        <v>127</v>
      </c>
      <c r="C1444" s="41">
        <f t="array" ref="C1444">IF(IFERROR(INDEX(CATALOG_POINTS,MATCH(A1444,CATALOG_TASK,0)),"")="",IF(MAX(IF(IFERROR(FIND(CATALOG_BASE,A1444),0)=1,CATALOG_POINTS,0))=0,DAILY_POST_POINTS,MAX(IF(IFERROR(FIND(CATALOG_BASE,A1444),0)=1,CATALOG_POINTS,0))),IFERROR(INDEX(CATALOG_POINTS,MATCH(A1444,CATALOG_TASK,0)),""))</f>
        <v>1</v>
      </c>
      <c r="D1444" s="10" t="s">
        <v>964</v>
      </c>
      <c r="E1444" s="41" t="str">
        <f t="shared" si="1"/>
        <v>PROX5</v>
      </c>
    </row>
    <row r="1445" ht="15.75" customHeight="1">
      <c r="A1445" s="10" t="s">
        <v>180</v>
      </c>
      <c r="B1445" s="10" t="s">
        <v>138</v>
      </c>
      <c r="C1445" s="41">
        <f t="array" ref="C1445">IF(IFERROR(INDEX(CATALOG_POINTS,MATCH(A1445,CATALOG_TASK,0)),"")="",IF(MAX(IF(IFERROR(FIND(CATALOG_BASE,A1445),0)=1,CATALOG_POINTS,0))=0,DAILY_POST_POINTS,MAX(IF(IFERROR(FIND(CATALOG_BASE,A1445),0)=1,CATALOG_POINTS,0))),IFERROR(INDEX(CATALOG_POINTS,MATCH(A1445,CATALOG_TASK,0)),""))</f>
        <v>1</v>
      </c>
      <c r="D1445" s="10" t="s">
        <v>964</v>
      </c>
      <c r="E1445" s="41" t="str">
        <f t="shared" si="1"/>
        <v>PROX5</v>
      </c>
    </row>
    <row r="1446" ht="15.75" customHeight="1">
      <c r="A1446" s="10" t="s">
        <v>37</v>
      </c>
      <c r="B1446" s="10" t="s">
        <v>119</v>
      </c>
      <c r="C1446" s="41">
        <f t="array" ref="C1446">IF(IFERROR(INDEX(CATALOG_POINTS,MATCH(A1446,CATALOG_TASK,0)),"")="",IF(MAX(IF(IFERROR(FIND(CATALOG_BASE,A1446),0)=1,CATALOG_POINTS,0))=0,DAILY_POST_POINTS,MAX(IF(IFERROR(FIND(CATALOG_BASE,A1446),0)=1,CATALOG_POINTS,0))),IFERROR(INDEX(CATALOG_POINTS,MATCH(A1446,CATALOG_TASK,0)),""))</f>
        <v>2</v>
      </c>
      <c r="D1446" s="10" t="s">
        <v>965</v>
      </c>
      <c r="E1446" s="41" t="str">
        <f t="shared" si="1"/>
        <v>PROX3</v>
      </c>
    </row>
    <row r="1447" ht="15.75" customHeight="1">
      <c r="A1447" s="10" t="s">
        <v>37</v>
      </c>
      <c r="B1447" s="10" t="s">
        <v>125</v>
      </c>
      <c r="C1447" s="41">
        <f t="array" ref="C1447">IF(IFERROR(INDEX(CATALOG_POINTS,MATCH(A1447,CATALOG_TASK,0)),"")="",IF(MAX(IF(IFERROR(FIND(CATALOG_BASE,A1447),0)=1,CATALOG_POINTS,0))=0,DAILY_POST_POINTS,MAX(IF(IFERROR(FIND(CATALOG_BASE,A1447),0)=1,CATALOG_POINTS,0))),IFERROR(INDEX(CATALOG_POINTS,MATCH(A1447,CATALOG_TASK,0)),""))</f>
        <v>2</v>
      </c>
      <c r="D1447" s="10" t="s">
        <v>965</v>
      </c>
      <c r="E1447" s="41" t="str">
        <f t="shared" si="1"/>
        <v>PROX3</v>
      </c>
    </row>
    <row r="1448" ht="15.75" customHeight="1">
      <c r="A1448" s="10" t="s">
        <v>168</v>
      </c>
      <c r="B1448" s="10" t="s">
        <v>125</v>
      </c>
      <c r="C1448" s="41">
        <f t="array" ref="C1448">IF(IFERROR(INDEX(CATALOG_POINTS,MATCH(A1448,CATALOG_TASK,0)),"")="",IF(MAX(IF(IFERROR(FIND(CATALOG_BASE,A1448),0)=1,CATALOG_POINTS,0))=0,DAILY_POST_POINTS,MAX(IF(IFERROR(FIND(CATALOG_BASE,A1448),0)=1,CATALOG_POINTS,0))),IFERROR(INDEX(CATALOG_POINTS,MATCH(A1448,CATALOG_TASK,0)),""))</f>
        <v>1</v>
      </c>
      <c r="D1448" s="10" t="s">
        <v>965</v>
      </c>
      <c r="E1448" s="41" t="str">
        <f t="shared" si="1"/>
        <v>PROX3</v>
      </c>
    </row>
    <row r="1449" ht="15.75" customHeight="1">
      <c r="A1449" s="10" t="s">
        <v>966</v>
      </c>
      <c r="B1449" s="10" t="s">
        <v>126</v>
      </c>
      <c r="C1449" s="41">
        <f t="array" ref="C1449">IF(IFERROR(INDEX(CATALOG_POINTS,MATCH(A1449,CATALOG_TASK,0)),"")="",IF(MAX(IF(IFERROR(FIND(CATALOG_BASE,A1449),0)=1,CATALOG_POINTS,0))=0,DAILY_POST_POINTS,MAX(IF(IFERROR(FIND(CATALOG_BASE,A1449),0)=1,CATALOG_POINTS,0))),IFERROR(INDEX(CATALOG_POINTS,MATCH(A1449,CATALOG_TASK,0)),""))</f>
        <v>1</v>
      </c>
      <c r="D1449" s="10" t="s">
        <v>966</v>
      </c>
      <c r="E1449" s="41" t="str">
        <f t="shared" si="1"/>
        <v>PROX3</v>
      </c>
    </row>
    <row r="1450" ht="15.75" customHeight="1">
      <c r="A1450" s="10" t="s">
        <v>967</v>
      </c>
      <c r="B1450" s="10" t="s">
        <v>137</v>
      </c>
      <c r="C1450" s="41">
        <f t="array" ref="C1450">IF(IFERROR(INDEX(CATALOG_POINTS,MATCH(A1450,CATALOG_TASK,0)),"")="",IF(MAX(IF(IFERROR(FIND(CATALOG_BASE,A1450),0)=1,CATALOG_POINTS,0))=0,DAILY_POST_POINTS,MAX(IF(IFERROR(FIND(CATALOG_BASE,A1450),0)=1,CATALOG_POINTS,0))),IFERROR(INDEX(CATALOG_POINTS,MATCH(A1450,CATALOG_TASK,0)),""))</f>
        <v>1</v>
      </c>
      <c r="D1450" s="10" t="s">
        <v>968</v>
      </c>
      <c r="E1450" s="41" t="str">
        <f t="shared" si="1"/>
        <v/>
      </c>
    </row>
    <row r="1451" ht="15.75" customHeight="1">
      <c r="A1451" s="10" t="s">
        <v>37</v>
      </c>
      <c r="B1451" s="10" t="s">
        <v>126</v>
      </c>
      <c r="C1451" s="41">
        <f t="array" ref="C1451">IF(IFERROR(INDEX(CATALOG_POINTS,MATCH(A1451,CATALOG_TASK,0)),"")="",IF(MAX(IF(IFERROR(FIND(CATALOG_BASE,A1451),0)=1,CATALOG_POINTS,0))=0,DAILY_POST_POINTS,MAX(IF(IFERROR(FIND(CATALOG_BASE,A1451),0)=1,CATALOG_POINTS,0))),IFERROR(INDEX(CATALOG_POINTS,MATCH(A1451,CATALOG_TASK,0)),""))</f>
        <v>2</v>
      </c>
      <c r="D1451" s="10" t="s">
        <v>969</v>
      </c>
      <c r="E1451" s="41" t="str">
        <f t="shared" si="1"/>
        <v>PROX3</v>
      </c>
    </row>
    <row r="1452" ht="15.75" customHeight="1">
      <c r="A1452" s="10" t="s">
        <v>37</v>
      </c>
      <c r="B1452" s="10" t="s">
        <v>126</v>
      </c>
      <c r="C1452" s="41">
        <f t="array" ref="C1452">IF(IFERROR(INDEX(CATALOG_POINTS,MATCH(A1452,CATALOG_TASK,0)),"")="",IF(MAX(IF(IFERROR(FIND(CATALOG_BASE,A1452),0)=1,CATALOG_POINTS,0))=0,DAILY_POST_POINTS,MAX(IF(IFERROR(FIND(CATALOG_BASE,A1452),0)=1,CATALOG_POINTS,0))),IFERROR(INDEX(CATALOG_POINTS,MATCH(A1452,CATALOG_TASK,0)),""))</f>
        <v>2</v>
      </c>
      <c r="D1452" s="10" t="s">
        <v>969</v>
      </c>
      <c r="E1452" s="41" t="str">
        <f t="shared" si="1"/>
        <v>PROX3</v>
      </c>
    </row>
    <row r="1453" ht="15.75" customHeight="1">
      <c r="A1453" s="10" t="s">
        <v>969</v>
      </c>
      <c r="B1453" s="10" t="s">
        <v>125</v>
      </c>
      <c r="C1453" s="41">
        <f t="array" ref="C1453">IF(IFERROR(INDEX(CATALOG_POINTS,MATCH(A1453,CATALOG_TASK,0)),"")="",IF(MAX(IF(IFERROR(FIND(CATALOG_BASE,A1453),0)=1,CATALOG_POINTS,0))=0,DAILY_POST_POINTS,MAX(IF(IFERROR(FIND(CATALOG_BASE,A1453),0)=1,CATALOG_POINTS,0))),IFERROR(INDEX(CATALOG_POINTS,MATCH(A1453,CATALOG_TASK,0)),""))</f>
        <v>1</v>
      </c>
      <c r="D1453" s="10" t="s">
        <v>969</v>
      </c>
      <c r="E1453" s="41" t="str">
        <f t="shared" si="1"/>
        <v>PROX3</v>
      </c>
    </row>
    <row r="1454" ht="15.75" customHeight="1">
      <c r="A1454" s="10" t="s">
        <v>970</v>
      </c>
      <c r="B1454" s="10" t="s">
        <v>121</v>
      </c>
      <c r="C1454" s="41">
        <f t="array" ref="C1454">IF(IFERROR(INDEX(CATALOG_POINTS,MATCH(A1454,CATALOG_TASK,0)),"")="",IF(MAX(IF(IFERROR(FIND(CATALOG_BASE,A1454),0)=1,CATALOG_POINTS,0))=0,DAILY_POST_POINTS,MAX(IF(IFERROR(FIND(CATALOG_BASE,A1454),0)=1,CATALOG_POINTS,0))),IFERROR(INDEX(CATALOG_POINTS,MATCH(A1454,CATALOG_TASK,0)),""))</f>
        <v>1</v>
      </c>
      <c r="D1454" s="10" t="s">
        <v>970</v>
      </c>
      <c r="E1454" s="41" t="str">
        <f t="shared" si="1"/>
        <v>PROX3</v>
      </c>
    </row>
    <row r="1455" ht="15.75" customHeight="1">
      <c r="A1455" s="10" t="s">
        <v>37</v>
      </c>
      <c r="B1455" s="10" t="s">
        <v>126</v>
      </c>
      <c r="C1455" s="41">
        <f t="array" ref="C1455">IF(IFERROR(INDEX(CATALOG_POINTS,MATCH(A1455,CATALOG_TASK,0)),"")="",IF(MAX(IF(IFERROR(FIND(CATALOG_BASE,A1455),0)=1,CATALOG_POINTS,0))=0,DAILY_POST_POINTS,MAX(IF(IFERROR(FIND(CATALOG_BASE,A1455),0)=1,CATALOG_POINTS,0))),IFERROR(INDEX(CATALOG_POINTS,MATCH(A1455,CATALOG_TASK,0)),""))</f>
        <v>2</v>
      </c>
      <c r="D1455" s="10" t="s">
        <v>970</v>
      </c>
      <c r="E1455" s="41" t="str">
        <f t="shared" si="1"/>
        <v>PROX3</v>
      </c>
    </row>
    <row r="1456" ht="15.75" customHeight="1">
      <c r="A1456" s="10" t="s">
        <v>971</v>
      </c>
      <c r="B1456" s="10" t="s">
        <v>121</v>
      </c>
      <c r="C1456" s="41">
        <f t="array" ref="C1456">IF(IFERROR(INDEX(CATALOG_POINTS,MATCH(A1456,CATALOG_TASK,0)),"")="",IF(MAX(IF(IFERROR(FIND(CATALOG_BASE,A1456),0)=1,CATALOG_POINTS,0))=0,DAILY_POST_POINTS,MAX(IF(IFERROR(FIND(CATALOG_BASE,A1456),0)=1,CATALOG_POINTS,0))),IFERROR(INDEX(CATALOG_POINTS,MATCH(A1456,CATALOG_TASK,0)),""))</f>
        <v>1</v>
      </c>
      <c r="D1456" s="10" t="s">
        <v>971</v>
      </c>
      <c r="E1456" s="41" t="str">
        <f t="shared" si="1"/>
        <v>PROX3</v>
      </c>
    </row>
    <row r="1457" ht="15.75" customHeight="1">
      <c r="A1457" s="10" t="s">
        <v>179</v>
      </c>
      <c r="B1457" s="10" t="s">
        <v>142</v>
      </c>
      <c r="C1457" s="41">
        <f t="array" ref="C1457">IF(IFERROR(INDEX(CATALOG_POINTS,MATCH(A1457,CATALOG_TASK,0)),"")="",IF(MAX(IF(IFERROR(FIND(CATALOG_BASE,A1457),0)=1,CATALOG_POINTS,0))=0,DAILY_POST_POINTS,MAX(IF(IFERROR(FIND(CATALOG_BASE,A1457),0)=1,CATALOG_POINTS,0))),IFERROR(INDEX(CATALOG_POINTS,MATCH(A1457,CATALOG_TASK,0)),""))</f>
        <v>1</v>
      </c>
      <c r="D1457" s="10" t="s">
        <v>972</v>
      </c>
      <c r="E1457" s="41" t="str">
        <f t="shared" si="1"/>
        <v>PROX5</v>
      </c>
    </row>
    <row r="1458" ht="15.75" customHeight="1">
      <c r="A1458" s="10" t="s">
        <v>37</v>
      </c>
      <c r="B1458" s="10" t="s">
        <v>117</v>
      </c>
      <c r="C1458" s="41">
        <f t="array" ref="C1458">IF(IFERROR(INDEX(CATALOG_POINTS,MATCH(A1458,CATALOG_TASK,0)),"")="",IF(MAX(IF(IFERROR(FIND(CATALOG_BASE,A1458),0)=1,CATALOG_POINTS,0))=0,DAILY_POST_POINTS,MAX(IF(IFERROR(FIND(CATALOG_BASE,A1458),0)=1,CATALOG_POINTS,0))),IFERROR(INDEX(CATALOG_POINTS,MATCH(A1458,CATALOG_TASK,0)),""))</f>
        <v>2</v>
      </c>
      <c r="D1458" s="10" t="s">
        <v>972</v>
      </c>
      <c r="E1458" s="41" t="str">
        <f t="shared" si="1"/>
        <v>PROX5</v>
      </c>
    </row>
    <row r="1459" ht="15.75" customHeight="1">
      <c r="A1459" s="10" t="s">
        <v>178</v>
      </c>
      <c r="B1459" s="10" t="s">
        <v>125</v>
      </c>
      <c r="C1459" s="41">
        <f t="array" ref="C1459">IF(IFERROR(INDEX(CATALOG_POINTS,MATCH(A1459,CATALOG_TASK,0)),"")="",IF(MAX(IF(IFERROR(FIND(CATALOG_BASE,A1459),0)=1,CATALOG_POINTS,0))=0,DAILY_POST_POINTS,MAX(IF(IFERROR(FIND(CATALOG_BASE,A1459),0)=1,CATALOG_POINTS,0))),IFERROR(INDEX(CATALOG_POINTS,MATCH(A1459,CATALOG_TASK,0)),""))</f>
        <v>1</v>
      </c>
      <c r="D1459" s="10" t="s">
        <v>972</v>
      </c>
      <c r="E1459" s="41" t="str">
        <f t="shared" si="1"/>
        <v>PROX5</v>
      </c>
    </row>
    <row r="1460" ht="15.75" customHeight="1">
      <c r="A1460" s="10" t="s">
        <v>168</v>
      </c>
      <c r="B1460" s="10" t="s">
        <v>123</v>
      </c>
      <c r="C1460" s="41">
        <f t="array" ref="C1460">IF(IFERROR(INDEX(CATALOG_POINTS,MATCH(A1460,CATALOG_TASK,0)),"")="",IF(MAX(IF(IFERROR(FIND(CATALOG_BASE,A1460),0)=1,CATALOG_POINTS,0))=0,DAILY_POST_POINTS,MAX(IF(IFERROR(FIND(CATALOG_BASE,A1460),0)=1,CATALOG_POINTS,0))),IFERROR(INDEX(CATALOG_POINTS,MATCH(A1460,CATALOG_TASK,0)),""))</f>
        <v>1</v>
      </c>
      <c r="D1460" s="10" t="s">
        <v>972</v>
      </c>
      <c r="E1460" s="41" t="str">
        <f t="shared" si="1"/>
        <v>PROX5</v>
      </c>
    </row>
    <row r="1461" ht="15.75" customHeight="1">
      <c r="A1461" s="10" t="s">
        <v>37</v>
      </c>
      <c r="B1461" s="10" t="s">
        <v>123</v>
      </c>
      <c r="C1461" s="41">
        <f t="array" ref="C1461">IF(IFERROR(INDEX(CATALOG_POINTS,MATCH(A1461,CATALOG_TASK,0)),"")="",IF(MAX(IF(IFERROR(FIND(CATALOG_BASE,A1461),0)=1,CATALOG_POINTS,0))=0,DAILY_POST_POINTS,MAX(IF(IFERROR(FIND(CATALOG_BASE,A1461),0)=1,CATALOG_POINTS,0))),IFERROR(INDEX(CATALOG_POINTS,MATCH(A1461,CATALOG_TASK,0)),""))</f>
        <v>2</v>
      </c>
      <c r="D1461" s="10" t="s">
        <v>972</v>
      </c>
      <c r="E1461" s="41" t="str">
        <f t="shared" si="1"/>
        <v>PROX5</v>
      </c>
    </row>
    <row r="1462" ht="15.75" customHeight="1">
      <c r="A1462" s="10" t="s">
        <v>37</v>
      </c>
      <c r="B1462" s="10" t="s">
        <v>123</v>
      </c>
      <c r="C1462" s="41">
        <f t="array" ref="C1462">IF(IFERROR(INDEX(CATALOG_POINTS,MATCH(A1462,CATALOG_TASK,0)),"")="",IF(MAX(IF(IFERROR(FIND(CATALOG_BASE,A1462),0)=1,CATALOG_POINTS,0))=0,DAILY_POST_POINTS,MAX(IF(IFERROR(FIND(CATALOG_BASE,A1462),0)=1,CATALOG_POINTS,0))),IFERROR(INDEX(CATALOG_POINTS,MATCH(A1462,CATALOG_TASK,0)),""))</f>
        <v>2</v>
      </c>
      <c r="D1462" s="10" t="s">
        <v>972</v>
      </c>
      <c r="E1462" s="41" t="str">
        <f t="shared" si="1"/>
        <v>PROX5</v>
      </c>
    </row>
    <row r="1463" ht="15.75" customHeight="1">
      <c r="A1463" s="10" t="s">
        <v>174</v>
      </c>
      <c r="B1463" s="10" t="s">
        <v>127</v>
      </c>
      <c r="C1463" s="41">
        <f t="array" ref="C1463">IF(IFERROR(INDEX(CATALOG_POINTS,MATCH(A1463,CATALOG_TASK,0)),"")="",IF(MAX(IF(IFERROR(FIND(CATALOG_BASE,A1463),0)=1,CATALOG_POINTS,0))=0,DAILY_POST_POINTS,MAX(IF(IFERROR(FIND(CATALOG_BASE,A1463),0)=1,CATALOG_POINTS,0))),IFERROR(INDEX(CATALOG_POINTS,MATCH(A1463,CATALOG_TASK,0)),""))</f>
        <v>1</v>
      </c>
      <c r="D1463" s="10" t="s">
        <v>972</v>
      </c>
      <c r="E1463" s="41" t="str">
        <f t="shared" si="1"/>
        <v>PROX5</v>
      </c>
    </row>
    <row r="1464" ht="15.75" customHeight="1">
      <c r="A1464" s="10" t="s">
        <v>55</v>
      </c>
      <c r="B1464" s="10" t="s">
        <v>151</v>
      </c>
      <c r="C1464" s="41">
        <f t="array" ref="C1464">IF(IFERROR(INDEX(CATALOG_POINTS,MATCH(A1464,CATALOG_TASK,0)),"")="",IF(MAX(IF(IFERROR(FIND(CATALOG_BASE,A1464),0)=1,CATALOG_POINTS,0))=0,DAILY_POST_POINTS,MAX(IF(IFERROR(FIND(CATALOG_BASE,A1464),0)=1,CATALOG_POINTS,0))),IFERROR(INDEX(CATALOG_POINTS,MATCH(A1464,CATALOG_TASK,0)),""))</f>
        <v>8</v>
      </c>
      <c r="D1464" s="10" t="s">
        <v>972</v>
      </c>
      <c r="E1464" s="41" t="str">
        <f t="shared" si="1"/>
        <v>PROX5</v>
      </c>
    </row>
    <row r="1465" ht="15.75" customHeight="1">
      <c r="A1465" s="10" t="s">
        <v>168</v>
      </c>
      <c r="B1465" s="10" t="s">
        <v>123</v>
      </c>
      <c r="C1465" s="41">
        <f t="array" ref="C1465">IF(IFERROR(INDEX(CATALOG_POINTS,MATCH(A1465,CATALOG_TASK,0)),"")="",IF(MAX(IF(IFERROR(FIND(CATALOG_BASE,A1465),0)=1,CATALOG_POINTS,0))=0,DAILY_POST_POINTS,MAX(IF(IFERROR(FIND(CATALOG_BASE,A1465),0)=1,CATALOG_POINTS,0))),IFERROR(INDEX(CATALOG_POINTS,MATCH(A1465,CATALOG_TASK,0)),""))</f>
        <v>1</v>
      </c>
      <c r="D1465" s="10" t="s">
        <v>972</v>
      </c>
      <c r="E1465" s="41" t="str">
        <f t="shared" si="1"/>
        <v>PROX5</v>
      </c>
    </row>
    <row r="1466" ht="15.75" customHeight="1">
      <c r="A1466" s="10" t="s">
        <v>37</v>
      </c>
      <c r="B1466" s="10" t="s">
        <v>117</v>
      </c>
      <c r="C1466" s="41">
        <f t="array" ref="C1466">IF(IFERROR(INDEX(CATALOG_POINTS,MATCH(A1466,CATALOG_TASK,0)),"")="",IF(MAX(IF(IFERROR(FIND(CATALOG_BASE,A1466),0)=1,CATALOG_POINTS,0))=0,DAILY_POST_POINTS,MAX(IF(IFERROR(FIND(CATALOG_BASE,A1466),0)=1,CATALOG_POINTS,0))),IFERROR(INDEX(CATALOG_POINTS,MATCH(A1466,CATALOG_TASK,0)),""))</f>
        <v>2</v>
      </c>
      <c r="D1466" s="10" t="s">
        <v>972</v>
      </c>
      <c r="E1466" s="41" t="str">
        <f t="shared" si="1"/>
        <v>PROX5</v>
      </c>
    </row>
    <row r="1467" ht="15.75" customHeight="1">
      <c r="A1467" s="10" t="s">
        <v>973</v>
      </c>
      <c r="B1467" s="10" t="s">
        <v>129</v>
      </c>
      <c r="C1467" s="41">
        <f t="array" ref="C1467">IF(IFERROR(INDEX(CATALOG_POINTS,MATCH(A1467,CATALOG_TASK,0)),"")="",IF(MAX(IF(IFERROR(FIND(CATALOG_BASE,A1467),0)=1,CATALOG_POINTS,0))=0,DAILY_POST_POINTS,MAX(IF(IFERROR(FIND(CATALOG_BASE,A1467),0)=1,CATALOG_POINTS,0))),IFERROR(INDEX(CATALOG_POINTS,MATCH(A1467,CATALOG_TASK,0)),""))</f>
        <v>1</v>
      </c>
      <c r="D1467" s="10" t="s">
        <v>973</v>
      </c>
      <c r="E1467" s="41" t="str">
        <f t="shared" si="1"/>
        <v>PROX3</v>
      </c>
    </row>
    <row r="1468" ht="15.75" customHeight="1">
      <c r="A1468" s="10" t="s">
        <v>37</v>
      </c>
      <c r="B1468" s="10" t="s">
        <v>120</v>
      </c>
      <c r="C1468" s="41">
        <f t="array" ref="C1468">IF(IFERROR(INDEX(CATALOG_POINTS,MATCH(A1468,CATALOG_TASK,0)),"")="",IF(MAX(IF(IFERROR(FIND(CATALOG_BASE,A1468),0)=1,CATALOG_POINTS,0))=0,DAILY_POST_POINTS,MAX(IF(IFERROR(FIND(CATALOG_BASE,A1468),0)=1,CATALOG_POINTS,0))),IFERROR(INDEX(CATALOG_POINTS,MATCH(A1468,CATALOG_TASK,0)),""))</f>
        <v>2</v>
      </c>
      <c r="D1468" s="10" t="s">
        <v>973</v>
      </c>
      <c r="E1468" s="41" t="str">
        <f t="shared" si="1"/>
        <v>PROX3</v>
      </c>
    </row>
    <row r="1469" ht="15.75" customHeight="1">
      <c r="A1469" s="10" t="s">
        <v>174</v>
      </c>
      <c r="B1469" s="10" t="s">
        <v>127</v>
      </c>
      <c r="C1469" s="41">
        <f t="array" ref="C1469">IF(IFERROR(INDEX(CATALOG_POINTS,MATCH(A1469,CATALOG_TASK,0)),"")="",IF(MAX(IF(IFERROR(FIND(CATALOG_BASE,A1469),0)=1,CATALOG_POINTS,0))=0,DAILY_POST_POINTS,MAX(IF(IFERROR(FIND(CATALOG_BASE,A1469),0)=1,CATALOG_POINTS,0))),IFERROR(INDEX(CATALOG_POINTS,MATCH(A1469,CATALOG_TASK,0)),""))</f>
        <v>1</v>
      </c>
      <c r="D1469" s="10" t="s">
        <v>974</v>
      </c>
      <c r="E1469" s="41" t="str">
        <f t="shared" si="1"/>
        <v>PROX3</v>
      </c>
    </row>
    <row r="1470" ht="15.75" customHeight="1">
      <c r="A1470" s="10" t="s">
        <v>37</v>
      </c>
      <c r="B1470" s="10" t="s">
        <v>121</v>
      </c>
      <c r="C1470" s="41">
        <f t="array" ref="C1470">IF(IFERROR(INDEX(CATALOG_POINTS,MATCH(A1470,CATALOG_TASK,0)),"")="",IF(MAX(IF(IFERROR(FIND(CATALOG_BASE,A1470),0)=1,CATALOG_POINTS,0))=0,DAILY_POST_POINTS,MAX(IF(IFERROR(FIND(CATALOG_BASE,A1470),0)=1,CATALOG_POINTS,0))),IFERROR(INDEX(CATALOG_POINTS,MATCH(A1470,CATALOG_TASK,0)),""))</f>
        <v>2</v>
      </c>
      <c r="D1470" s="10" t="s">
        <v>974</v>
      </c>
      <c r="E1470" s="41" t="str">
        <f t="shared" si="1"/>
        <v>PROX3</v>
      </c>
    </row>
    <row r="1471" ht="15.75" customHeight="1">
      <c r="A1471" s="10" t="s">
        <v>37</v>
      </c>
      <c r="B1471" s="10" t="s">
        <v>125</v>
      </c>
      <c r="C1471" s="41">
        <f t="array" ref="C1471">IF(IFERROR(INDEX(CATALOG_POINTS,MATCH(A1471,CATALOG_TASK,0)),"")="",IF(MAX(IF(IFERROR(FIND(CATALOG_BASE,A1471),0)=1,CATALOG_POINTS,0))=0,DAILY_POST_POINTS,MAX(IF(IFERROR(FIND(CATALOG_BASE,A1471),0)=1,CATALOG_POINTS,0))),IFERROR(INDEX(CATALOG_POINTS,MATCH(A1471,CATALOG_TASK,0)),""))</f>
        <v>2</v>
      </c>
      <c r="D1471" s="10" t="s">
        <v>974</v>
      </c>
      <c r="E1471" s="41" t="str">
        <f t="shared" si="1"/>
        <v>PROX3</v>
      </c>
    </row>
    <row r="1472" ht="15.75" customHeight="1">
      <c r="A1472" s="10" t="s">
        <v>37</v>
      </c>
      <c r="B1472" s="10" t="s">
        <v>127</v>
      </c>
      <c r="C1472" s="41">
        <f t="array" ref="C1472">IF(IFERROR(INDEX(CATALOG_POINTS,MATCH(A1472,CATALOG_TASK,0)),"")="",IF(MAX(IF(IFERROR(FIND(CATALOG_BASE,A1472),0)=1,CATALOG_POINTS,0))=0,DAILY_POST_POINTS,MAX(IF(IFERROR(FIND(CATALOG_BASE,A1472),0)=1,CATALOG_POINTS,0))),IFERROR(INDEX(CATALOG_POINTS,MATCH(A1472,CATALOG_TASK,0)),""))</f>
        <v>2</v>
      </c>
      <c r="D1472" s="10" t="s">
        <v>974</v>
      </c>
      <c r="E1472" s="41" t="str">
        <f t="shared" si="1"/>
        <v>PROX3</v>
      </c>
    </row>
    <row r="1473" ht="15.75" customHeight="1">
      <c r="A1473" s="10" t="s">
        <v>168</v>
      </c>
      <c r="B1473" s="10" t="s">
        <v>127</v>
      </c>
      <c r="C1473" s="41">
        <f t="array" ref="C1473">IF(IFERROR(INDEX(CATALOG_POINTS,MATCH(A1473,CATALOG_TASK,0)),"")="",IF(MAX(IF(IFERROR(FIND(CATALOG_BASE,A1473),0)=1,CATALOG_POINTS,0))=0,DAILY_POST_POINTS,MAX(IF(IFERROR(FIND(CATALOG_BASE,A1473),0)=1,CATALOG_POINTS,0))),IFERROR(INDEX(CATALOG_POINTS,MATCH(A1473,CATALOG_TASK,0)),""))</f>
        <v>1</v>
      </c>
      <c r="D1473" s="10" t="s">
        <v>974</v>
      </c>
      <c r="E1473" s="41" t="str">
        <f t="shared" si="1"/>
        <v>PROX3</v>
      </c>
    </row>
    <row r="1474" ht="15.75" customHeight="1">
      <c r="A1474" s="10" t="s">
        <v>37</v>
      </c>
      <c r="B1474" s="10" t="s">
        <v>121</v>
      </c>
      <c r="C1474" s="41">
        <f t="array" ref="C1474">IF(IFERROR(INDEX(CATALOG_POINTS,MATCH(A1474,CATALOG_TASK,0)),"")="",IF(MAX(IF(IFERROR(FIND(CATALOG_BASE,A1474),0)=1,CATALOG_POINTS,0))=0,DAILY_POST_POINTS,MAX(IF(IFERROR(FIND(CATALOG_BASE,A1474),0)=1,CATALOG_POINTS,0))),IFERROR(INDEX(CATALOG_POINTS,MATCH(A1474,CATALOG_TASK,0)),""))</f>
        <v>2</v>
      </c>
      <c r="D1474" s="10" t="s">
        <v>974</v>
      </c>
      <c r="E1474" s="41" t="str">
        <f t="shared" si="1"/>
        <v>PROX3</v>
      </c>
    </row>
    <row r="1475" ht="15.75" customHeight="1">
      <c r="A1475" s="10" t="s">
        <v>975</v>
      </c>
      <c r="B1475" s="10" t="s">
        <v>137</v>
      </c>
      <c r="C1475" s="41">
        <f t="array" ref="C1475">IF(IFERROR(INDEX(CATALOG_POINTS,MATCH(A1475,CATALOG_TASK,0)),"")="",IF(MAX(IF(IFERROR(FIND(CATALOG_BASE,A1475),0)=1,CATALOG_POINTS,0))=0,DAILY_POST_POINTS,MAX(IF(IFERROR(FIND(CATALOG_BASE,A1475),0)=1,CATALOG_POINTS,0))),IFERROR(INDEX(CATALOG_POINTS,MATCH(A1475,CATALOG_TASK,0)),""))</f>
        <v>1</v>
      </c>
      <c r="D1475" s="10" t="s">
        <v>975</v>
      </c>
      <c r="E1475" s="41" t="str">
        <f t="shared" si="1"/>
        <v>PROX3</v>
      </c>
    </row>
    <row r="1476" ht="15.75" customHeight="1">
      <c r="A1476" s="10" t="s">
        <v>37</v>
      </c>
      <c r="B1476" s="10" t="s">
        <v>117</v>
      </c>
      <c r="C1476" s="41">
        <f t="array" ref="C1476">IF(IFERROR(INDEX(CATALOG_POINTS,MATCH(A1476,CATALOG_TASK,0)),"")="",IF(MAX(IF(IFERROR(FIND(CATALOG_BASE,A1476),0)=1,CATALOG_POINTS,0))=0,DAILY_POST_POINTS,MAX(IF(IFERROR(FIND(CATALOG_BASE,A1476),0)=1,CATALOG_POINTS,0))),IFERROR(INDEX(CATALOG_POINTS,MATCH(A1476,CATALOG_TASK,0)),""))</f>
        <v>2</v>
      </c>
      <c r="D1476" s="10" t="s">
        <v>975</v>
      </c>
      <c r="E1476" s="41" t="str">
        <f t="shared" si="1"/>
        <v>PROX3</v>
      </c>
    </row>
    <row r="1477" ht="15.75" customHeight="1">
      <c r="A1477" s="10" t="s">
        <v>24</v>
      </c>
      <c r="B1477" s="10" t="s">
        <v>119</v>
      </c>
      <c r="C1477" s="41">
        <f t="array" ref="C1477">IF(IFERROR(INDEX(CATALOG_POINTS,MATCH(A1477,CATALOG_TASK,0)),"")="",IF(MAX(IF(IFERROR(FIND(CATALOG_BASE,A1477),0)=1,CATALOG_POINTS,0))=0,DAILY_POST_POINTS,MAX(IF(IFERROR(FIND(CATALOG_BASE,A1477),0)=1,CATALOG_POINTS,0))),IFERROR(INDEX(CATALOG_POINTS,MATCH(A1477,CATALOG_TASK,0)),""))</f>
        <v>2</v>
      </c>
      <c r="D1477" s="10" t="s">
        <v>976</v>
      </c>
      <c r="E1477" s="41" t="str">
        <f t="shared" si="1"/>
        <v>PROX3</v>
      </c>
    </row>
    <row r="1478" ht="15.75" customHeight="1">
      <c r="A1478" s="10" t="s">
        <v>174</v>
      </c>
      <c r="B1478" s="10" t="s">
        <v>117</v>
      </c>
      <c r="C1478" s="41">
        <f t="array" ref="C1478">IF(IFERROR(INDEX(CATALOG_POINTS,MATCH(A1478,CATALOG_TASK,0)),"")="",IF(MAX(IF(IFERROR(FIND(CATALOG_BASE,A1478),0)=1,CATALOG_POINTS,0))=0,DAILY_POST_POINTS,MAX(IF(IFERROR(FIND(CATALOG_BASE,A1478),0)=1,CATALOG_POINTS,0))),IFERROR(INDEX(CATALOG_POINTS,MATCH(A1478,CATALOG_TASK,0)),""))</f>
        <v>1</v>
      </c>
      <c r="D1478" s="10" t="s">
        <v>976</v>
      </c>
      <c r="E1478" s="41" t="str">
        <f t="shared" si="1"/>
        <v>PROX3</v>
      </c>
    </row>
    <row r="1479" ht="15.75" customHeight="1">
      <c r="A1479" s="10" t="s">
        <v>168</v>
      </c>
      <c r="B1479" s="10" t="s">
        <v>119</v>
      </c>
      <c r="C1479" s="41">
        <f t="array" ref="C1479">IF(IFERROR(INDEX(CATALOG_POINTS,MATCH(A1479,CATALOG_TASK,0)),"")="",IF(MAX(IF(IFERROR(FIND(CATALOG_BASE,A1479),0)=1,CATALOG_POINTS,0))=0,DAILY_POST_POINTS,MAX(IF(IFERROR(FIND(CATALOG_BASE,A1479),0)=1,CATALOG_POINTS,0))),IFERROR(INDEX(CATALOG_POINTS,MATCH(A1479,CATALOG_TASK,0)),""))</f>
        <v>1</v>
      </c>
      <c r="D1479" s="10" t="s">
        <v>976</v>
      </c>
      <c r="E1479" s="41" t="str">
        <f t="shared" si="1"/>
        <v>PROX3</v>
      </c>
    </row>
    <row r="1480" ht="15.75" customHeight="1">
      <c r="A1480" s="10" t="s">
        <v>37</v>
      </c>
      <c r="B1480" s="10" t="s">
        <v>119</v>
      </c>
      <c r="C1480" s="41">
        <f t="array" ref="C1480">IF(IFERROR(INDEX(CATALOG_POINTS,MATCH(A1480,CATALOG_TASK,0)),"")="",IF(MAX(IF(IFERROR(FIND(CATALOG_BASE,A1480),0)=1,CATALOG_POINTS,0))=0,DAILY_POST_POINTS,MAX(IF(IFERROR(FIND(CATALOG_BASE,A1480),0)=1,CATALOG_POINTS,0))),IFERROR(INDEX(CATALOG_POINTS,MATCH(A1480,CATALOG_TASK,0)),""))</f>
        <v>2</v>
      </c>
      <c r="D1480" s="10" t="s">
        <v>976</v>
      </c>
      <c r="E1480" s="41" t="str">
        <f t="shared" si="1"/>
        <v>PROX3</v>
      </c>
    </row>
    <row r="1481" ht="15.75" customHeight="1">
      <c r="A1481" s="10" t="s">
        <v>180</v>
      </c>
      <c r="B1481" s="10" t="s">
        <v>122</v>
      </c>
      <c r="C1481" s="41">
        <f t="array" ref="C1481">IF(IFERROR(INDEX(CATALOG_POINTS,MATCH(A1481,CATALOG_TASK,0)),"")="",IF(MAX(IF(IFERROR(FIND(CATALOG_BASE,A1481),0)=1,CATALOG_POINTS,0))=0,DAILY_POST_POINTS,MAX(IF(IFERROR(FIND(CATALOG_BASE,A1481),0)=1,CATALOG_POINTS,0))),IFERROR(INDEX(CATALOG_POINTS,MATCH(A1481,CATALOG_TASK,0)),""))</f>
        <v>1</v>
      </c>
      <c r="D1481" s="10" t="s">
        <v>976</v>
      </c>
      <c r="E1481" s="41" t="str">
        <f t="shared" si="1"/>
        <v>PROX3</v>
      </c>
    </row>
    <row r="1482" ht="15.75" customHeight="1">
      <c r="A1482" s="10" t="s">
        <v>977</v>
      </c>
      <c r="B1482" s="10" t="s">
        <v>126</v>
      </c>
      <c r="C1482" s="41">
        <f t="array" ref="C1482">IF(IFERROR(INDEX(CATALOG_POINTS,MATCH(A1482,CATALOG_TASK,0)),"")="",IF(MAX(IF(IFERROR(FIND(CATALOG_BASE,A1482),0)=1,CATALOG_POINTS,0))=0,DAILY_POST_POINTS,MAX(IF(IFERROR(FIND(CATALOG_BASE,A1482),0)=1,CATALOG_POINTS,0))),IFERROR(INDEX(CATALOG_POINTS,MATCH(A1482,CATALOG_TASK,0)),""))</f>
        <v>1</v>
      </c>
      <c r="D1482" s="10" t="s">
        <v>977</v>
      </c>
      <c r="E1482" s="41" t="str">
        <f t="shared" si="1"/>
        <v>PROX3</v>
      </c>
    </row>
    <row r="1483" ht="15.75" customHeight="1">
      <c r="A1483" s="10" t="s">
        <v>978</v>
      </c>
      <c r="B1483" s="10" t="s">
        <v>124</v>
      </c>
      <c r="C1483" s="41">
        <f t="array" ref="C1483">IF(IFERROR(INDEX(CATALOG_POINTS,MATCH(A1483,CATALOG_TASK,0)),"")="",IF(MAX(IF(IFERROR(FIND(CATALOG_BASE,A1483),0)=1,CATALOG_POINTS,0))=0,DAILY_POST_POINTS,MAX(IF(IFERROR(FIND(CATALOG_BASE,A1483),0)=1,CATALOG_POINTS,0))),IFERROR(INDEX(CATALOG_POINTS,MATCH(A1483,CATALOG_TASK,0)),""))</f>
        <v>1</v>
      </c>
      <c r="D1483" s="10" t="s">
        <v>978</v>
      </c>
      <c r="E1483" s="41" t="str">
        <f t="shared" si="1"/>
        <v>PROX3</v>
      </c>
    </row>
    <row r="1484" ht="15.75" customHeight="1">
      <c r="A1484" s="10" t="s">
        <v>979</v>
      </c>
      <c r="B1484" s="10" t="s">
        <v>135</v>
      </c>
      <c r="C1484" s="41">
        <f t="array" ref="C1484">IF(IFERROR(INDEX(CATALOG_POINTS,MATCH(A1484,CATALOG_TASK,0)),"")="",IF(MAX(IF(IFERROR(FIND(CATALOG_BASE,A1484),0)=1,CATALOG_POINTS,0))=0,DAILY_POST_POINTS,MAX(IF(IFERROR(FIND(CATALOG_BASE,A1484),0)=1,CATALOG_POINTS,0))),IFERROR(INDEX(CATALOG_POINTS,MATCH(A1484,CATALOG_TASK,0)),""))</f>
        <v>1</v>
      </c>
      <c r="D1484" s="10" t="s">
        <v>979</v>
      </c>
      <c r="E1484" s="41" t="str">
        <f t="shared" si="1"/>
        <v>PROX3</v>
      </c>
    </row>
    <row r="1485" ht="15.75" customHeight="1">
      <c r="A1485" s="10" t="s">
        <v>37</v>
      </c>
      <c r="B1485" s="10" t="s">
        <v>119</v>
      </c>
      <c r="C1485" s="41">
        <f t="array" ref="C1485">IF(IFERROR(INDEX(CATALOG_POINTS,MATCH(A1485,CATALOG_TASK,0)),"")="",IF(MAX(IF(IFERROR(FIND(CATALOG_BASE,A1485),0)=1,CATALOG_POINTS,0))=0,DAILY_POST_POINTS,MAX(IF(IFERROR(FIND(CATALOG_BASE,A1485),0)=1,CATALOG_POINTS,0))),IFERROR(INDEX(CATALOG_POINTS,MATCH(A1485,CATALOG_TASK,0)),""))</f>
        <v>2</v>
      </c>
      <c r="D1485" s="10" t="s">
        <v>980</v>
      </c>
      <c r="E1485" s="41" t="str">
        <f t="shared" si="1"/>
        <v>PROX3</v>
      </c>
    </row>
    <row r="1486" ht="15.75" customHeight="1">
      <c r="A1486" s="10" t="s">
        <v>174</v>
      </c>
      <c r="B1486" s="10" t="s">
        <v>124</v>
      </c>
      <c r="C1486" s="41">
        <f t="array" ref="C1486">IF(IFERROR(INDEX(CATALOG_POINTS,MATCH(A1486,CATALOG_TASK,0)),"")="",IF(MAX(IF(IFERROR(FIND(CATALOG_BASE,A1486),0)=1,CATALOG_POINTS,0))=0,DAILY_POST_POINTS,MAX(IF(IFERROR(FIND(CATALOG_BASE,A1486),0)=1,CATALOG_POINTS,0))),IFERROR(INDEX(CATALOG_POINTS,MATCH(A1486,CATALOG_TASK,0)),""))</f>
        <v>1</v>
      </c>
      <c r="D1486" s="10" t="s">
        <v>981</v>
      </c>
      <c r="E1486" s="41" t="str">
        <f t="shared" si="1"/>
        <v>PROX5</v>
      </c>
    </row>
    <row r="1487" ht="15.75" customHeight="1">
      <c r="A1487" s="10" t="s">
        <v>37</v>
      </c>
      <c r="B1487" s="10" t="s">
        <v>123</v>
      </c>
      <c r="C1487" s="41">
        <f t="array" ref="C1487">IF(IFERROR(INDEX(CATALOG_POINTS,MATCH(A1487,CATALOG_TASK,0)),"")="",IF(MAX(IF(IFERROR(FIND(CATALOG_BASE,A1487),0)=1,CATALOG_POINTS,0))=0,DAILY_POST_POINTS,MAX(IF(IFERROR(FIND(CATALOG_BASE,A1487),0)=1,CATALOG_POINTS,0))),IFERROR(INDEX(CATALOG_POINTS,MATCH(A1487,CATALOG_TASK,0)),""))</f>
        <v>2</v>
      </c>
      <c r="D1487" s="10" t="s">
        <v>982</v>
      </c>
      <c r="E1487" s="41" t="str">
        <f t="shared" si="1"/>
        <v>PROX3</v>
      </c>
    </row>
    <row r="1488" ht="15.75" customHeight="1">
      <c r="A1488" s="10" t="s">
        <v>982</v>
      </c>
      <c r="B1488" s="10" t="s">
        <v>121</v>
      </c>
      <c r="C1488" s="41">
        <f t="array" ref="C1488">IF(IFERROR(INDEX(CATALOG_POINTS,MATCH(A1488,CATALOG_TASK,0)),"")="",IF(MAX(IF(IFERROR(FIND(CATALOG_BASE,A1488),0)=1,CATALOG_POINTS,0))=0,DAILY_POST_POINTS,MAX(IF(IFERROR(FIND(CATALOG_BASE,A1488),0)=1,CATALOG_POINTS,0))),IFERROR(INDEX(CATALOG_POINTS,MATCH(A1488,CATALOG_TASK,0)),""))</f>
        <v>1</v>
      </c>
      <c r="D1488" s="10" t="s">
        <v>982</v>
      </c>
      <c r="E1488" s="41" t="str">
        <f t="shared" si="1"/>
        <v>PROX3</v>
      </c>
    </row>
    <row r="1489" ht="15.75" customHeight="1">
      <c r="A1489" s="10" t="s">
        <v>983</v>
      </c>
      <c r="B1489" s="10" t="s">
        <v>129</v>
      </c>
      <c r="C1489" s="41">
        <f t="array" ref="C1489">IF(IFERROR(INDEX(CATALOG_POINTS,MATCH(A1489,CATALOG_TASK,0)),"")="",IF(MAX(IF(IFERROR(FIND(CATALOG_BASE,A1489),0)=1,CATALOG_POINTS,0))=0,DAILY_POST_POINTS,MAX(IF(IFERROR(FIND(CATALOG_BASE,A1489),0)=1,CATALOG_POINTS,0))),IFERROR(INDEX(CATALOG_POINTS,MATCH(A1489,CATALOG_TASK,0)),""))</f>
        <v>1</v>
      </c>
      <c r="D1489" s="10" t="s">
        <v>984</v>
      </c>
      <c r="E1489" s="41" t="str">
        <f t="shared" si="1"/>
        <v>PROX4</v>
      </c>
    </row>
    <row r="1490" ht="15.75" customHeight="1">
      <c r="A1490" s="10" t="s">
        <v>985</v>
      </c>
      <c r="B1490" s="10" t="s">
        <v>122</v>
      </c>
      <c r="C1490" s="41">
        <f t="array" ref="C1490">IF(IFERROR(INDEX(CATALOG_POINTS,MATCH(A1490,CATALOG_TASK,0)),"")="",IF(MAX(IF(IFERROR(FIND(CATALOG_BASE,A1490),0)=1,CATALOG_POINTS,0))=0,DAILY_POST_POINTS,MAX(IF(IFERROR(FIND(CATALOG_BASE,A1490),0)=1,CATALOG_POINTS,0))),IFERROR(INDEX(CATALOG_POINTS,MATCH(A1490,CATALOG_TASK,0)),""))</f>
        <v>1</v>
      </c>
      <c r="D1490" s="10" t="s">
        <v>985</v>
      </c>
      <c r="E1490" s="41" t="str">
        <f t="shared" si="1"/>
        <v>PROX4</v>
      </c>
    </row>
    <row r="1491" ht="15.75" customHeight="1">
      <c r="A1491" s="10" t="s">
        <v>37</v>
      </c>
      <c r="B1491" s="10" t="s">
        <v>126</v>
      </c>
      <c r="C1491" s="41">
        <f t="array" ref="C1491">IF(IFERROR(INDEX(CATALOG_POINTS,MATCH(A1491,CATALOG_TASK,0)),"")="",IF(MAX(IF(IFERROR(FIND(CATALOG_BASE,A1491),0)=1,CATALOG_POINTS,0))=0,DAILY_POST_POINTS,MAX(IF(IFERROR(FIND(CATALOG_BASE,A1491),0)=1,CATALOG_POINTS,0))),IFERROR(INDEX(CATALOG_POINTS,MATCH(A1491,CATALOG_TASK,0)),""))</f>
        <v>2</v>
      </c>
      <c r="D1491" s="10" t="s">
        <v>985</v>
      </c>
      <c r="E1491" s="41" t="str">
        <f t="shared" si="1"/>
        <v>PROX4</v>
      </c>
    </row>
    <row r="1492" ht="15.75" customHeight="1">
      <c r="A1492" s="10" t="s">
        <v>986</v>
      </c>
      <c r="B1492" s="10" t="s">
        <v>132</v>
      </c>
      <c r="C1492" s="41">
        <f t="array" ref="C1492">IF(IFERROR(INDEX(CATALOG_POINTS,MATCH(A1492,CATALOG_TASK,0)),"")="",IF(MAX(IF(IFERROR(FIND(CATALOG_BASE,A1492),0)=1,CATALOG_POINTS,0))=0,DAILY_POST_POINTS,MAX(IF(IFERROR(FIND(CATALOG_BASE,A1492),0)=1,CATALOG_POINTS,0))),IFERROR(INDEX(CATALOG_POINTS,MATCH(A1492,CATALOG_TASK,0)),""))</f>
        <v>1</v>
      </c>
      <c r="D1492" s="10" t="s">
        <v>986</v>
      </c>
      <c r="E1492" s="41" t="str">
        <f t="shared" si="1"/>
        <v/>
      </c>
    </row>
    <row r="1493" ht="15.75" customHeight="1">
      <c r="A1493" s="10" t="s">
        <v>37</v>
      </c>
      <c r="B1493" s="10" t="s">
        <v>120</v>
      </c>
      <c r="C1493" s="41">
        <f t="array" ref="C1493">IF(IFERROR(INDEX(CATALOG_POINTS,MATCH(A1493,CATALOG_TASK,0)),"")="",IF(MAX(IF(IFERROR(FIND(CATALOG_BASE,A1493),0)=1,CATALOG_POINTS,0))=0,DAILY_POST_POINTS,MAX(IF(IFERROR(FIND(CATALOG_BASE,A1493),0)=1,CATALOG_POINTS,0))),IFERROR(INDEX(CATALOG_POINTS,MATCH(A1493,CATALOG_TASK,0)),""))</f>
        <v>2</v>
      </c>
      <c r="D1493" s="10" t="s">
        <v>987</v>
      </c>
      <c r="E1493" s="41" t="str">
        <f t="shared" si="1"/>
        <v>PROX3</v>
      </c>
    </row>
    <row r="1494" ht="15.75" customHeight="1">
      <c r="A1494" s="10" t="s">
        <v>987</v>
      </c>
      <c r="B1494" s="10" t="s">
        <v>126</v>
      </c>
      <c r="C1494" s="41">
        <f t="array" ref="C1494">IF(IFERROR(INDEX(CATALOG_POINTS,MATCH(A1494,CATALOG_TASK,0)),"")="",IF(MAX(IF(IFERROR(FIND(CATALOG_BASE,A1494),0)=1,CATALOG_POINTS,0))=0,DAILY_POST_POINTS,MAX(IF(IFERROR(FIND(CATALOG_BASE,A1494),0)=1,CATALOG_POINTS,0))),IFERROR(INDEX(CATALOG_POINTS,MATCH(A1494,CATALOG_TASK,0)),""))</f>
        <v>1</v>
      </c>
      <c r="D1494" s="10" t="s">
        <v>987</v>
      </c>
      <c r="E1494" s="41" t="str">
        <f t="shared" si="1"/>
        <v>PROX3</v>
      </c>
    </row>
    <row r="1495" ht="15.75" customHeight="1">
      <c r="A1495" s="10" t="s">
        <v>988</v>
      </c>
      <c r="B1495" s="10" t="s">
        <v>117</v>
      </c>
      <c r="C1495" s="41">
        <f t="array" ref="C1495">IF(IFERROR(INDEX(CATALOG_POINTS,MATCH(A1495,CATALOG_TASK,0)),"")="",IF(MAX(IF(IFERROR(FIND(CATALOG_BASE,A1495),0)=1,CATALOG_POINTS,0))=0,DAILY_POST_POINTS,MAX(IF(IFERROR(FIND(CATALOG_BASE,A1495),0)=1,CATALOG_POINTS,0))),IFERROR(INDEX(CATALOG_POINTS,MATCH(A1495,CATALOG_TASK,0)),""))</f>
        <v>1</v>
      </c>
      <c r="D1495" s="10" t="s">
        <v>988</v>
      </c>
      <c r="E1495" s="41" t="str">
        <f t="shared" si="1"/>
        <v>PROX3</v>
      </c>
    </row>
    <row r="1496" ht="15.75" customHeight="1">
      <c r="A1496" s="10" t="s">
        <v>989</v>
      </c>
      <c r="B1496" s="10" t="s">
        <v>125</v>
      </c>
      <c r="C1496" s="41">
        <f t="array" ref="C1496">IF(IFERROR(INDEX(CATALOG_POINTS,MATCH(A1496,CATALOG_TASK,0)),"")="",IF(MAX(IF(IFERROR(FIND(CATALOG_BASE,A1496),0)=1,CATALOG_POINTS,0))=0,DAILY_POST_POINTS,MAX(IF(IFERROR(FIND(CATALOG_BASE,A1496),0)=1,CATALOG_POINTS,0))),IFERROR(INDEX(CATALOG_POINTS,MATCH(A1496,CATALOG_TASK,0)),""))</f>
        <v>1</v>
      </c>
      <c r="D1496" s="10" t="s">
        <v>989</v>
      </c>
      <c r="E1496" s="41" t="str">
        <f t="shared" si="1"/>
        <v>PROX3</v>
      </c>
    </row>
    <row r="1497" ht="15.75" customHeight="1">
      <c r="A1497" s="10" t="s">
        <v>990</v>
      </c>
      <c r="B1497" s="10" t="s">
        <v>125</v>
      </c>
      <c r="C1497" s="41">
        <f t="array" ref="C1497">IF(IFERROR(INDEX(CATALOG_POINTS,MATCH(A1497,CATALOG_TASK,0)),"")="",IF(MAX(IF(IFERROR(FIND(CATALOG_BASE,A1497),0)=1,CATALOG_POINTS,0))=0,DAILY_POST_POINTS,MAX(IF(IFERROR(FIND(CATALOG_BASE,A1497),0)=1,CATALOG_POINTS,0))),IFERROR(INDEX(CATALOG_POINTS,MATCH(A1497,CATALOG_TASK,0)),""))</f>
        <v>1</v>
      </c>
      <c r="D1497" s="10" t="s">
        <v>990</v>
      </c>
      <c r="E1497" s="41" t="str">
        <f t="shared" si="1"/>
        <v>PROX3</v>
      </c>
    </row>
    <row r="1498" ht="15.75" customHeight="1">
      <c r="A1498" s="10" t="s">
        <v>991</v>
      </c>
      <c r="B1498" s="10" t="s">
        <v>131</v>
      </c>
      <c r="C1498" s="41">
        <f t="array" ref="C1498">IF(IFERROR(INDEX(CATALOG_POINTS,MATCH(A1498,CATALOG_TASK,0)),"")="",IF(MAX(IF(IFERROR(FIND(CATALOG_BASE,A1498),0)=1,CATALOG_POINTS,0))=0,DAILY_POST_POINTS,MAX(IF(IFERROR(FIND(CATALOG_BASE,A1498),0)=1,CATALOG_POINTS,0))),IFERROR(INDEX(CATALOG_POINTS,MATCH(A1498,CATALOG_TASK,0)),""))</f>
        <v>1</v>
      </c>
      <c r="D1498" s="10" t="s">
        <v>992</v>
      </c>
      <c r="E1498" s="41" t="str">
        <f t="shared" si="1"/>
        <v/>
      </c>
    </row>
    <row r="1499" ht="15.75" customHeight="1">
      <c r="A1499" s="10" t="s">
        <v>37</v>
      </c>
      <c r="B1499" s="10" t="s">
        <v>120</v>
      </c>
      <c r="C1499" s="41">
        <f t="array" ref="C1499">IF(IFERROR(INDEX(CATALOG_POINTS,MATCH(A1499,CATALOG_TASK,0)),"")="",IF(MAX(IF(IFERROR(FIND(CATALOG_BASE,A1499),0)=1,CATALOG_POINTS,0))=0,DAILY_POST_POINTS,MAX(IF(IFERROR(FIND(CATALOG_BASE,A1499),0)=1,CATALOG_POINTS,0))),IFERROR(INDEX(CATALOG_POINTS,MATCH(A1499,CATALOG_TASK,0)),""))</f>
        <v>2</v>
      </c>
      <c r="D1499" s="10" t="s">
        <v>993</v>
      </c>
      <c r="E1499" s="41" t="str">
        <f t="shared" si="1"/>
        <v/>
      </c>
    </row>
    <row r="1500" ht="15.75" customHeight="1">
      <c r="A1500" s="10" t="s">
        <v>993</v>
      </c>
      <c r="B1500" s="10" t="s">
        <v>135</v>
      </c>
      <c r="C1500" s="41">
        <f t="array" ref="C1500">IF(IFERROR(INDEX(CATALOG_POINTS,MATCH(A1500,CATALOG_TASK,0)),"")="",IF(MAX(IF(IFERROR(FIND(CATALOG_BASE,A1500),0)=1,CATALOG_POINTS,0))=0,DAILY_POST_POINTS,MAX(IF(IFERROR(FIND(CATALOG_BASE,A1500),0)=1,CATALOG_POINTS,0))),IFERROR(INDEX(CATALOG_POINTS,MATCH(A1500,CATALOG_TASK,0)),""))</f>
        <v>1</v>
      </c>
      <c r="D1500" s="10" t="s">
        <v>993</v>
      </c>
      <c r="E1500" s="41" t="str">
        <f t="shared" si="1"/>
        <v/>
      </c>
    </row>
    <row r="1501" ht="15.75" customHeight="1">
      <c r="A1501" s="10" t="s">
        <v>37</v>
      </c>
      <c r="B1501" s="10" t="s">
        <v>120</v>
      </c>
      <c r="C1501" s="41">
        <f t="array" ref="C1501">IF(IFERROR(INDEX(CATALOG_POINTS,MATCH(A1501,CATALOG_TASK,0)),"")="",IF(MAX(IF(IFERROR(FIND(CATALOG_BASE,A1501),0)=1,CATALOG_POINTS,0))=0,DAILY_POST_POINTS,MAX(IF(IFERROR(FIND(CATALOG_BASE,A1501),0)=1,CATALOG_POINTS,0))),IFERROR(INDEX(CATALOG_POINTS,MATCH(A1501,CATALOG_TASK,0)),""))</f>
        <v>2</v>
      </c>
      <c r="D1501" s="10" t="s">
        <v>994</v>
      </c>
      <c r="E1501" s="41" t="str">
        <f t="shared" si="1"/>
        <v>PROX3</v>
      </c>
    </row>
    <row r="1502" ht="15.75" customHeight="1">
      <c r="A1502" s="10" t="s">
        <v>178</v>
      </c>
      <c r="B1502" s="10" t="s">
        <v>127</v>
      </c>
      <c r="C1502" s="41">
        <f t="array" ref="C1502">IF(IFERROR(INDEX(CATALOG_POINTS,MATCH(A1502,CATALOG_TASK,0)),"")="",IF(MAX(IF(IFERROR(FIND(CATALOG_BASE,A1502),0)=1,CATALOG_POINTS,0))=0,DAILY_POST_POINTS,MAX(IF(IFERROR(FIND(CATALOG_BASE,A1502),0)=1,CATALOG_POINTS,0))),IFERROR(INDEX(CATALOG_POINTS,MATCH(A1502,CATALOG_TASK,0)),""))</f>
        <v>1</v>
      </c>
      <c r="D1502" s="10" t="s">
        <v>994</v>
      </c>
      <c r="E1502" s="41" t="str">
        <f t="shared" si="1"/>
        <v>PROX3</v>
      </c>
    </row>
    <row r="1503" ht="15.75" customHeight="1">
      <c r="A1503" s="10" t="s">
        <v>994</v>
      </c>
      <c r="B1503" s="10" t="s">
        <v>124</v>
      </c>
      <c r="C1503" s="41">
        <f t="array" ref="C1503">IF(IFERROR(INDEX(CATALOG_POINTS,MATCH(A1503,CATALOG_TASK,0)),"")="",IF(MAX(IF(IFERROR(FIND(CATALOG_BASE,A1503),0)=1,CATALOG_POINTS,0))=0,DAILY_POST_POINTS,MAX(IF(IFERROR(FIND(CATALOG_BASE,A1503),0)=1,CATALOG_POINTS,0))),IFERROR(INDEX(CATALOG_POINTS,MATCH(A1503,CATALOG_TASK,0)),""))</f>
        <v>1</v>
      </c>
      <c r="D1503" s="10" t="s">
        <v>994</v>
      </c>
      <c r="E1503" s="41" t="str">
        <f t="shared" si="1"/>
        <v>PROX3</v>
      </c>
    </row>
    <row r="1504" ht="15.75" customHeight="1">
      <c r="A1504" s="10" t="s">
        <v>168</v>
      </c>
      <c r="B1504" s="10" t="s">
        <v>121</v>
      </c>
      <c r="C1504" s="41">
        <f t="array" ref="C1504">IF(IFERROR(INDEX(CATALOG_POINTS,MATCH(A1504,CATALOG_TASK,0)),"")="",IF(MAX(IF(IFERROR(FIND(CATALOG_BASE,A1504),0)=1,CATALOG_POINTS,0))=0,DAILY_POST_POINTS,MAX(IF(IFERROR(FIND(CATALOG_BASE,A1504),0)=1,CATALOG_POINTS,0))),IFERROR(INDEX(CATALOG_POINTS,MATCH(A1504,CATALOG_TASK,0)),""))</f>
        <v>1</v>
      </c>
      <c r="D1504" s="10" t="s">
        <v>994</v>
      </c>
      <c r="E1504" s="41" t="str">
        <f t="shared" si="1"/>
        <v>PROX3</v>
      </c>
    </row>
    <row r="1505" ht="15.75" customHeight="1">
      <c r="A1505" s="10" t="s">
        <v>178</v>
      </c>
      <c r="B1505" s="10" t="s">
        <v>125</v>
      </c>
      <c r="C1505" s="41">
        <f t="array" ref="C1505">IF(IFERROR(INDEX(CATALOG_POINTS,MATCH(A1505,CATALOG_TASK,0)),"")="",IF(MAX(IF(IFERROR(FIND(CATALOG_BASE,A1505),0)=1,CATALOG_POINTS,0))=0,DAILY_POST_POINTS,MAX(IF(IFERROR(FIND(CATALOG_BASE,A1505),0)=1,CATALOG_POINTS,0))),IFERROR(INDEX(CATALOG_POINTS,MATCH(A1505,CATALOG_TASK,0)),""))</f>
        <v>1</v>
      </c>
      <c r="D1505" s="10" t="s">
        <v>994</v>
      </c>
      <c r="E1505" s="41" t="str">
        <f t="shared" si="1"/>
        <v>PROX3</v>
      </c>
    </row>
    <row r="1506" ht="15.75" customHeight="1">
      <c r="A1506" s="10" t="s">
        <v>995</v>
      </c>
      <c r="B1506" s="10" t="s">
        <v>137</v>
      </c>
      <c r="C1506" s="41">
        <f t="array" ref="C1506">IF(IFERROR(INDEX(CATALOG_POINTS,MATCH(A1506,CATALOG_TASK,0)),"")="",IF(MAX(IF(IFERROR(FIND(CATALOG_BASE,A1506),0)=1,CATALOG_POINTS,0))=0,DAILY_POST_POINTS,MAX(IF(IFERROR(FIND(CATALOG_BASE,A1506),0)=1,CATALOG_POINTS,0))),IFERROR(INDEX(CATALOG_POINTS,MATCH(A1506,CATALOG_TASK,0)),""))</f>
        <v>1</v>
      </c>
      <c r="D1506" s="10" t="s">
        <v>995</v>
      </c>
      <c r="E1506" s="41" t="str">
        <f t="shared" si="1"/>
        <v>PROX4</v>
      </c>
    </row>
    <row r="1507" ht="15.75" customHeight="1">
      <c r="A1507" s="10" t="s">
        <v>24</v>
      </c>
      <c r="B1507" s="10" t="s">
        <v>128</v>
      </c>
      <c r="C1507" s="41">
        <f t="array" ref="C1507">IF(IFERROR(INDEX(CATALOG_POINTS,MATCH(A1507,CATALOG_TASK,0)),"")="",IF(MAX(IF(IFERROR(FIND(CATALOG_BASE,A1507),0)=1,CATALOG_POINTS,0))=0,DAILY_POST_POINTS,MAX(IF(IFERROR(FIND(CATALOG_BASE,A1507),0)=1,CATALOG_POINTS,0))),IFERROR(INDEX(CATALOG_POINTS,MATCH(A1507,CATALOG_TASK,0)),""))</f>
        <v>2</v>
      </c>
      <c r="D1507" s="10" t="s">
        <v>996</v>
      </c>
      <c r="E1507" s="41" t="str">
        <f t="shared" si="1"/>
        <v>PROX3</v>
      </c>
    </row>
    <row r="1508" ht="15.75" customHeight="1">
      <c r="A1508" s="10" t="s">
        <v>996</v>
      </c>
      <c r="B1508" s="10" t="s">
        <v>123</v>
      </c>
      <c r="C1508" s="41">
        <f t="array" ref="C1508">IF(IFERROR(INDEX(CATALOG_POINTS,MATCH(A1508,CATALOG_TASK,0)),"")="",IF(MAX(IF(IFERROR(FIND(CATALOG_BASE,A1508),0)=1,CATALOG_POINTS,0))=0,DAILY_POST_POINTS,MAX(IF(IFERROR(FIND(CATALOG_BASE,A1508),0)=1,CATALOG_POINTS,0))),IFERROR(INDEX(CATALOG_POINTS,MATCH(A1508,CATALOG_TASK,0)),""))</f>
        <v>1</v>
      </c>
      <c r="D1508" s="10" t="s">
        <v>996</v>
      </c>
      <c r="E1508" s="41" t="str">
        <f t="shared" si="1"/>
        <v>PROX3</v>
      </c>
    </row>
    <row r="1509" ht="15.75" customHeight="1">
      <c r="A1509" s="10" t="s">
        <v>174</v>
      </c>
      <c r="B1509" s="10" t="s">
        <v>125</v>
      </c>
      <c r="C1509" s="41">
        <f t="array" ref="C1509">IF(IFERROR(INDEX(CATALOG_POINTS,MATCH(A1509,CATALOG_TASK,0)),"")="",IF(MAX(IF(IFERROR(FIND(CATALOG_BASE,A1509),0)=1,CATALOG_POINTS,0))=0,DAILY_POST_POINTS,MAX(IF(IFERROR(FIND(CATALOG_BASE,A1509),0)=1,CATALOG_POINTS,0))),IFERROR(INDEX(CATALOG_POINTS,MATCH(A1509,CATALOG_TASK,0)),""))</f>
        <v>1</v>
      </c>
      <c r="D1509" s="10" t="s">
        <v>996</v>
      </c>
      <c r="E1509" s="41" t="str">
        <f t="shared" si="1"/>
        <v>PROX3</v>
      </c>
    </row>
    <row r="1510" ht="15.75" customHeight="1">
      <c r="A1510" s="10" t="s">
        <v>37</v>
      </c>
      <c r="B1510" s="10" t="s">
        <v>121</v>
      </c>
      <c r="C1510" s="41">
        <f t="array" ref="C1510">IF(IFERROR(INDEX(CATALOG_POINTS,MATCH(A1510,CATALOG_TASK,0)),"")="",IF(MAX(IF(IFERROR(FIND(CATALOG_BASE,A1510),0)=1,CATALOG_POINTS,0))=0,DAILY_POST_POINTS,MAX(IF(IFERROR(FIND(CATALOG_BASE,A1510),0)=1,CATALOG_POINTS,0))),IFERROR(INDEX(CATALOG_POINTS,MATCH(A1510,CATALOG_TASK,0)),""))</f>
        <v>2</v>
      </c>
      <c r="D1510" s="10" t="s">
        <v>997</v>
      </c>
      <c r="E1510" s="41" t="str">
        <f t="shared" si="1"/>
        <v>PROX4</v>
      </c>
    </row>
    <row r="1511" ht="15.75" customHeight="1">
      <c r="A1511" s="10" t="s">
        <v>997</v>
      </c>
      <c r="B1511" s="10" t="s">
        <v>134</v>
      </c>
      <c r="C1511" s="41">
        <f t="array" ref="C1511">IF(IFERROR(INDEX(CATALOG_POINTS,MATCH(A1511,CATALOG_TASK,0)),"")="",IF(MAX(IF(IFERROR(FIND(CATALOG_BASE,A1511),0)=1,CATALOG_POINTS,0))=0,DAILY_POST_POINTS,MAX(IF(IFERROR(FIND(CATALOG_BASE,A1511),0)=1,CATALOG_POINTS,0))),IFERROR(INDEX(CATALOG_POINTS,MATCH(A1511,CATALOG_TASK,0)),""))</f>
        <v>1</v>
      </c>
      <c r="D1511" s="10" t="s">
        <v>997</v>
      </c>
      <c r="E1511" s="41" t="str">
        <f t="shared" si="1"/>
        <v>PROX4</v>
      </c>
    </row>
    <row r="1512" ht="15.75" customHeight="1">
      <c r="A1512" s="10" t="s">
        <v>37</v>
      </c>
      <c r="B1512" s="10" t="s">
        <v>121</v>
      </c>
      <c r="C1512" s="41">
        <f t="array" ref="C1512">IF(IFERROR(INDEX(CATALOG_POINTS,MATCH(A1512,CATALOG_TASK,0)),"")="",IF(MAX(IF(IFERROR(FIND(CATALOG_BASE,A1512),0)=1,CATALOG_POINTS,0))=0,DAILY_POST_POINTS,MAX(IF(IFERROR(FIND(CATALOG_BASE,A1512),0)=1,CATALOG_POINTS,0))),IFERROR(INDEX(CATALOG_POINTS,MATCH(A1512,CATALOG_TASK,0)),""))</f>
        <v>2</v>
      </c>
      <c r="D1512" s="10" t="s">
        <v>997</v>
      </c>
      <c r="E1512" s="41" t="str">
        <f t="shared" si="1"/>
        <v>PROX4</v>
      </c>
    </row>
    <row r="1513" ht="15.75" customHeight="1">
      <c r="A1513" s="10" t="s">
        <v>998</v>
      </c>
      <c r="B1513" s="10" t="s">
        <v>126</v>
      </c>
      <c r="C1513" s="41">
        <f t="array" ref="C1513">IF(IFERROR(INDEX(CATALOG_POINTS,MATCH(A1513,CATALOG_TASK,0)),"")="",IF(MAX(IF(IFERROR(FIND(CATALOG_BASE,A1513),0)=1,CATALOG_POINTS,0))=0,DAILY_POST_POINTS,MAX(IF(IFERROR(FIND(CATALOG_BASE,A1513),0)=1,CATALOG_POINTS,0))),IFERROR(INDEX(CATALOG_POINTS,MATCH(A1513,CATALOG_TASK,0)),""))</f>
        <v>1</v>
      </c>
      <c r="D1513" s="10" t="s">
        <v>998</v>
      </c>
      <c r="E1513" s="41" t="str">
        <f t="shared" si="1"/>
        <v>PROX3</v>
      </c>
    </row>
    <row r="1514" ht="15.75" customHeight="1">
      <c r="A1514" s="10" t="s">
        <v>37</v>
      </c>
      <c r="B1514" s="10" t="s">
        <v>122</v>
      </c>
      <c r="C1514" s="41">
        <f t="array" ref="C1514">IF(IFERROR(INDEX(CATALOG_POINTS,MATCH(A1514,CATALOG_TASK,0)),"")="",IF(MAX(IF(IFERROR(FIND(CATALOG_BASE,A1514),0)=1,CATALOG_POINTS,0))=0,DAILY_POST_POINTS,MAX(IF(IFERROR(FIND(CATALOG_BASE,A1514),0)=1,CATALOG_POINTS,0))),IFERROR(INDEX(CATALOG_POINTS,MATCH(A1514,CATALOG_TASK,0)),""))</f>
        <v>2</v>
      </c>
      <c r="D1514" s="10" t="s">
        <v>999</v>
      </c>
      <c r="E1514" s="41" t="str">
        <f t="shared" si="1"/>
        <v>PROX4</v>
      </c>
    </row>
    <row r="1515" ht="15.75" customHeight="1">
      <c r="A1515" s="10" t="s">
        <v>999</v>
      </c>
      <c r="B1515" s="10" t="s">
        <v>119</v>
      </c>
      <c r="C1515" s="41">
        <f t="array" ref="C1515">IF(IFERROR(INDEX(CATALOG_POINTS,MATCH(A1515,CATALOG_TASK,0)),"")="",IF(MAX(IF(IFERROR(FIND(CATALOG_BASE,A1515),0)=1,CATALOG_POINTS,0))=0,DAILY_POST_POINTS,MAX(IF(IFERROR(FIND(CATALOG_BASE,A1515),0)=1,CATALOG_POINTS,0))),IFERROR(INDEX(CATALOG_POINTS,MATCH(A1515,CATALOG_TASK,0)),""))</f>
        <v>1</v>
      </c>
      <c r="D1515" s="10" t="s">
        <v>999</v>
      </c>
      <c r="E1515" s="41" t="str">
        <f t="shared" si="1"/>
        <v>PROX4</v>
      </c>
    </row>
    <row r="1516" ht="15.75" customHeight="1">
      <c r="A1516" s="10" t="s">
        <v>1000</v>
      </c>
      <c r="B1516" s="10" t="s">
        <v>135</v>
      </c>
      <c r="C1516" s="41">
        <f t="array" ref="C1516">IF(IFERROR(INDEX(CATALOG_POINTS,MATCH(A1516,CATALOG_TASK,0)),"")="",IF(MAX(IF(IFERROR(FIND(CATALOG_BASE,A1516),0)=1,CATALOG_POINTS,0))=0,DAILY_POST_POINTS,MAX(IF(IFERROR(FIND(CATALOG_BASE,A1516),0)=1,CATALOG_POINTS,0))),IFERROR(INDEX(CATALOG_POINTS,MATCH(A1516,CATALOG_TASK,0)),""))</f>
        <v>1</v>
      </c>
      <c r="D1516" s="10" t="s">
        <v>1000</v>
      </c>
      <c r="E1516" s="41" t="str">
        <f t="shared" si="1"/>
        <v>PROX3</v>
      </c>
    </row>
    <row r="1517" ht="15.75" customHeight="1">
      <c r="A1517" s="10" t="s">
        <v>1001</v>
      </c>
      <c r="B1517" s="10" t="s">
        <v>122</v>
      </c>
      <c r="C1517" s="41">
        <f t="array" ref="C1517">IF(IFERROR(INDEX(CATALOG_POINTS,MATCH(A1517,CATALOG_TASK,0)),"")="",IF(MAX(IF(IFERROR(FIND(CATALOG_BASE,A1517),0)=1,CATALOG_POINTS,0))=0,DAILY_POST_POINTS,MAX(IF(IFERROR(FIND(CATALOG_BASE,A1517),0)=1,CATALOG_POINTS,0))),IFERROR(INDEX(CATALOG_POINTS,MATCH(A1517,CATALOG_TASK,0)),""))</f>
        <v>1</v>
      </c>
      <c r="D1517" s="10" t="s">
        <v>1001</v>
      </c>
      <c r="E1517" s="41" t="str">
        <f t="shared" si="1"/>
        <v>PROX3</v>
      </c>
    </row>
    <row r="1518" ht="15.75" customHeight="1">
      <c r="A1518" s="10" t="s">
        <v>1002</v>
      </c>
      <c r="B1518" s="10" t="s">
        <v>131</v>
      </c>
      <c r="C1518" s="41">
        <f t="array" ref="C1518">IF(IFERROR(INDEX(CATALOG_POINTS,MATCH(A1518,CATALOG_TASK,0)),"")="",IF(MAX(IF(IFERROR(FIND(CATALOG_BASE,A1518),0)=1,CATALOG_POINTS,0))=0,DAILY_POST_POINTS,MAX(IF(IFERROR(FIND(CATALOG_BASE,A1518),0)=1,CATALOG_POINTS,0))),IFERROR(INDEX(CATALOG_POINTS,MATCH(A1518,CATALOG_TASK,0)),""))</f>
        <v>1</v>
      </c>
      <c r="D1518" s="10" t="s">
        <v>1002</v>
      </c>
      <c r="E1518" s="41" t="str">
        <f t="shared" si="1"/>
        <v>PROX4</v>
      </c>
    </row>
    <row r="1519" ht="15.75" customHeight="1">
      <c r="A1519" s="10" t="s">
        <v>174</v>
      </c>
      <c r="B1519" s="10" t="s">
        <v>124</v>
      </c>
      <c r="C1519" s="41">
        <f t="array" ref="C1519">IF(IFERROR(INDEX(CATALOG_POINTS,MATCH(A1519,CATALOG_TASK,0)),"")="",IF(MAX(IF(IFERROR(FIND(CATALOG_BASE,A1519),0)=1,CATALOG_POINTS,0))=0,DAILY_POST_POINTS,MAX(IF(IFERROR(FIND(CATALOG_BASE,A1519),0)=1,CATALOG_POINTS,0))),IFERROR(INDEX(CATALOG_POINTS,MATCH(A1519,CATALOG_TASK,0)),""))</f>
        <v>1</v>
      </c>
      <c r="D1519" s="10" t="s">
        <v>1003</v>
      </c>
      <c r="E1519" s="41" t="str">
        <f t="shared" si="1"/>
        <v>PROX3</v>
      </c>
    </row>
    <row r="1520" ht="15.75" customHeight="1">
      <c r="A1520" s="10" t="s">
        <v>24</v>
      </c>
      <c r="B1520" s="10" t="s">
        <v>125</v>
      </c>
      <c r="C1520" s="41">
        <f t="array" ref="C1520">IF(IFERROR(INDEX(CATALOG_POINTS,MATCH(A1520,CATALOG_TASK,0)),"")="",IF(MAX(IF(IFERROR(FIND(CATALOG_BASE,A1520),0)=1,CATALOG_POINTS,0))=0,DAILY_POST_POINTS,MAX(IF(IFERROR(FIND(CATALOG_BASE,A1520),0)=1,CATALOG_POINTS,0))),IFERROR(INDEX(CATALOG_POINTS,MATCH(A1520,CATALOG_TASK,0)),""))</f>
        <v>2</v>
      </c>
      <c r="D1520" s="10" t="s">
        <v>1003</v>
      </c>
      <c r="E1520" s="41" t="str">
        <f t="shared" si="1"/>
        <v>PROX3</v>
      </c>
    </row>
    <row r="1521" ht="15.75" customHeight="1">
      <c r="A1521" s="10" t="s">
        <v>1004</v>
      </c>
      <c r="B1521" s="10" t="s">
        <v>121</v>
      </c>
      <c r="C1521" s="41">
        <f t="array" ref="C1521">IF(IFERROR(INDEX(CATALOG_POINTS,MATCH(A1521,CATALOG_TASK,0)),"")="",IF(MAX(IF(IFERROR(FIND(CATALOG_BASE,A1521),0)=1,CATALOG_POINTS,0))=0,DAILY_POST_POINTS,MAX(IF(IFERROR(FIND(CATALOG_BASE,A1521),0)=1,CATALOG_POINTS,0))),IFERROR(INDEX(CATALOG_POINTS,MATCH(A1521,CATALOG_TASK,0)),""))</f>
        <v>1</v>
      </c>
      <c r="D1521" s="10" t="s">
        <v>1004</v>
      </c>
      <c r="E1521" s="41" t="str">
        <f t="shared" si="1"/>
        <v>PROX3</v>
      </c>
    </row>
    <row r="1522" ht="15.75" customHeight="1">
      <c r="A1522" s="10" t="s">
        <v>1005</v>
      </c>
      <c r="B1522" s="10" t="s">
        <v>127</v>
      </c>
      <c r="C1522" s="41">
        <f t="array" ref="C1522">IF(IFERROR(INDEX(CATALOG_POINTS,MATCH(A1522,CATALOG_TASK,0)),"")="",IF(MAX(IF(IFERROR(FIND(CATALOG_BASE,A1522),0)=1,CATALOG_POINTS,0))=0,DAILY_POST_POINTS,MAX(IF(IFERROR(FIND(CATALOG_BASE,A1522),0)=1,CATALOG_POINTS,0))),IFERROR(INDEX(CATALOG_POINTS,MATCH(A1522,CATALOG_TASK,0)),""))</f>
        <v>1</v>
      </c>
      <c r="D1522" s="10" t="s">
        <v>1005</v>
      </c>
      <c r="E1522" s="41" t="str">
        <f t="shared" si="1"/>
        <v>PROX5</v>
      </c>
    </row>
    <row r="1523" ht="15.75" customHeight="1">
      <c r="A1523" s="10" t="s">
        <v>1006</v>
      </c>
      <c r="B1523" s="10" t="s">
        <v>124</v>
      </c>
      <c r="C1523" s="41">
        <f t="array" ref="C1523">IF(IFERROR(INDEX(CATALOG_POINTS,MATCH(A1523,CATALOG_TASK,0)),"")="",IF(MAX(IF(IFERROR(FIND(CATALOG_BASE,A1523),0)=1,CATALOG_POINTS,0))=0,DAILY_POST_POINTS,MAX(IF(IFERROR(FIND(CATALOG_BASE,A1523),0)=1,CATALOG_POINTS,0))),IFERROR(INDEX(CATALOG_POINTS,MATCH(A1523,CATALOG_TASK,0)),""))</f>
        <v>1</v>
      </c>
      <c r="D1523" s="10" t="s">
        <v>1006</v>
      </c>
      <c r="E1523" s="41" t="str">
        <f t="shared" si="1"/>
        <v>PROX4</v>
      </c>
    </row>
    <row r="1524" ht="15.75" customHeight="1">
      <c r="A1524" s="10" t="s">
        <v>37</v>
      </c>
      <c r="B1524" s="10" t="s">
        <v>121</v>
      </c>
      <c r="C1524" s="41">
        <f t="array" ref="C1524">IF(IFERROR(INDEX(CATALOG_POINTS,MATCH(A1524,CATALOG_TASK,0)),"")="",IF(MAX(IF(IFERROR(FIND(CATALOG_BASE,A1524),0)=1,CATALOG_POINTS,0))=0,DAILY_POST_POINTS,MAX(IF(IFERROR(FIND(CATALOG_BASE,A1524),0)=1,CATALOG_POINTS,0))),IFERROR(INDEX(CATALOG_POINTS,MATCH(A1524,CATALOG_TASK,0)),""))</f>
        <v>2</v>
      </c>
      <c r="D1524" s="10" t="s">
        <v>1006</v>
      </c>
      <c r="E1524" s="41" t="str">
        <f t="shared" si="1"/>
        <v>PROX4</v>
      </c>
    </row>
    <row r="1525" ht="15.75" customHeight="1">
      <c r="A1525" s="10" t="s">
        <v>37</v>
      </c>
      <c r="B1525" s="10" t="s">
        <v>121</v>
      </c>
      <c r="C1525" s="41">
        <f t="array" ref="C1525">IF(IFERROR(INDEX(CATALOG_POINTS,MATCH(A1525,CATALOG_TASK,0)),"")="",IF(MAX(IF(IFERROR(FIND(CATALOG_BASE,A1525),0)=1,CATALOG_POINTS,0))=0,DAILY_POST_POINTS,MAX(IF(IFERROR(FIND(CATALOG_BASE,A1525),0)=1,CATALOG_POINTS,0))),IFERROR(INDEX(CATALOG_POINTS,MATCH(A1525,CATALOG_TASK,0)),""))</f>
        <v>2</v>
      </c>
      <c r="D1525" s="10" t="s">
        <v>1006</v>
      </c>
      <c r="E1525" s="41" t="str">
        <f t="shared" si="1"/>
        <v>PROX4</v>
      </c>
    </row>
    <row r="1526" ht="15.75" customHeight="1">
      <c r="A1526" s="10" t="s">
        <v>1007</v>
      </c>
      <c r="B1526" s="10" t="s">
        <v>136</v>
      </c>
      <c r="C1526" s="41">
        <f t="array" ref="C1526">IF(IFERROR(INDEX(CATALOG_POINTS,MATCH(A1526,CATALOG_TASK,0)),"")="",IF(MAX(IF(IFERROR(FIND(CATALOG_BASE,A1526),0)=1,CATALOG_POINTS,0))=0,DAILY_POST_POINTS,MAX(IF(IFERROR(FIND(CATALOG_BASE,A1526),0)=1,CATALOG_POINTS,0))),IFERROR(INDEX(CATALOG_POINTS,MATCH(A1526,CATALOG_TASK,0)),""))</f>
        <v>1</v>
      </c>
      <c r="D1526" s="10" t="s">
        <v>1007</v>
      </c>
      <c r="E1526" s="41" t="str">
        <f t="shared" si="1"/>
        <v>PROX3</v>
      </c>
    </row>
    <row r="1527" ht="15.75" customHeight="1">
      <c r="A1527" s="10" t="s">
        <v>1008</v>
      </c>
      <c r="B1527" s="10" t="s">
        <v>129</v>
      </c>
      <c r="C1527" s="41">
        <f t="array" ref="C1527">IF(IFERROR(INDEX(CATALOG_POINTS,MATCH(A1527,CATALOG_TASK,0)),"")="",IF(MAX(IF(IFERROR(FIND(CATALOG_BASE,A1527),0)=1,CATALOG_POINTS,0))=0,DAILY_POST_POINTS,MAX(IF(IFERROR(FIND(CATALOG_BASE,A1527),0)=1,CATALOG_POINTS,0))),IFERROR(INDEX(CATALOG_POINTS,MATCH(A1527,CATALOG_TASK,0)),""))</f>
        <v>1</v>
      </c>
      <c r="D1527" s="10" t="s">
        <v>1008</v>
      </c>
      <c r="E1527" s="41" t="str">
        <f t="shared" si="1"/>
        <v>PROX3</v>
      </c>
    </row>
    <row r="1528" ht="15.75" customHeight="1">
      <c r="A1528" s="10" t="s">
        <v>1009</v>
      </c>
      <c r="B1528" s="10" t="s">
        <v>125</v>
      </c>
      <c r="C1528" s="41">
        <f t="array" ref="C1528">IF(IFERROR(INDEX(CATALOG_POINTS,MATCH(A1528,CATALOG_TASK,0)),"")="",IF(MAX(IF(IFERROR(FIND(CATALOG_BASE,A1528),0)=1,CATALOG_POINTS,0))=0,DAILY_POST_POINTS,MAX(IF(IFERROR(FIND(CATALOG_BASE,A1528),0)=1,CATALOG_POINTS,0))),IFERROR(INDEX(CATALOG_POINTS,MATCH(A1528,CATALOG_TASK,0)),""))</f>
        <v>1</v>
      </c>
      <c r="D1528" s="10" t="s">
        <v>1009</v>
      </c>
      <c r="E1528" s="41" t="str">
        <f t="shared" si="1"/>
        <v>PROX3</v>
      </c>
    </row>
    <row r="1529" ht="15.75" customHeight="1">
      <c r="A1529" s="10" t="s">
        <v>1010</v>
      </c>
      <c r="B1529" s="10" t="s">
        <v>123</v>
      </c>
      <c r="C1529" s="41">
        <f t="array" ref="C1529">IF(IFERROR(INDEX(CATALOG_POINTS,MATCH(A1529,CATALOG_TASK,0)),"")="",IF(MAX(IF(IFERROR(FIND(CATALOG_BASE,A1529),0)=1,CATALOG_POINTS,0))=0,DAILY_POST_POINTS,MAX(IF(IFERROR(FIND(CATALOG_BASE,A1529),0)=1,CATALOG_POINTS,0))),IFERROR(INDEX(CATALOG_POINTS,MATCH(A1529,CATALOG_TASK,0)),""))</f>
        <v>1</v>
      </c>
      <c r="D1529" s="10" t="s">
        <v>1010</v>
      </c>
      <c r="E1529" s="41" t="str">
        <f t="shared" si="1"/>
        <v>E0</v>
      </c>
    </row>
    <row r="1530" ht="15.75" customHeight="1">
      <c r="A1530" s="10" t="s">
        <v>1011</v>
      </c>
      <c r="B1530" s="10" t="s">
        <v>126</v>
      </c>
      <c r="C1530" s="41">
        <f t="array" ref="C1530">IF(IFERROR(INDEX(CATALOG_POINTS,MATCH(A1530,CATALOG_TASK,0)),"")="",IF(MAX(IF(IFERROR(FIND(CATALOG_BASE,A1530),0)=1,CATALOG_POINTS,0))=0,DAILY_POST_POINTS,MAX(IF(IFERROR(FIND(CATALOG_BASE,A1530),0)=1,CATALOG_POINTS,0))),IFERROR(INDEX(CATALOG_POINTS,MATCH(A1530,CATALOG_TASK,0)),""))</f>
        <v>1</v>
      </c>
      <c r="D1530" s="10" t="s">
        <v>1011</v>
      </c>
      <c r="E1530" s="41" t="str">
        <f t="shared" si="1"/>
        <v>PROX4</v>
      </c>
    </row>
    <row r="1531" ht="15.75" customHeight="1">
      <c r="A1531" s="10" t="s">
        <v>37</v>
      </c>
      <c r="B1531" s="10" t="s">
        <v>123</v>
      </c>
      <c r="C1531" s="41">
        <f t="array" ref="C1531">IF(IFERROR(INDEX(CATALOG_POINTS,MATCH(A1531,CATALOG_TASK,0)),"")="",IF(MAX(IF(IFERROR(FIND(CATALOG_BASE,A1531),0)=1,CATALOG_POINTS,0))=0,DAILY_POST_POINTS,MAX(IF(IFERROR(FIND(CATALOG_BASE,A1531),0)=1,CATALOG_POINTS,0))),IFERROR(INDEX(CATALOG_POINTS,MATCH(A1531,CATALOG_TASK,0)),""))</f>
        <v>2</v>
      </c>
      <c r="D1531" s="10" t="s">
        <v>1011</v>
      </c>
      <c r="E1531" s="41" t="str">
        <f t="shared" si="1"/>
        <v>PROX4</v>
      </c>
    </row>
    <row r="1532" ht="15.75" customHeight="1">
      <c r="A1532" s="10" t="s">
        <v>1012</v>
      </c>
      <c r="B1532" s="10" t="s">
        <v>129</v>
      </c>
      <c r="C1532" s="41">
        <f t="array" ref="C1532">IF(IFERROR(INDEX(CATALOG_POINTS,MATCH(A1532,CATALOG_TASK,0)),"")="",IF(MAX(IF(IFERROR(FIND(CATALOG_BASE,A1532),0)=1,CATALOG_POINTS,0))=0,DAILY_POST_POINTS,MAX(IF(IFERROR(FIND(CATALOG_BASE,A1532),0)=1,CATALOG_POINTS,0))),IFERROR(INDEX(CATALOG_POINTS,MATCH(A1532,CATALOG_TASK,0)),""))</f>
        <v>1</v>
      </c>
      <c r="D1532" s="10" t="s">
        <v>1012</v>
      </c>
      <c r="E1532" s="41" t="str">
        <f t="shared" si="1"/>
        <v>PROX3</v>
      </c>
    </row>
    <row r="1533" ht="15.75" customHeight="1">
      <c r="A1533" s="10" t="s">
        <v>168</v>
      </c>
      <c r="B1533" s="10" t="s">
        <v>123</v>
      </c>
      <c r="C1533" s="41">
        <f t="array" ref="C1533">IF(IFERROR(INDEX(CATALOG_POINTS,MATCH(A1533,CATALOG_TASK,0)),"")="",IF(MAX(IF(IFERROR(FIND(CATALOG_BASE,A1533),0)=1,CATALOG_POINTS,0))=0,DAILY_POST_POINTS,MAX(IF(IFERROR(FIND(CATALOG_BASE,A1533),0)=1,CATALOG_POINTS,0))),IFERROR(INDEX(CATALOG_POINTS,MATCH(A1533,CATALOG_TASK,0)),""))</f>
        <v>1</v>
      </c>
      <c r="D1533" s="10" t="s">
        <v>1013</v>
      </c>
      <c r="E1533" s="41" t="str">
        <f t="shared" si="1"/>
        <v>PROX3</v>
      </c>
    </row>
    <row r="1534" ht="15.75" customHeight="1">
      <c r="A1534" s="10" t="s">
        <v>174</v>
      </c>
      <c r="B1534" s="10" t="s">
        <v>123</v>
      </c>
      <c r="C1534" s="41">
        <f t="array" ref="C1534">IF(IFERROR(INDEX(CATALOG_POINTS,MATCH(A1534,CATALOG_TASK,0)),"")="",IF(MAX(IF(IFERROR(FIND(CATALOG_BASE,A1534),0)=1,CATALOG_POINTS,0))=0,DAILY_POST_POINTS,MAX(IF(IFERROR(FIND(CATALOG_BASE,A1534),0)=1,CATALOG_POINTS,0))),IFERROR(INDEX(CATALOG_POINTS,MATCH(A1534,CATALOG_TASK,0)),""))</f>
        <v>1</v>
      </c>
      <c r="D1534" s="10" t="s">
        <v>1013</v>
      </c>
      <c r="E1534" s="41" t="str">
        <f t="shared" si="1"/>
        <v>PROX3</v>
      </c>
    </row>
    <row r="1535" ht="15.75" customHeight="1">
      <c r="A1535" s="10" t="s">
        <v>37</v>
      </c>
      <c r="B1535" s="10" t="s">
        <v>117</v>
      </c>
      <c r="C1535" s="41">
        <f t="array" ref="C1535">IF(IFERROR(INDEX(CATALOG_POINTS,MATCH(A1535,CATALOG_TASK,0)),"")="",IF(MAX(IF(IFERROR(FIND(CATALOG_BASE,A1535),0)=1,CATALOG_POINTS,0))=0,DAILY_POST_POINTS,MAX(IF(IFERROR(FIND(CATALOG_BASE,A1535),0)=1,CATALOG_POINTS,0))),IFERROR(INDEX(CATALOG_POINTS,MATCH(A1535,CATALOG_TASK,0)),""))</f>
        <v>2</v>
      </c>
      <c r="D1535" s="10" t="s">
        <v>1014</v>
      </c>
      <c r="E1535" s="41" t="str">
        <f t="shared" si="1"/>
        <v>PROX4</v>
      </c>
    </row>
    <row r="1536" ht="15.75" customHeight="1">
      <c r="A1536" s="10" t="s">
        <v>1014</v>
      </c>
      <c r="B1536" s="10" t="s">
        <v>127</v>
      </c>
      <c r="C1536" s="41">
        <f t="array" ref="C1536">IF(IFERROR(INDEX(CATALOG_POINTS,MATCH(A1536,CATALOG_TASK,0)),"")="",IF(MAX(IF(IFERROR(FIND(CATALOG_BASE,A1536),0)=1,CATALOG_POINTS,0))=0,DAILY_POST_POINTS,MAX(IF(IFERROR(FIND(CATALOG_BASE,A1536),0)=1,CATALOG_POINTS,0))),IFERROR(INDEX(CATALOG_POINTS,MATCH(A1536,CATALOG_TASK,0)),""))</f>
        <v>1</v>
      </c>
      <c r="D1536" s="10" t="s">
        <v>1014</v>
      </c>
      <c r="E1536" s="41" t="str">
        <f t="shared" si="1"/>
        <v>PROX4</v>
      </c>
    </row>
    <row r="1537" ht="15.75" customHeight="1">
      <c r="A1537" s="10" t="s">
        <v>1015</v>
      </c>
      <c r="B1537" s="10" t="s">
        <v>124</v>
      </c>
      <c r="C1537" s="41">
        <f t="array" ref="C1537">IF(IFERROR(INDEX(CATALOG_POINTS,MATCH(A1537,CATALOG_TASK,0)),"")="",IF(MAX(IF(IFERROR(FIND(CATALOG_BASE,A1537),0)=1,CATALOG_POINTS,0))=0,DAILY_POST_POINTS,MAX(IF(IFERROR(FIND(CATALOG_BASE,A1537),0)=1,CATALOG_POINTS,0))),IFERROR(INDEX(CATALOG_POINTS,MATCH(A1537,CATALOG_TASK,0)),""))</f>
        <v>1</v>
      </c>
      <c r="D1537" s="10" t="s">
        <v>1015</v>
      </c>
      <c r="E1537" s="41" t="str">
        <f t="shared" si="1"/>
        <v>SE1</v>
      </c>
    </row>
    <row r="1538" ht="15.75" customHeight="1">
      <c r="A1538" s="10" t="s">
        <v>1016</v>
      </c>
      <c r="B1538" s="10" t="s">
        <v>126</v>
      </c>
      <c r="C1538" s="41">
        <f t="array" ref="C1538">IF(IFERROR(INDEX(CATALOG_POINTS,MATCH(A1538,CATALOG_TASK,0)),"")="",IF(MAX(IF(IFERROR(FIND(CATALOG_BASE,A1538),0)=1,CATALOG_POINTS,0))=0,DAILY_POST_POINTS,MAX(IF(IFERROR(FIND(CATALOG_BASE,A1538),0)=1,CATALOG_POINTS,0))),IFERROR(INDEX(CATALOG_POINTS,MATCH(A1538,CATALOG_TASK,0)),""))</f>
        <v>1</v>
      </c>
      <c r="D1538" s="10" t="s">
        <v>1016</v>
      </c>
      <c r="E1538" s="41" t="str">
        <f t="shared" si="1"/>
        <v/>
      </c>
    </row>
    <row r="1539" ht="15.75" customHeight="1">
      <c r="A1539" s="10" t="s">
        <v>1017</v>
      </c>
      <c r="B1539" s="10" t="s">
        <v>133</v>
      </c>
      <c r="C1539" s="41">
        <f t="array" ref="C1539">IF(IFERROR(INDEX(CATALOG_POINTS,MATCH(A1539,CATALOG_TASK,0)),"")="",IF(MAX(IF(IFERROR(FIND(CATALOG_BASE,A1539),0)=1,CATALOG_POINTS,0))=0,DAILY_POST_POINTS,MAX(IF(IFERROR(FIND(CATALOG_BASE,A1539),0)=1,CATALOG_POINTS,0))),IFERROR(INDEX(CATALOG_POINTS,MATCH(A1539,CATALOG_TASK,0)),""))</f>
        <v>1</v>
      </c>
      <c r="D1539" s="10" t="s">
        <v>1017</v>
      </c>
      <c r="E1539" s="41" t="str">
        <f t="shared" si="1"/>
        <v>E0</v>
      </c>
    </row>
    <row r="1540" ht="15.75" customHeight="1">
      <c r="A1540" s="10" t="s">
        <v>1018</v>
      </c>
      <c r="B1540" s="10" t="s">
        <v>121</v>
      </c>
      <c r="C1540" s="41">
        <f t="array" ref="C1540">IF(IFERROR(INDEX(CATALOG_POINTS,MATCH(A1540,CATALOG_TASK,0)),"")="",IF(MAX(IF(IFERROR(FIND(CATALOG_BASE,A1540),0)=1,CATALOG_POINTS,0))=0,DAILY_POST_POINTS,MAX(IF(IFERROR(FIND(CATALOG_BASE,A1540),0)=1,CATALOG_POINTS,0))),IFERROR(INDEX(CATALOG_POINTS,MATCH(A1540,CATALOG_TASK,0)),""))</f>
        <v>1</v>
      </c>
      <c r="D1540" s="10" t="s">
        <v>1018</v>
      </c>
      <c r="E1540" s="41" t="str">
        <f t="shared" si="1"/>
        <v>PROX3</v>
      </c>
    </row>
    <row r="1541" ht="15.75" customHeight="1">
      <c r="A1541" s="10" t="s">
        <v>34</v>
      </c>
      <c r="B1541" s="10" t="s">
        <v>128</v>
      </c>
      <c r="C1541" s="41">
        <f t="array" ref="C1541">IF(IFERROR(INDEX(CATALOG_POINTS,MATCH(A1541,CATALOG_TASK,0)),"")="",IF(MAX(IF(IFERROR(FIND(CATALOG_BASE,A1541),0)=1,CATALOG_POINTS,0))=0,DAILY_POST_POINTS,MAX(IF(IFERROR(FIND(CATALOG_BASE,A1541),0)=1,CATALOG_POINTS,0))),IFERROR(INDEX(CATALOG_POINTS,MATCH(A1541,CATALOG_TASK,0)),""))</f>
        <v>2</v>
      </c>
      <c r="D1541" s="10" t="s">
        <v>1019</v>
      </c>
      <c r="E1541" s="41" t="str">
        <f t="shared" si="1"/>
        <v/>
      </c>
    </row>
    <row r="1542" ht="15.75" customHeight="1">
      <c r="A1542" s="10" t="s">
        <v>24</v>
      </c>
      <c r="B1542" s="10" t="s">
        <v>121</v>
      </c>
      <c r="C1542" s="41">
        <f t="array" ref="C1542">IF(IFERROR(INDEX(CATALOG_POINTS,MATCH(A1542,CATALOG_TASK,0)),"")="",IF(MAX(IF(IFERROR(FIND(CATALOG_BASE,A1542),0)=1,CATALOG_POINTS,0))=0,DAILY_POST_POINTS,MAX(IF(IFERROR(FIND(CATALOG_BASE,A1542),0)=1,CATALOG_POINTS,0))),IFERROR(INDEX(CATALOG_POINTS,MATCH(A1542,CATALOG_TASK,0)),""))</f>
        <v>2</v>
      </c>
      <c r="D1542" s="10" t="s">
        <v>1020</v>
      </c>
      <c r="E1542" s="41" t="str">
        <f t="shared" si="1"/>
        <v/>
      </c>
    </row>
    <row r="1543" ht="15.75" customHeight="1">
      <c r="A1543" s="10" t="s">
        <v>34</v>
      </c>
      <c r="B1543" s="10" t="s">
        <v>121</v>
      </c>
      <c r="C1543" s="41">
        <f t="array" ref="C1543">IF(IFERROR(INDEX(CATALOG_POINTS,MATCH(A1543,CATALOG_TASK,0)),"")="",IF(MAX(IF(IFERROR(FIND(CATALOG_BASE,A1543),0)=1,CATALOG_POINTS,0))=0,DAILY_POST_POINTS,MAX(IF(IFERROR(FIND(CATALOG_BASE,A1543),0)=1,CATALOG_POINTS,0))),IFERROR(INDEX(CATALOG_POINTS,MATCH(A1543,CATALOG_TASK,0)),""))</f>
        <v>2</v>
      </c>
      <c r="D1543" s="10" t="s">
        <v>1020</v>
      </c>
      <c r="E1543" s="41" t="str">
        <f t="shared" si="1"/>
        <v/>
      </c>
    </row>
    <row r="1544" ht="15.75" customHeight="1">
      <c r="A1544" s="10" t="s">
        <v>37</v>
      </c>
      <c r="B1544" s="10" t="s">
        <v>128</v>
      </c>
      <c r="C1544" s="41">
        <f t="array" ref="C1544">IF(IFERROR(INDEX(CATALOG_POINTS,MATCH(A1544,CATALOG_TASK,0)),"")="",IF(MAX(IF(IFERROR(FIND(CATALOG_BASE,A1544),0)=1,CATALOG_POINTS,0))=0,DAILY_POST_POINTS,MAX(IF(IFERROR(FIND(CATALOG_BASE,A1544),0)=1,CATALOG_POINTS,0))),IFERROR(INDEX(CATALOG_POINTS,MATCH(A1544,CATALOG_TASK,0)),""))</f>
        <v>2</v>
      </c>
      <c r="D1544" s="10" t="s">
        <v>1021</v>
      </c>
      <c r="E1544" s="41" t="str">
        <f t="shared" si="1"/>
        <v>PROX3</v>
      </c>
    </row>
    <row r="1545" ht="15.75" customHeight="1">
      <c r="A1545" s="10" t="s">
        <v>37</v>
      </c>
      <c r="B1545" s="10" t="s">
        <v>120</v>
      </c>
      <c r="C1545" s="41">
        <f t="array" ref="C1545">IF(IFERROR(INDEX(CATALOG_POINTS,MATCH(A1545,CATALOG_TASK,0)),"")="",IF(MAX(IF(IFERROR(FIND(CATALOG_BASE,A1545),0)=1,CATALOG_POINTS,0))=0,DAILY_POST_POINTS,MAX(IF(IFERROR(FIND(CATALOG_BASE,A1545),0)=1,CATALOG_POINTS,0))),IFERROR(INDEX(CATALOG_POINTS,MATCH(A1545,CATALOG_TASK,0)),""))</f>
        <v>2</v>
      </c>
      <c r="D1545" s="10" t="s">
        <v>1021</v>
      </c>
      <c r="E1545" s="41" t="str">
        <f t="shared" si="1"/>
        <v>PROX3</v>
      </c>
    </row>
    <row r="1546" ht="15.75" customHeight="1">
      <c r="A1546" s="10" t="s">
        <v>37</v>
      </c>
      <c r="B1546" s="10" t="s">
        <v>120</v>
      </c>
      <c r="C1546" s="41">
        <f t="array" ref="C1546">IF(IFERROR(INDEX(CATALOG_POINTS,MATCH(A1546,CATALOG_TASK,0)),"")="",IF(MAX(IF(IFERROR(FIND(CATALOG_BASE,A1546),0)=1,CATALOG_POINTS,0))=0,DAILY_POST_POINTS,MAX(IF(IFERROR(FIND(CATALOG_BASE,A1546),0)=1,CATALOG_POINTS,0))),IFERROR(INDEX(CATALOG_POINTS,MATCH(A1546,CATALOG_TASK,0)),""))</f>
        <v>2</v>
      </c>
      <c r="D1546" s="10" t="s">
        <v>1021</v>
      </c>
      <c r="E1546" s="41" t="str">
        <f t="shared" si="1"/>
        <v>PROX3</v>
      </c>
    </row>
    <row r="1547" ht="15.75" customHeight="1">
      <c r="A1547" s="10" t="s">
        <v>37</v>
      </c>
      <c r="B1547" s="10" t="s">
        <v>120</v>
      </c>
      <c r="C1547" s="41">
        <f t="array" ref="C1547">IF(IFERROR(INDEX(CATALOG_POINTS,MATCH(A1547,CATALOG_TASK,0)),"")="",IF(MAX(IF(IFERROR(FIND(CATALOG_BASE,A1547),0)=1,CATALOG_POINTS,0))=0,DAILY_POST_POINTS,MAX(IF(IFERROR(FIND(CATALOG_BASE,A1547),0)=1,CATALOG_POINTS,0))),IFERROR(INDEX(CATALOG_POINTS,MATCH(A1547,CATALOG_TASK,0)),""))</f>
        <v>2</v>
      </c>
      <c r="D1547" s="10" t="s">
        <v>1021</v>
      </c>
      <c r="E1547" s="41" t="str">
        <f t="shared" si="1"/>
        <v>PROX3</v>
      </c>
    </row>
    <row r="1548" ht="15.75" customHeight="1">
      <c r="A1548" s="10" t="s">
        <v>168</v>
      </c>
      <c r="B1548" s="10" t="s">
        <v>120</v>
      </c>
      <c r="C1548" s="41">
        <f t="array" ref="C1548">IF(IFERROR(INDEX(CATALOG_POINTS,MATCH(A1548,CATALOG_TASK,0)),"")="",IF(MAX(IF(IFERROR(FIND(CATALOG_BASE,A1548),0)=1,CATALOG_POINTS,0))=0,DAILY_POST_POINTS,MAX(IF(IFERROR(FIND(CATALOG_BASE,A1548),0)=1,CATALOG_POINTS,0))),IFERROR(INDEX(CATALOG_POINTS,MATCH(A1548,CATALOG_TASK,0)),""))</f>
        <v>1</v>
      </c>
      <c r="D1548" s="10" t="s">
        <v>1021</v>
      </c>
      <c r="E1548" s="41" t="str">
        <f t="shared" si="1"/>
        <v>PROX3</v>
      </c>
    </row>
    <row r="1549" ht="15.75" customHeight="1">
      <c r="A1549" s="10" t="s">
        <v>1021</v>
      </c>
      <c r="B1549" s="10" t="s">
        <v>126</v>
      </c>
      <c r="C1549" s="41">
        <f t="array" ref="C1549">IF(IFERROR(INDEX(CATALOG_POINTS,MATCH(A1549,CATALOG_TASK,0)),"")="",IF(MAX(IF(IFERROR(FIND(CATALOG_BASE,A1549),0)=1,CATALOG_POINTS,0))=0,DAILY_POST_POINTS,MAX(IF(IFERROR(FIND(CATALOG_BASE,A1549),0)=1,CATALOG_POINTS,0))),IFERROR(INDEX(CATALOG_POINTS,MATCH(A1549,CATALOG_TASK,0)),""))</f>
        <v>1</v>
      </c>
      <c r="D1549" s="10" t="s">
        <v>1021</v>
      </c>
      <c r="E1549" s="41" t="str">
        <f t="shared" si="1"/>
        <v>PROX3</v>
      </c>
    </row>
    <row r="1550" ht="15.75" customHeight="1">
      <c r="A1550" s="10" t="s">
        <v>37</v>
      </c>
      <c r="B1550" s="10" t="s">
        <v>123</v>
      </c>
      <c r="C1550" s="41">
        <f t="array" ref="C1550">IF(IFERROR(INDEX(CATALOG_POINTS,MATCH(A1550,CATALOG_TASK,0)),"")="",IF(MAX(IF(IFERROR(FIND(CATALOG_BASE,A1550),0)=1,CATALOG_POINTS,0))=0,DAILY_POST_POINTS,MAX(IF(IFERROR(FIND(CATALOG_BASE,A1550),0)=1,CATALOG_POINTS,0))),IFERROR(INDEX(CATALOG_POINTS,MATCH(A1550,CATALOG_TASK,0)),""))</f>
        <v>2</v>
      </c>
      <c r="D1550" s="10" t="s">
        <v>1022</v>
      </c>
      <c r="E1550" s="41" t="str">
        <f t="shared" si="1"/>
        <v/>
      </c>
    </row>
    <row r="1551" ht="15.75" customHeight="1">
      <c r="A1551" s="10" t="s">
        <v>1022</v>
      </c>
      <c r="B1551" s="10" t="s">
        <v>136</v>
      </c>
      <c r="C1551" s="41">
        <f t="array" ref="C1551">IF(IFERROR(INDEX(CATALOG_POINTS,MATCH(A1551,CATALOG_TASK,0)),"")="",IF(MAX(IF(IFERROR(FIND(CATALOG_BASE,A1551),0)=1,CATALOG_POINTS,0))=0,DAILY_POST_POINTS,MAX(IF(IFERROR(FIND(CATALOG_BASE,A1551),0)=1,CATALOG_POINTS,0))),IFERROR(INDEX(CATALOG_POINTS,MATCH(A1551,CATALOG_TASK,0)),""))</f>
        <v>1</v>
      </c>
      <c r="D1551" s="10" t="s">
        <v>1022</v>
      </c>
      <c r="E1551" s="41" t="str">
        <f t="shared" si="1"/>
        <v/>
      </c>
    </row>
    <row r="1552" ht="15.75" customHeight="1">
      <c r="A1552" s="10" t="s">
        <v>55</v>
      </c>
      <c r="B1552" s="10" t="s">
        <v>151</v>
      </c>
      <c r="C1552" s="41">
        <f t="array" ref="C1552">IF(IFERROR(INDEX(CATALOG_POINTS,MATCH(A1552,CATALOG_TASK,0)),"")="",IF(MAX(IF(IFERROR(FIND(CATALOG_BASE,A1552),0)=1,CATALOG_POINTS,0))=0,DAILY_POST_POINTS,MAX(IF(IFERROR(FIND(CATALOG_BASE,A1552),0)=1,CATALOG_POINTS,0))),IFERROR(INDEX(CATALOG_POINTS,MATCH(A1552,CATALOG_TASK,0)),""))</f>
        <v>8</v>
      </c>
      <c r="D1552" s="10" t="s">
        <v>1022</v>
      </c>
      <c r="E1552" s="41" t="str">
        <f t="shared" si="1"/>
        <v/>
      </c>
    </row>
    <row r="1553" ht="15.75" customHeight="1">
      <c r="A1553" s="10" t="s">
        <v>1023</v>
      </c>
      <c r="B1553" s="10" t="s">
        <v>123</v>
      </c>
      <c r="C1553" s="41">
        <f t="array" ref="C1553">IF(IFERROR(INDEX(CATALOG_POINTS,MATCH(A1553,CATALOG_TASK,0)),"")="",IF(MAX(IF(IFERROR(FIND(CATALOG_BASE,A1553),0)=1,CATALOG_POINTS,0))=0,DAILY_POST_POINTS,MAX(IF(IFERROR(FIND(CATALOG_BASE,A1553),0)=1,CATALOG_POINTS,0))),IFERROR(INDEX(CATALOG_POINTS,MATCH(A1553,CATALOG_TASK,0)),""))</f>
        <v>1</v>
      </c>
      <c r="D1553" s="10" t="s">
        <v>1023</v>
      </c>
      <c r="E1553" s="41" t="str">
        <f t="shared" si="1"/>
        <v>PROX4</v>
      </c>
    </row>
    <row r="1554" ht="15.75" customHeight="1">
      <c r="A1554" s="10" t="s">
        <v>1024</v>
      </c>
      <c r="B1554" s="10" t="s">
        <v>123</v>
      </c>
      <c r="C1554" s="41">
        <f t="array" ref="C1554">IF(IFERROR(INDEX(CATALOG_POINTS,MATCH(A1554,CATALOG_TASK,0)),"")="",IF(MAX(IF(IFERROR(FIND(CATALOG_BASE,A1554),0)=1,CATALOG_POINTS,0))=0,DAILY_POST_POINTS,MAX(IF(IFERROR(FIND(CATALOG_BASE,A1554),0)=1,CATALOG_POINTS,0))),IFERROR(INDEX(CATALOG_POINTS,MATCH(A1554,CATALOG_TASK,0)),""))</f>
        <v>1</v>
      </c>
      <c r="D1554" s="10" t="s">
        <v>1024</v>
      </c>
      <c r="E1554" s="41" t="str">
        <f t="shared" si="1"/>
        <v>PROX3</v>
      </c>
    </row>
    <row r="1555" ht="15.75" customHeight="1">
      <c r="A1555" s="10" t="s">
        <v>37</v>
      </c>
      <c r="B1555" s="10" t="s">
        <v>117</v>
      </c>
      <c r="C1555" s="41">
        <f t="array" ref="C1555">IF(IFERROR(INDEX(CATALOG_POINTS,MATCH(A1555,CATALOG_TASK,0)),"")="",IF(MAX(IF(IFERROR(FIND(CATALOG_BASE,A1555),0)=1,CATALOG_POINTS,0))=0,DAILY_POST_POINTS,MAX(IF(IFERROR(FIND(CATALOG_BASE,A1555),0)=1,CATALOG_POINTS,0))),IFERROR(INDEX(CATALOG_POINTS,MATCH(A1555,CATALOG_TASK,0)),""))</f>
        <v>2</v>
      </c>
      <c r="D1555" s="10" t="s">
        <v>1024</v>
      </c>
      <c r="E1555" s="41" t="str">
        <f t="shared" si="1"/>
        <v>PROX3</v>
      </c>
    </row>
    <row r="1556" ht="15.75" customHeight="1">
      <c r="A1556" s="10" t="s">
        <v>178</v>
      </c>
      <c r="B1556" s="10" t="s">
        <v>126</v>
      </c>
      <c r="C1556" s="41">
        <f t="array" ref="C1556">IF(IFERROR(INDEX(CATALOG_POINTS,MATCH(A1556,CATALOG_TASK,0)),"")="",IF(MAX(IF(IFERROR(FIND(CATALOG_BASE,A1556),0)=1,CATALOG_POINTS,0))=0,DAILY_POST_POINTS,MAX(IF(IFERROR(FIND(CATALOG_BASE,A1556),0)=1,CATALOG_POINTS,0))),IFERROR(INDEX(CATALOG_POINTS,MATCH(A1556,CATALOG_TASK,0)),""))</f>
        <v>1</v>
      </c>
      <c r="D1556" s="10" t="s">
        <v>1024</v>
      </c>
      <c r="E1556" s="41" t="str">
        <f t="shared" si="1"/>
        <v>PROX3</v>
      </c>
    </row>
    <row r="1557" ht="15.75" customHeight="1">
      <c r="A1557" s="10" t="s">
        <v>37</v>
      </c>
      <c r="B1557" s="10" t="s">
        <v>121</v>
      </c>
      <c r="C1557" s="41">
        <f t="array" ref="C1557">IF(IFERROR(INDEX(CATALOG_POINTS,MATCH(A1557,CATALOG_TASK,0)),"")="",IF(MAX(IF(IFERROR(FIND(CATALOG_BASE,A1557),0)=1,CATALOG_POINTS,0))=0,DAILY_POST_POINTS,MAX(IF(IFERROR(FIND(CATALOG_BASE,A1557),0)=1,CATALOG_POINTS,0))),IFERROR(INDEX(CATALOG_POINTS,MATCH(A1557,CATALOG_TASK,0)),""))</f>
        <v>2</v>
      </c>
      <c r="D1557" s="10" t="s">
        <v>1025</v>
      </c>
      <c r="E1557" s="41" t="str">
        <f t="shared" si="1"/>
        <v>PROX4</v>
      </c>
    </row>
    <row r="1558" ht="15.75" customHeight="1">
      <c r="A1558" s="10" t="s">
        <v>1025</v>
      </c>
      <c r="B1558" s="10" t="s">
        <v>137</v>
      </c>
      <c r="C1558" s="41">
        <f t="array" ref="C1558">IF(IFERROR(INDEX(CATALOG_POINTS,MATCH(A1558,CATALOG_TASK,0)),"")="",IF(MAX(IF(IFERROR(FIND(CATALOG_BASE,A1558),0)=1,CATALOG_POINTS,0))=0,DAILY_POST_POINTS,MAX(IF(IFERROR(FIND(CATALOG_BASE,A1558),0)=1,CATALOG_POINTS,0))),IFERROR(INDEX(CATALOG_POINTS,MATCH(A1558,CATALOG_TASK,0)),""))</f>
        <v>1</v>
      </c>
      <c r="D1558" s="10" t="s">
        <v>1025</v>
      </c>
      <c r="E1558" s="41" t="str">
        <f t="shared" si="1"/>
        <v>PROX4</v>
      </c>
    </row>
    <row r="1559" ht="15.75" customHeight="1">
      <c r="A1559" s="10" t="s">
        <v>168</v>
      </c>
      <c r="B1559" s="10" t="s">
        <v>125</v>
      </c>
      <c r="C1559" s="41">
        <f t="array" ref="C1559">IF(IFERROR(INDEX(CATALOG_POINTS,MATCH(A1559,CATALOG_TASK,0)),"")="",IF(MAX(IF(IFERROR(FIND(CATALOG_BASE,A1559),0)=1,CATALOG_POINTS,0))=0,DAILY_POST_POINTS,MAX(IF(IFERROR(FIND(CATALOG_BASE,A1559),0)=1,CATALOG_POINTS,0))),IFERROR(INDEX(CATALOG_POINTS,MATCH(A1559,CATALOG_TASK,0)),""))</f>
        <v>1</v>
      </c>
      <c r="D1559" s="10" t="s">
        <v>1026</v>
      </c>
      <c r="E1559" s="41" t="str">
        <f t="shared" si="1"/>
        <v>PROX3</v>
      </c>
    </row>
    <row r="1560" ht="15.75" customHeight="1">
      <c r="A1560" s="10" t="s">
        <v>168</v>
      </c>
      <c r="B1560" s="10" t="s">
        <v>117</v>
      </c>
      <c r="C1560" s="41">
        <f t="array" ref="C1560">IF(IFERROR(INDEX(CATALOG_POINTS,MATCH(A1560,CATALOG_TASK,0)),"")="",IF(MAX(IF(IFERROR(FIND(CATALOG_BASE,A1560),0)=1,CATALOG_POINTS,0))=0,DAILY_POST_POINTS,MAX(IF(IFERROR(FIND(CATALOG_BASE,A1560),0)=1,CATALOG_POINTS,0))),IFERROR(INDEX(CATALOG_POINTS,MATCH(A1560,CATALOG_TASK,0)),""))</f>
        <v>1</v>
      </c>
      <c r="D1560" s="10" t="s">
        <v>1026</v>
      </c>
      <c r="E1560" s="41" t="str">
        <f t="shared" si="1"/>
        <v>PROX3</v>
      </c>
    </row>
    <row r="1561" ht="15.75" customHeight="1">
      <c r="A1561" s="10" t="s">
        <v>174</v>
      </c>
      <c r="B1561" s="10" t="s">
        <v>149</v>
      </c>
      <c r="C1561" s="41">
        <f t="array" ref="C1561">IF(IFERROR(INDEX(CATALOG_POINTS,MATCH(A1561,CATALOG_TASK,0)),"")="",IF(MAX(IF(IFERROR(FIND(CATALOG_BASE,A1561),0)=1,CATALOG_POINTS,0))=0,DAILY_POST_POINTS,MAX(IF(IFERROR(FIND(CATALOG_BASE,A1561),0)=1,CATALOG_POINTS,0))),IFERROR(INDEX(CATALOG_POINTS,MATCH(A1561,CATALOG_TASK,0)),""))</f>
        <v>1</v>
      </c>
      <c r="D1561" s="10" t="s">
        <v>1026</v>
      </c>
      <c r="E1561" s="41" t="str">
        <f t="shared" si="1"/>
        <v>PROX3</v>
      </c>
    </row>
    <row r="1562" ht="15.75" customHeight="1">
      <c r="A1562" s="10" t="s">
        <v>1026</v>
      </c>
      <c r="B1562" s="10" t="s">
        <v>124</v>
      </c>
      <c r="C1562" s="41">
        <f t="array" ref="C1562">IF(IFERROR(INDEX(CATALOG_POINTS,MATCH(A1562,CATALOG_TASK,0)),"")="",IF(MAX(IF(IFERROR(FIND(CATALOG_BASE,A1562),0)=1,CATALOG_POINTS,0))=0,DAILY_POST_POINTS,MAX(IF(IFERROR(FIND(CATALOG_BASE,A1562),0)=1,CATALOG_POINTS,0))),IFERROR(INDEX(CATALOG_POINTS,MATCH(A1562,CATALOG_TASK,0)),""))</f>
        <v>1</v>
      </c>
      <c r="D1562" s="10" t="s">
        <v>1026</v>
      </c>
      <c r="E1562" s="41" t="str">
        <f t="shared" si="1"/>
        <v>PROX3</v>
      </c>
    </row>
    <row r="1563" ht="15.75" customHeight="1">
      <c r="A1563" s="10" t="s">
        <v>37</v>
      </c>
      <c r="B1563" s="10" t="s">
        <v>125</v>
      </c>
      <c r="C1563" s="41">
        <f t="array" ref="C1563">IF(IFERROR(INDEX(CATALOG_POINTS,MATCH(A1563,CATALOG_TASK,0)),"")="",IF(MAX(IF(IFERROR(FIND(CATALOG_BASE,A1563),0)=1,CATALOG_POINTS,0))=0,DAILY_POST_POINTS,MAX(IF(IFERROR(FIND(CATALOG_BASE,A1563),0)=1,CATALOG_POINTS,0))),IFERROR(INDEX(CATALOG_POINTS,MATCH(A1563,CATALOG_TASK,0)),""))</f>
        <v>2</v>
      </c>
      <c r="D1563" s="10" t="s">
        <v>1026</v>
      </c>
      <c r="E1563" s="41" t="str">
        <f t="shared" si="1"/>
        <v>PROX3</v>
      </c>
    </row>
    <row r="1564" ht="15.75" customHeight="1">
      <c r="A1564" s="10" t="s">
        <v>37</v>
      </c>
      <c r="B1564" s="10" t="s">
        <v>117</v>
      </c>
      <c r="C1564" s="41">
        <f t="array" ref="C1564">IF(IFERROR(INDEX(CATALOG_POINTS,MATCH(A1564,CATALOG_TASK,0)),"")="",IF(MAX(IF(IFERROR(FIND(CATALOG_BASE,A1564),0)=1,CATALOG_POINTS,0))=0,DAILY_POST_POINTS,MAX(IF(IFERROR(FIND(CATALOG_BASE,A1564),0)=1,CATALOG_POINTS,0))),IFERROR(INDEX(CATALOG_POINTS,MATCH(A1564,CATALOG_TASK,0)),""))</f>
        <v>2</v>
      </c>
      <c r="D1564" s="10" t="s">
        <v>1026</v>
      </c>
      <c r="E1564" s="41" t="str">
        <f t="shared" si="1"/>
        <v>PROX3</v>
      </c>
    </row>
    <row r="1565" ht="15.75" customHeight="1">
      <c r="A1565" s="10" t="s">
        <v>1027</v>
      </c>
      <c r="B1565" s="10" t="s">
        <v>128</v>
      </c>
      <c r="C1565" s="41">
        <f t="array" ref="C1565">IF(IFERROR(INDEX(CATALOG_POINTS,MATCH(A1565,CATALOG_TASK,0)),"")="",IF(MAX(IF(IFERROR(FIND(CATALOG_BASE,A1565),0)=1,CATALOG_POINTS,0))=0,DAILY_POST_POINTS,MAX(IF(IFERROR(FIND(CATALOG_BASE,A1565),0)=1,CATALOG_POINTS,0))),IFERROR(INDEX(CATALOG_POINTS,MATCH(A1565,CATALOG_TASK,0)),""))</f>
        <v>1</v>
      </c>
      <c r="D1565" s="10" t="s">
        <v>1027</v>
      </c>
      <c r="E1565" s="41" t="str">
        <f t="shared" si="1"/>
        <v>PROX3</v>
      </c>
    </row>
    <row r="1566" ht="15.75" customHeight="1">
      <c r="A1566" s="10" t="s">
        <v>1028</v>
      </c>
      <c r="B1566" s="10" t="s">
        <v>125</v>
      </c>
      <c r="C1566" s="41">
        <f t="array" ref="C1566">IF(IFERROR(INDEX(CATALOG_POINTS,MATCH(A1566,CATALOG_TASK,0)),"")="",IF(MAX(IF(IFERROR(FIND(CATALOG_BASE,A1566),0)=1,CATALOG_POINTS,0))=0,DAILY_POST_POINTS,MAX(IF(IFERROR(FIND(CATALOG_BASE,A1566),0)=1,CATALOG_POINTS,0))),IFERROR(INDEX(CATALOG_POINTS,MATCH(A1566,CATALOG_TASK,0)),""))</f>
        <v>1</v>
      </c>
      <c r="D1566" s="10" t="s">
        <v>1028</v>
      </c>
      <c r="E1566" s="41" t="str">
        <f t="shared" si="1"/>
        <v>PROX3</v>
      </c>
    </row>
    <row r="1567" ht="15.75" customHeight="1">
      <c r="A1567" s="10" t="s">
        <v>1029</v>
      </c>
      <c r="B1567" s="10" t="s">
        <v>121</v>
      </c>
      <c r="C1567" s="41">
        <f t="array" ref="C1567">IF(IFERROR(INDEX(CATALOG_POINTS,MATCH(A1567,CATALOG_TASK,0)),"")="",IF(MAX(IF(IFERROR(FIND(CATALOG_BASE,A1567),0)=1,CATALOG_POINTS,0))=0,DAILY_POST_POINTS,MAX(IF(IFERROR(FIND(CATALOG_BASE,A1567),0)=1,CATALOG_POINTS,0))),IFERROR(INDEX(CATALOG_POINTS,MATCH(A1567,CATALOG_TASK,0)),""))</f>
        <v>1</v>
      </c>
      <c r="D1567" s="10" t="s">
        <v>1029</v>
      </c>
      <c r="E1567" s="41" t="str">
        <f t="shared" si="1"/>
        <v>PROX3</v>
      </c>
    </row>
    <row r="1568" ht="15.75" customHeight="1">
      <c r="A1568" s="10" t="s">
        <v>1030</v>
      </c>
      <c r="B1568" s="10" t="s">
        <v>133</v>
      </c>
      <c r="C1568" s="41">
        <f t="array" ref="C1568">IF(IFERROR(INDEX(CATALOG_POINTS,MATCH(A1568,CATALOG_TASK,0)),"")="",IF(MAX(IF(IFERROR(FIND(CATALOG_BASE,A1568),0)=1,CATALOG_POINTS,0))=0,DAILY_POST_POINTS,MAX(IF(IFERROR(FIND(CATALOG_BASE,A1568),0)=1,CATALOG_POINTS,0))),IFERROR(INDEX(CATALOG_POINTS,MATCH(A1568,CATALOG_TASK,0)),""))</f>
        <v>1</v>
      </c>
      <c r="D1568" s="10" t="s">
        <v>1030</v>
      </c>
      <c r="E1568" s="41" t="str">
        <f t="shared" si="1"/>
        <v>PROX3</v>
      </c>
    </row>
    <row r="1569" ht="15.75" customHeight="1">
      <c r="A1569" s="10" t="s">
        <v>37</v>
      </c>
      <c r="B1569" s="10" t="s">
        <v>120</v>
      </c>
      <c r="C1569" s="41">
        <f t="array" ref="C1569">IF(IFERROR(INDEX(CATALOG_POINTS,MATCH(A1569,CATALOG_TASK,0)),"")="",IF(MAX(IF(IFERROR(FIND(CATALOG_BASE,A1569),0)=1,CATALOG_POINTS,0))=0,DAILY_POST_POINTS,MAX(IF(IFERROR(FIND(CATALOG_BASE,A1569),0)=1,CATALOG_POINTS,0))),IFERROR(INDEX(CATALOG_POINTS,MATCH(A1569,CATALOG_TASK,0)),""))</f>
        <v>2</v>
      </c>
      <c r="D1569" s="10" t="s">
        <v>1031</v>
      </c>
      <c r="E1569" s="41" t="str">
        <f t="shared" si="1"/>
        <v>PROX3</v>
      </c>
    </row>
    <row r="1570" ht="15.75" customHeight="1">
      <c r="A1570" s="10" t="s">
        <v>1031</v>
      </c>
      <c r="B1570" s="10" t="s">
        <v>127</v>
      </c>
      <c r="C1570" s="41">
        <f t="array" ref="C1570">IF(IFERROR(INDEX(CATALOG_POINTS,MATCH(A1570,CATALOG_TASK,0)),"")="",IF(MAX(IF(IFERROR(FIND(CATALOG_BASE,A1570),0)=1,CATALOG_POINTS,0))=0,DAILY_POST_POINTS,MAX(IF(IFERROR(FIND(CATALOG_BASE,A1570),0)=1,CATALOG_POINTS,0))),IFERROR(INDEX(CATALOG_POINTS,MATCH(A1570,CATALOG_TASK,0)),""))</f>
        <v>1</v>
      </c>
      <c r="D1570" s="10" t="s">
        <v>1031</v>
      </c>
      <c r="E1570" s="41" t="str">
        <f t="shared" si="1"/>
        <v>PROX3</v>
      </c>
    </row>
    <row r="1571" ht="15.75" customHeight="1">
      <c r="A1571" s="10" t="s">
        <v>1032</v>
      </c>
      <c r="B1571" s="10" t="s">
        <v>129</v>
      </c>
      <c r="C1571" s="41">
        <f t="array" ref="C1571">IF(IFERROR(INDEX(CATALOG_POINTS,MATCH(A1571,CATALOG_TASK,0)),"")="",IF(MAX(IF(IFERROR(FIND(CATALOG_BASE,A1571),0)=1,CATALOG_POINTS,0))=0,DAILY_POST_POINTS,MAX(IF(IFERROR(FIND(CATALOG_BASE,A1571),0)=1,CATALOG_POINTS,0))),IFERROR(INDEX(CATALOG_POINTS,MATCH(A1571,CATALOG_TASK,0)),""))</f>
        <v>1</v>
      </c>
      <c r="D1571" s="10" t="s">
        <v>1032</v>
      </c>
      <c r="E1571" s="41" t="str">
        <f t="shared" si="1"/>
        <v>PROX3</v>
      </c>
    </row>
    <row r="1572" ht="15.75" customHeight="1">
      <c r="A1572" s="10" t="s">
        <v>1033</v>
      </c>
      <c r="B1572" s="10" t="s">
        <v>132</v>
      </c>
      <c r="C1572" s="41">
        <f t="array" ref="C1572">IF(IFERROR(INDEX(CATALOG_POINTS,MATCH(A1572,CATALOG_TASK,0)),"")="",IF(MAX(IF(IFERROR(FIND(CATALOG_BASE,A1572),0)=1,CATALOG_POINTS,0))=0,DAILY_POST_POINTS,MAX(IF(IFERROR(FIND(CATALOG_BASE,A1572),0)=1,CATALOG_POINTS,0))),IFERROR(INDEX(CATALOG_POINTS,MATCH(A1572,CATALOG_TASK,0)),""))</f>
        <v>1</v>
      </c>
      <c r="D1572" s="10" t="s">
        <v>1033</v>
      </c>
      <c r="E1572" s="41" t="str">
        <f t="shared" si="1"/>
        <v>PROX4</v>
      </c>
    </row>
    <row r="1573" ht="15.75" customHeight="1">
      <c r="A1573" s="10" t="s">
        <v>1034</v>
      </c>
      <c r="B1573" s="10" t="s">
        <v>129</v>
      </c>
      <c r="C1573" s="41">
        <f t="array" ref="C1573">IF(IFERROR(INDEX(CATALOG_POINTS,MATCH(A1573,CATALOG_TASK,0)),"")="",IF(MAX(IF(IFERROR(FIND(CATALOG_BASE,A1573),0)=1,CATALOG_POINTS,0))=0,DAILY_POST_POINTS,MAX(IF(IFERROR(FIND(CATALOG_BASE,A1573),0)=1,CATALOG_POINTS,0))),IFERROR(INDEX(CATALOG_POINTS,MATCH(A1573,CATALOG_TASK,0)),""))</f>
        <v>1</v>
      </c>
      <c r="D1573" s="10" t="s">
        <v>1034</v>
      </c>
      <c r="E1573" s="41" t="str">
        <f t="shared" si="1"/>
        <v>PROX3</v>
      </c>
    </row>
    <row r="1574" ht="15.75" customHeight="1">
      <c r="A1574" s="10" t="s">
        <v>37</v>
      </c>
      <c r="B1574" s="10" t="s">
        <v>128</v>
      </c>
      <c r="C1574" s="41">
        <f t="array" ref="C1574">IF(IFERROR(INDEX(CATALOG_POINTS,MATCH(A1574,CATALOG_TASK,0)),"")="",IF(MAX(IF(IFERROR(FIND(CATALOG_BASE,A1574),0)=1,CATALOG_POINTS,0))=0,DAILY_POST_POINTS,MAX(IF(IFERROR(FIND(CATALOG_BASE,A1574),0)=1,CATALOG_POINTS,0))),IFERROR(INDEX(CATALOG_POINTS,MATCH(A1574,CATALOG_TASK,0)),""))</f>
        <v>2</v>
      </c>
      <c r="D1574" s="10" t="s">
        <v>1035</v>
      </c>
      <c r="E1574" s="41" t="str">
        <f t="shared" si="1"/>
        <v>PROX3</v>
      </c>
    </row>
    <row r="1575" ht="15.75" customHeight="1">
      <c r="A1575" s="10" t="s">
        <v>1035</v>
      </c>
      <c r="B1575" s="10" t="s">
        <v>119</v>
      </c>
      <c r="C1575" s="41">
        <f t="array" ref="C1575">IF(IFERROR(INDEX(CATALOG_POINTS,MATCH(A1575,CATALOG_TASK,0)),"")="",IF(MAX(IF(IFERROR(FIND(CATALOG_BASE,A1575),0)=1,CATALOG_POINTS,0))=0,DAILY_POST_POINTS,MAX(IF(IFERROR(FIND(CATALOG_BASE,A1575),0)=1,CATALOG_POINTS,0))),IFERROR(INDEX(CATALOG_POINTS,MATCH(A1575,CATALOG_TASK,0)),""))</f>
        <v>1</v>
      </c>
      <c r="D1575" s="10" t="s">
        <v>1035</v>
      </c>
      <c r="E1575" s="41" t="str">
        <f t="shared" si="1"/>
        <v>PROX3</v>
      </c>
    </row>
    <row r="1576" ht="15.75" customHeight="1">
      <c r="A1576" s="10" t="s">
        <v>37</v>
      </c>
      <c r="B1576" s="10" t="s">
        <v>121</v>
      </c>
      <c r="C1576" s="41">
        <f t="array" ref="C1576">IF(IFERROR(INDEX(CATALOG_POINTS,MATCH(A1576,CATALOG_TASK,0)),"")="",IF(MAX(IF(IFERROR(FIND(CATALOG_BASE,A1576),0)=1,CATALOG_POINTS,0))=0,DAILY_POST_POINTS,MAX(IF(IFERROR(FIND(CATALOG_BASE,A1576),0)=1,CATALOG_POINTS,0))),IFERROR(INDEX(CATALOG_POINTS,MATCH(A1576,CATALOG_TASK,0)),""))</f>
        <v>2</v>
      </c>
      <c r="D1576" s="10" t="s">
        <v>1035</v>
      </c>
      <c r="E1576" s="41" t="str">
        <f t="shared" si="1"/>
        <v>PROX3</v>
      </c>
    </row>
    <row r="1577" ht="15.75" customHeight="1">
      <c r="A1577" s="10" t="s">
        <v>1036</v>
      </c>
      <c r="B1577" s="10" t="s">
        <v>123</v>
      </c>
      <c r="C1577" s="41">
        <f t="array" ref="C1577">IF(IFERROR(INDEX(CATALOG_POINTS,MATCH(A1577,CATALOG_TASK,0)),"")="",IF(MAX(IF(IFERROR(FIND(CATALOG_BASE,A1577),0)=1,CATALOG_POINTS,0))=0,DAILY_POST_POINTS,MAX(IF(IFERROR(FIND(CATALOG_BASE,A1577),0)=1,CATALOG_POINTS,0))),IFERROR(INDEX(CATALOG_POINTS,MATCH(A1577,CATALOG_TASK,0)),""))</f>
        <v>1</v>
      </c>
      <c r="D1577" s="10" t="s">
        <v>1036</v>
      </c>
      <c r="E1577" s="41" t="str">
        <f t="shared" si="1"/>
        <v>PROX3</v>
      </c>
    </row>
    <row r="1578" ht="15.75" customHeight="1">
      <c r="A1578" s="10" t="s">
        <v>24</v>
      </c>
      <c r="B1578" s="10" t="s">
        <v>117</v>
      </c>
      <c r="C1578" s="41">
        <f t="array" ref="C1578">IF(IFERROR(INDEX(CATALOG_POINTS,MATCH(A1578,CATALOG_TASK,0)),"")="",IF(MAX(IF(IFERROR(FIND(CATALOG_BASE,A1578),0)=1,CATALOG_POINTS,0))=0,DAILY_POST_POINTS,MAX(IF(IFERROR(FIND(CATALOG_BASE,A1578),0)=1,CATALOG_POINTS,0))),IFERROR(INDEX(CATALOG_POINTS,MATCH(A1578,CATALOG_TASK,0)),""))</f>
        <v>2</v>
      </c>
      <c r="D1578" s="10" t="s">
        <v>1036</v>
      </c>
      <c r="E1578" s="41" t="str">
        <f t="shared" si="1"/>
        <v>PROX3</v>
      </c>
    </row>
    <row r="1579" ht="15.75" customHeight="1">
      <c r="A1579" s="10" t="s">
        <v>168</v>
      </c>
      <c r="B1579" s="10" t="s">
        <v>117</v>
      </c>
      <c r="C1579" s="41">
        <f t="array" ref="C1579">IF(IFERROR(INDEX(CATALOG_POINTS,MATCH(A1579,CATALOG_TASK,0)),"")="",IF(MAX(IF(IFERROR(FIND(CATALOG_BASE,A1579),0)=1,CATALOG_POINTS,0))=0,DAILY_POST_POINTS,MAX(IF(IFERROR(FIND(CATALOG_BASE,A1579),0)=1,CATALOG_POINTS,0))),IFERROR(INDEX(CATALOG_POINTS,MATCH(A1579,CATALOG_TASK,0)),""))</f>
        <v>1</v>
      </c>
      <c r="D1579" s="10" t="s">
        <v>1036</v>
      </c>
      <c r="E1579" s="41" t="str">
        <f t="shared" si="1"/>
        <v>PROX3</v>
      </c>
    </row>
    <row r="1580" ht="15.75" customHeight="1">
      <c r="A1580" s="10" t="s">
        <v>168</v>
      </c>
      <c r="B1580" s="10" t="s">
        <v>121</v>
      </c>
      <c r="C1580" s="41">
        <f t="array" ref="C1580">IF(IFERROR(INDEX(CATALOG_POINTS,MATCH(A1580,CATALOG_TASK,0)),"")="",IF(MAX(IF(IFERROR(FIND(CATALOG_BASE,A1580),0)=1,CATALOG_POINTS,0))=0,DAILY_POST_POINTS,MAX(IF(IFERROR(FIND(CATALOG_BASE,A1580),0)=1,CATALOG_POINTS,0))),IFERROR(INDEX(CATALOG_POINTS,MATCH(A1580,CATALOG_TASK,0)),""))</f>
        <v>1</v>
      </c>
      <c r="D1580" s="10" t="s">
        <v>1037</v>
      </c>
      <c r="E1580" s="41" t="str">
        <f t="shared" si="1"/>
        <v/>
      </c>
    </row>
    <row r="1581" ht="15.75" customHeight="1">
      <c r="A1581" s="10" t="s">
        <v>1038</v>
      </c>
      <c r="B1581" s="10" t="s">
        <v>123</v>
      </c>
      <c r="C1581" s="41">
        <f t="array" ref="C1581">IF(IFERROR(INDEX(CATALOG_POINTS,MATCH(A1581,CATALOG_TASK,0)),"")="",IF(MAX(IF(IFERROR(FIND(CATALOG_BASE,A1581),0)=1,CATALOG_POINTS,0))=0,DAILY_POST_POINTS,MAX(IF(IFERROR(FIND(CATALOG_BASE,A1581),0)=1,CATALOG_POINTS,0))),IFERROR(INDEX(CATALOG_POINTS,MATCH(A1581,CATALOG_TASK,0)),""))</f>
        <v>1</v>
      </c>
      <c r="D1581" s="10" t="s">
        <v>1038</v>
      </c>
      <c r="E1581" s="41" t="str">
        <f t="shared" si="1"/>
        <v>PROX3</v>
      </c>
    </row>
    <row r="1582" ht="15.75" customHeight="1">
      <c r="A1582" s="10" t="s">
        <v>174</v>
      </c>
      <c r="B1582" s="10" t="s">
        <v>126</v>
      </c>
      <c r="C1582" s="41">
        <f t="array" ref="C1582">IF(IFERROR(INDEX(CATALOG_POINTS,MATCH(A1582,CATALOG_TASK,0)),"")="",IF(MAX(IF(IFERROR(FIND(CATALOG_BASE,A1582),0)=1,CATALOG_POINTS,0))=0,DAILY_POST_POINTS,MAX(IF(IFERROR(FIND(CATALOG_BASE,A1582),0)=1,CATALOG_POINTS,0))),IFERROR(INDEX(CATALOG_POINTS,MATCH(A1582,CATALOG_TASK,0)),""))</f>
        <v>1</v>
      </c>
      <c r="D1582" s="10" t="s">
        <v>1038</v>
      </c>
      <c r="E1582" s="41" t="str">
        <f t="shared" si="1"/>
        <v>PROX3</v>
      </c>
    </row>
    <row r="1583" ht="15.75" customHeight="1">
      <c r="A1583" s="10" t="s">
        <v>1039</v>
      </c>
      <c r="B1583" s="10" t="s">
        <v>129</v>
      </c>
      <c r="C1583" s="41">
        <f t="array" ref="C1583">IF(IFERROR(INDEX(CATALOG_POINTS,MATCH(A1583,CATALOG_TASK,0)),"")="",IF(MAX(IF(IFERROR(FIND(CATALOG_BASE,A1583),0)=1,CATALOG_POINTS,0))=0,DAILY_POST_POINTS,MAX(IF(IFERROR(FIND(CATALOG_BASE,A1583),0)=1,CATALOG_POINTS,0))),IFERROR(INDEX(CATALOG_POINTS,MATCH(A1583,CATALOG_TASK,0)),""))</f>
        <v>1</v>
      </c>
      <c r="D1583" s="10" t="s">
        <v>1039</v>
      </c>
      <c r="E1583" s="41" t="str">
        <f t="shared" si="1"/>
        <v>PROX3</v>
      </c>
    </row>
    <row r="1584" ht="15.75" customHeight="1">
      <c r="A1584" s="10" t="s">
        <v>1040</v>
      </c>
      <c r="B1584" s="10" t="s">
        <v>134</v>
      </c>
      <c r="C1584" s="41">
        <f t="array" ref="C1584">IF(IFERROR(INDEX(CATALOG_POINTS,MATCH(A1584,CATALOG_TASK,0)),"")="",IF(MAX(IF(IFERROR(FIND(CATALOG_BASE,A1584),0)=1,CATALOG_POINTS,0))=0,DAILY_POST_POINTS,MAX(IF(IFERROR(FIND(CATALOG_BASE,A1584),0)=1,CATALOG_POINTS,0))),IFERROR(INDEX(CATALOG_POINTS,MATCH(A1584,CATALOG_TASK,0)),""))</f>
        <v>1</v>
      </c>
      <c r="D1584" s="10" t="s">
        <v>1040</v>
      </c>
      <c r="E1584" s="41" t="str">
        <f t="shared" si="1"/>
        <v>PROX3</v>
      </c>
    </row>
    <row r="1585" ht="15.75" customHeight="1">
      <c r="A1585" s="10" t="s">
        <v>24</v>
      </c>
      <c r="B1585" s="10" t="s">
        <v>127</v>
      </c>
      <c r="C1585" s="41">
        <f t="array" ref="C1585">IF(IFERROR(INDEX(CATALOG_POINTS,MATCH(A1585,CATALOG_TASK,0)),"")="",IF(MAX(IF(IFERROR(FIND(CATALOG_BASE,A1585),0)=1,CATALOG_POINTS,0))=0,DAILY_POST_POINTS,MAX(IF(IFERROR(FIND(CATALOG_BASE,A1585),0)=1,CATALOG_POINTS,0))),IFERROR(INDEX(CATALOG_POINTS,MATCH(A1585,CATALOG_TASK,0)),""))</f>
        <v>2</v>
      </c>
      <c r="D1585" s="10" t="s">
        <v>1041</v>
      </c>
      <c r="E1585" s="41" t="str">
        <f t="shared" si="1"/>
        <v>PROX3</v>
      </c>
    </row>
    <row r="1586" ht="15.75" customHeight="1">
      <c r="A1586" s="10" t="s">
        <v>168</v>
      </c>
      <c r="B1586" s="10" t="s">
        <v>127</v>
      </c>
      <c r="C1586" s="41">
        <f t="array" ref="C1586">IF(IFERROR(INDEX(CATALOG_POINTS,MATCH(A1586,CATALOG_TASK,0)),"")="",IF(MAX(IF(IFERROR(FIND(CATALOG_BASE,A1586),0)=1,CATALOG_POINTS,0))=0,DAILY_POST_POINTS,MAX(IF(IFERROR(FIND(CATALOG_BASE,A1586),0)=1,CATALOG_POINTS,0))),IFERROR(INDEX(CATALOG_POINTS,MATCH(A1586,CATALOG_TASK,0)),""))</f>
        <v>1</v>
      </c>
      <c r="D1586" s="10" t="s">
        <v>1041</v>
      </c>
      <c r="E1586" s="41" t="str">
        <f t="shared" si="1"/>
        <v>PROX3</v>
      </c>
    </row>
    <row r="1587" ht="15.75" customHeight="1">
      <c r="A1587" s="10" t="s">
        <v>174</v>
      </c>
      <c r="B1587" s="10" t="s">
        <v>123</v>
      </c>
      <c r="C1587" s="41">
        <f t="array" ref="C1587">IF(IFERROR(INDEX(CATALOG_POINTS,MATCH(A1587,CATALOG_TASK,0)),"")="",IF(MAX(IF(IFERROR(FIND(CATALOG_BASE,A1587),0)=1,CATALOG_POINTS,0))=0,DAILY_POST_POINTS,MAX(IF(IFERROR(FIND(CATALOG_BASE,A1587),0)=1,CATALOG_POINTS,0))),IFERROR(INDEX(CATALOG_POINTS,MATCH(A1587,CATALOG_TASK,0)),""))</f>
        <v>1</v>
      </c>
      <c r="D1587" s="10" t="s">
        <v>1041</v>
      </c>
      <c r="E1587" s="41" t="str">
        <f t="shared" si="1"/>
        <v>PROX3</v>
      </c>
    </row>
    <row r="1588" ht="15.75" customHeight="1">
      <c r="A1588" s="10" t="s">
        <v>168</v>
      </c>
      <c r="B1588" s="10" t="s">
        <v>117</v>
      </c>
      <c r="C1588" s="41">
        <f t="array" ref="C1588">IF(IFERROR(INDEX(CATALOG_POINTS,MATCH(A1588,CATALOG_TASK,0)),"")="",IF(MAX(IF(IFERROR(FIND(CATALOG_BASE,A1588),0)=1,CATALOG_POINTS,0))=0,DAILY_POST_POINTS,MAX(IF(IFERROR(FIND(CATALOG_BASE,A1588),0)=1,CATALOG_POINTS,0))),IFERROR(INDEX(CATALOG_POINTS,MATCH(A1588,CATALOG_TASK,0)),""))</f>
        <v>1</v>
      </c>
      <c r="D1588" s="10" t="s">
        <v>1041</v>
      </c>
      <c r="E1588" s="41" t="str">
        <f t="shared" si="1"/>
        <v>PROX3</v>
      </c>
    </row>
    <row r="1589" ht="15.75" customHeight="1">
      <c r="A1589" s="10" t="s">
        <v>37</v>
      </c>
      <c r="B1589" s="10" t="s">
        <v>127</v>
      </c>
      <c r="C1589" s="41">
        <f t="array" ref="C1589">IF(IFERROR(INDEX(CATALOG_POINTS,MATCH(A1589,CATALOG_TASK,0)),"")="",IF(MAX(IF(IFERROR(FIND(CATALOG_BASE,A1589),0)=1,CATALOG_POINTS,0))=0,DAILY_POST_POINTS,MAX(IF(IFERROR(FIND(CATALOG_BASE,A1589),0)=1,CATALOG_POINTS,0))),IFERROR(INDEX(CATALOG_POINTS,MATCH(A1589,CATALOG_TASK,0)),""))</f>
        <v>2</v>
      </c>
      <c r="D1589" s="10" t="s">
        <v>1041</v>
      </c>
      <c r="E1589" s="41" t="str">
        <f t="shared" si="1"/>
        <v>PROX3</v>
      </c>
    </row>
    <row r="1590" ht="15.75" customHeight="1">
      <c r="A1590" s="10" t="s">
        <v>180</v>
      </c>
      <c r="B1590" s="10" t="s">
        <v>138</v>
      </c>
      <c r="C1590" s="41">
        <f t="array" ref="C1590">IF(IFERROR(INDEX(CATALOG_POINTS,MATCH(A1590,CATALOG_TASK,0)),"")="",IF(MAX(IF(IFERROR(FIND(CATALOG_BASE,A1590),0)=1,CATALOG_POINTS,0))=0,DAILY_POST_POINTS,MAX(IF(IFERROR(FIND(CATALOG_BASE,A1590),0)=1,CATALOG_POINTS,0))),IFERROR(INDEX(CATALOG_POINTS,MATCH(A1590,CATALOG_TASK,0)),""))</f>
        <v>1</v>
      </c>
      <c r="D1590" s="10" t="s">
        <v>1041</v>
      </c>
      <c r="E1590" s="41" t="str">
        <f t="shared" si="1"/>
        <v>PROX3</v>
      </c>
    </row>
    <row r="1591" ht="15.75" customHeight="1">
      <c r="A1591" s="10" t="s">
        <v>24</v>
      </c>
      <c r="B1591" s="10" t="s">
        <v>117</v>
      </c>
      <c r="C1591" s="41">
        <f t="array" ref="C1591">IF(IFERROR(INDEX(CATALOG_POINTS,MATCH(A1591,CATALOG_TASK,0)),"")="",IF(MAX(IF(IFERROR(FIND(CATALOG_BASE,A1591),0)=1,CATALOG_POINTS,0))=0,DAILY_POST_POINTS,MAX(IF(IFERROR(FIND(CATALOG_BASE,A1591),0)=1,CATALOG_POINTS,0))),IFERROR(INDEX(CATALOG_POINTS,MATCH(A1591,CATALOG_TASK,0)),""))</f>
        <v>2</v>
      </c>
      <c r="D1591" s="10" t="s">
        <v>1041</v>
      </c>
      <c r="E1591" s="41" t="str">
        <f t="shared" si="1"/>
        <v>PROX3</v>
      </c>
    </row>
    <row r="1592" ht="15.75" customHeight="1">
      <c r="A1592" s="10" t="s">
        <v>1042</v>
      </c>
      <c r="B1592" s="10" t="s">
        <v>132</v>
      </c>
      <c r="C1592" s="41">
        <f t="array" ref="C1592">IF(IFERROR(INDEX(CATALOG_POINTS,MATCH(A1592,CATALOG_TASK,0)),"")="",IF(MAX(IF(IFERROR(FIND(CATALOG_BASE,A1592),0)=1,CATALOG_POINTS,0))=0,DAILY_POST_POINTS,MAX(IF(IFERROR(FIND(CATALOG_BASE,A1592),0)=1,CATALOG_POINTS,0))),IFERROR(INDEX(CATALOG_POINTS,MATCH(A1592,CATALOG_TASK,0)),""))</f>
        <v>1</v>
      </c>
      <c r="D1592" s="10" t="s">
        <v>1042</v>
      </c>
      <c r="E1592" s="41" t="str">
        <f t="shared" si="1"/>
        <v>PROX3</v>
      </c>
    </row>
    <row r="1593" ht="15.75" customHeight="1">
      <c r="A1593" s="10" t="s">
        <v>1043</v>
      </c>
      <c r="B1593" s="10" t="s">
        <v>127</v>
      </c>
      <c r="C1593" s="41">
        <f t="array" ref="C1593">IF(IFERROR(INDEX(CATALOG_POINTS,MATCH(A1593,CATALOG_TASK,0)),"")="",IF(MAX(IF(IFERROR(FIND(CATALOG_BASE,A1593),0)=1,CATALOG_POINTS,0))=0,DAILY_POST_POINTS,MAX(IF(IFERROR(FIND(CATALOG_BASE,A1593),0)=1,CATALOG_POINTS,0))),IFERROR(INDEX(CATALOG_POINTS,MATCH(A1593,CATALOG_TASK,0)),""))</f>
        <v>1</v>
      </c>
      <c r="D1593" s="10" t="s">
        <v>1043</v>
      </c>
      <c r="E1593" s="41" t="str">
        <f t="shared" si="1"/>
        <v>E0</v>
      </c>
    </row>
    <row r="1594" ht="15.75" customHeight="1">
      <c r="A1594" s="10" t="s">
        <v>1044</v>
      </c>
      <c r="B1594" s="10" t="s">
        <v>136</v>
      </c>
      <c r="C1594" s="41">
        <f t="array" ref="C1594">IF(IFERROR(INDEX(CATALOG_POINTS,MATCH(A1594,CATALOG_TASK,0)),"")="",IF(MAX(IF(IFERROR(FIND(CATALOG_BASE,A1594),0)=1,CATALOG_POINTS,0))=0,DAILY_POST_POINTS,MAX(IF(IFERROR(FIND(CATALOG_BASE,A1594),0)=1,CATALOG_POINTS,0))),IFERROR(INDEX(CATALOG_POINTS,MATCH(A1594,CATALOG_TASK,0)),""))</f>
        <v>1</v>
      </c>
      <c r="D1594" s="10" t="s">
        <v>1044</v>
      </c>
      <c r="E1594" s="41" t="str">
        <f t="shared" si="1"/>
        <v>PROX3</v>
      </c>
    </row>
    <row r="1595" ht="15.75" customHeight="1">
      <c r="A1595" s="10" t="s">
        <v>1045</v>
      </c>
      <c r="B1595" s="10" t="s">
        <v>135</v>
      </c>
      <c r="C1595" s="41">
        <f t="array" ref="C1595">IF(IFERROR(INDEX(CATALOG_POINTS,MATCH(A1595,CATALOG_TASK,0)),"")="",IF(MAX(IF(IFERROR(FIND(CATALOG_BASE,A1595),0)=1,CATALOG_POINTS,0))=0,DAILY_POST_POINTS,MAX(IF(IFERROR(FIND(CATALOG_BASE,A1595),0)=1,CATALOG_POINTS,0))),IFERROR(INDEX(CATALOG_POINTS,MATCH(A1595,CATALOG_TASK,0)),""))</f>
        <v>1</v>
      </c>
      <c r="D1595" s="10" t="s">
        <v>1046</v>
      </c>
      <c r="E1595" s="41" t="str">
        <f t="shared" si="1"/>
        <v/>
      </c>
    </row>
    <row r="1596" ht="15.75" customHeight="1">
      <c r="A1596" s="10" t="s">
        <v>1047</v>
      </c>
      <c r="B1596" s="10" t="s">
        <v>127</v>
      </c>
      <c r="C1596" s="41">
        <f t="array" ref="C1596">IF(IFERROR(INDEX(CATALOG_POINTS,MATCH(A1596,CATALOG_TASK,0)),"")="",IF(MAX(IF(IFERROR(FIND(CATALOG_BASE,A1596),0)=1,CATALOG_POINTS,0))=0,DAILY_POST_POINTS,MAX(IF(IFERROR(FIND(CATALOG_BASE,A1596),0)=1,CATALOG_POINTS,0))),IFERROR(INDEX(CATALOG_POINTS,MATCH(A1596,CATALOG_TASK,0)),""))</f>
        <v>1</v>
      </c>
      <c r="D1596" s="10" t="s">
        <v>1047</v>
      </c>
      <c r="E1596" s="41" t="str">
        <f t="shared" si="1"/>
        <v>PROX3</v>
      </c>
    </row>
    <row r="1597" ht="15.75" customHeight="1">
      <c r="A1597" s="10" t="s">
        <v>37</v>
      </c>
      <c r="B1597" s="10" t="s">
        <v>125</v>
      </c>
      <c r="C1597" s="41">
        <f t="array" ref="C1597">IF(IFERROR(INDEX(CATALOG_POINTS,MATCH(A1597,CATALOG_TASK,0)),"")="",IF(MAX(IF(IFERROR(FIND(CATALOG_BASE,A1597),0)=1,CATALOG_POINTS,0))=0,DAILY_POST_POINTS,MAX(IF(IFERROR(FIND(CATALOG_BASE,A1597),0)=1,CATALOG_POINTS,0))),IFERROR(INDEX(CATALOG_POINTS,MATCH(A1597,CATALOG_TASK,0)),""))</f>
        <v>2</v>
      </c>
      <c r="D1597" s="10" t="s">
        <v>1048</v>
      </c>
      <c r="E1597" s="41" t="str">
        <f t="shared" si="1"/>
        <v>PROX3</v>
      </c>
    </row>
    <row r="1598" ht="15.75" customHeight="1">
      <c r="A1598" s="10" t="s">
        <v>1048</v>
      </c>
      <c r="B1598" s="10" t="s">
        <v>127</v>
      </c>
      <c r="C1598" s="41">
        <f t="array" ref="C1598">IF(IFERROR(INDEX(CATALOG_POINTS,MATCH(A1598,CATALOG_TASK,0)),"")="",IF(MAX(IF(IFERROR(FIND(CATALOG_BASE,A1598),0)=1,CATALOG_POINTS,0))=0,DAILY_POST_POINTS,MAX(IF(IFERROR(FIND(CATALOG_BASE,A1598),0)=1,CATALOG_POINTS,0))),IFERROR(INDEX(CATALOG_POINTS,MATCH(A1598,CATALOG_TASK,0)),""))</f>
        <v>1</v>
      </c>
      <c r="D1598" s="10" t="s">
        <v>1048</v>
      </c>
      <c r="E1598" s="41" t="str">
        <f t="shared" si="1"/>
        <v>PROX3</v>
      </c>
    </row>
    <row r="1599" ht="15.75" customHeight="1">
      <c r="A1599" s="10" t="s">
        <v>174</v>
      </c>
      <c r="B1599" s="10" t="s">
        <v>127</v>
      </c>
      <c r="C1599" s="41">
        <f t="array" ref="C1599">IF(IFERROR(INDEX(CATALOG_POINTS,MATCH(A1599,CATALOG_TASK,0)),"")="",IF(MAX(IF(IFERROR(FIND(CATALOG_BASE,A1599),0)=1,CATALOG_POINTS,0))=0,DAILY_POST_POINTS,MAX(IF(IFERROR(FIND(CATALOG_BASE,A1599),0)=1,CATALOG_POINTS,0))),IFERROR(INDEX(CATALOG_POINTS,MATCH(A1599,CATALOG_TASK,0)),""))</f>
        <v>1</v>
      </c>
      <c r="D1599" s="10" t="s">
        <v>1049</v>
      </c>
      <c r="E1599" s="41" t="str">
        <f t="shared" si="1"/>
        <v>PROX4</v>
      </c>
    </row>
    <row r="1600" ht="15.75" customHeight="1">
      <c r="A1600" s="10" t="s">
        <v>1050</v>
      </c>
      <c r="B1600" s="10" t="s">
        <v>132</v>
      </c>
      <c r="C1600" s="41">
        <f t="array" ref="C1600">IF(IFERROR(INDEX(CATALOG_POINTS,MATCH(A1600,CATALOG_TASK,0)),"")="",IF(MAX(IF(IFERROR(FIND(CATALOG_BASE,A1600),0)=1,CATALOG_POINTS,0))=0,DAILY_POST_POINTS,MAX(IF(IFERROR(FIND(CATALOG_BASE,A1600),0)=1,CATALOG_POINTS,0))),IFERROR(INDEX(CATALOG_POINTS,MATCH(A1600,CATALOG_TASK,0)),""))</f>
        <v>1</v>
      </c>
      <c r="D1600" s="10" t="s">
        <v>1050</v>
      </c>
      <c r="E1600" s="41" t="str">
        <f t="shared" si="1"/>
        <v>PROX3</v>
      </c>
    </row>
    <row r="1601" ht="15.75" customHeight="1">
      <c r="A1601" s="10" t="s">
        <v>1051</v>
      </c>
      <c r="B1601" s="10" t="s">
        <v>119</v>
      </c>
      <c r="C1601" s="41">
        <f t="array" ref="C1601">IF(IFERROR(INDEX(CATALOG_POINTS,MATCH(A1601,CATALOG_TASK,0)),"")="",IF(MAX(IF(IFERROR(FIND(CATALOG_BASE,A1601),0)=1,CATALOG_POINTS,0))=0,DAILY_POST_POINTS,MAX(IF(IFERROR(FIND(CATALOG_BASE,A1601),0)=1,CATALOG_POINTS,0))),IFERROR(INDEX(CATALOG_POINTS,MATCH(A1601,CATALOG_TASK,0)),""))</f>
        <v>1</v>
      </c>
      <c r="D1601" s="10" t="s">
        <v>1051</v>
      </c>
      <c r="E1601" s="41" t="str">
        <f t="shared" si="1"/>
        <v>PROX3</v>
      </c>
    </row>
    <row r="1602" ht="15.75" customHeight="1">
      <c r="A1602" s="10" t="s">
        <v>1052</v>
      </c>
      <c r="B1602" s="10" t="s">
        <v>129</v>
      </c>
      <c r="C1602" s="41">
        <f t="array" ref="C1602">IF(IFERROR(INDEX(CATALOG_POINTS,MATCH(A1602,CATALOG_TASK,0)),"")="",IF(MAX(IF(IFERROR(FIND(CATALOG_BASE,A1602),0)=1,CATALOG_POINTS,0))=0,DAILY_POST_POINTS,MAX(IF(IFERROR(FIND(CATALOG_BASE,A1602),0)=1,CATALOG_POINTS,0))),IFERROR(INDEX(CATALOG_POINTS,MATCH(A1602,CATALOG_TASK,0)),""))</f>
        <v>1</v>
      </c>
      <c r="D1602" s="10" t="s">
        <v>1052</v>
      </c>
      <c r="E1602" s="41" t="str">
        <f t="shared" si="1"/>
        <v>PROX3</v>
      </c>
    </row>
    <row r="1603" ht="15.75" customHeight="1">
      <c r="A1603" s="10" t="s">
        <v>1053</v>
      </c>
      <c r="B1603" s="10" t="s">
        <v>120</v>
      </c>
      <c r="C1603" s="41">
        <f t="array" ref="C1603">IF(IFERROR(INDEX(CATALOG_POINTS,MATCH(A1603,CATALOG_TASK,0)),"")="",IF(MAX(IF(IFERROR(FIND(CATALOG_BASE,A1603),0)=1,CATALOG_POINTS,0))=0,DAILY_POST_POINTS,MAX(IF(IFERROR(FIND(CATALOG_BASE,A1603),0)=1,CATALOG_POINTS,0))),IFERROR(INDEX(CATALOG_POINTS,MATCH(A1603,CATALOG_TASK,0)),""))</f>
        <v>1</v>
      </c>
      <c r="D1603" s="10" t="s">
        <v>1053</v>
      </c>
      <c r="E1603" s="41" t="str">
        <f t="shared" si="1"/>
        <v>PROX3</v>
      </c>
    </row>
    <row r="1604" ht="15.75" customHeight="1">
      <c r="A1604" s="10" t="s">
        <v>37</v>
      </c>
      <c r="B1604" s="10" t="s">
        <v>122</v>
      </c>
      <c r="C1604" s="41">
        <f t="array" ref="C1604">IF(IFERROR(INDEX(CATALOG_POINTS,MATCH(A1604,CATALOG_TASK,0)),"")="",IF(MAX(IF(IFERROR(FIND(CATALOG_BASE,A1604),0)=1,CATALOG_POINTS,0))=0,DAILY_POST_POINTS,MAX(IF(IFERROR(FIND(CATALOG_BASE,A1604),0)=1,CATALOG_POINTS,0))),IFERROR(INDEX(CATALOG_POINTS,MATCH(A1604,CATALOG_TASK,0)),""))</f>
        <v>2</v>
      </c>
      <c r="D1604" s="10" t="s">
        <v>1054</v>
      </c>
      <c r="E1604" s="41" t="str">
        <f t="shared" si="1"/>
        <v>PROX3</v>
      </c>
    </row>
    <row r="1605" ht="15.75" customHeight="1">
      <c r="A1605" s="10" t="s">
        <v>1054</v>
      </c>
      <c r="B1605" s="10" t="s">
        <v>126</v>
      </c>
      <c r="C1605" s="41">
        <f t="array" ref="C1605">IF(IFERROR(INDEX(CATALOG_POINTS,MATCH(A1605,CATALOG_TASK,0)),"")="",IF(MAX(IF(IFERROR(FIND(CATALOG_BASE,A1605),0)=1,CATALOG_POINTS,0))=0,DAILY_POST_POINTS,MAX(IF(IFERROR(FIND(CATALOG_BASE,A1605),0)=1,CATALOG_POINTS,0))),IFERROR(INDEX(CATALOG_POINTS,MATCH(A1605,CATALOG_TASK,0)),""))</f>
        <v>1</v>
      </c>
      <c r="D1605" s="10" t="s">
        <v>1054</v>
      </c>
      <c r="E1605" s="41" t="str">
        <f t="shared" si="1"/>
        <v>PROX3</v>
      </c>
    </row>
    <row r="1606" ht="15.75" customHeight="1">
      <c r="A1606" s="10" t="s">
        <v>1055</v>
      </c>
      <c r="B1606" s="10" t="s">
        <v>133</v>
      </c>
      <c r="C1606" s="41">
        <f t="array" ref="C1606">IF(IFERROR(INDEX(CATALOG_POINTS,MATCH(A1606,CATALOG_TASK,0)),"")="",IF(MAX(IF(IFERROR(FIND(CATALOG_BASE,A1606),0)=1,CATALOG_POINTS,0))=0,DAILY_POST_POINTS,MAX(IF(IFERROR(FIND(CATALOG_BASE,A1606),0)=1,CATALOG_POINTS,0))),IFERROR(INDEX(CATALOG_POINTS,MATCH(A1606,CATALOG_TASK,0)),""))</f>
        <v>1</v>
      </c>
      <c r="D1606" s="10" t="s">
        <v>1055</v>
      </c>
      <c r="E1606" s="41" t="str">
        <f t="shared" si="1"/>
        <v/>
      </c>
    </row>
    <row r="1607" ht="15.75" customHeight="1">
      <c r="A1607" s="10" t="s">
        <v>1056</v>
      </c>
      <c r="B1607" s="10" t="s">
        <v>127</v>
      </c>
      <c r="C1607" s="41">
        <f t="array" ref="C1607">IF(IFERROR(INDEX(CATALOG_POINTS,MATCH(A1607,CATALOG_TASK,0)),"")="",IF(MAX(IF(IFERROR(FIND(CATALOG_BASE,A1607),0)=1,CATALOG_POINTS,0))=0,DAILY_POST_POINTS,MAX(IF(IFERROR(FIND(CATALOG_BASE,A1607),0)=1,CATALOG_POINTS,0))),IFERROR(INDEX(CATALOG_POINTS,MATCH(A1607,CATALOG_TASK,0)),""))</f>
        <v>1</v>
      </c>
      <c r="D1607" s="10" t="s">
        <v>1056</v>
      </c>
      <c r="E1607" s="41" t="str">
        <f t="shared" si="1"/>
        <v>PROX3</v>
      </c>
    </row>
    <row r="1608" ht="15.75" customHeight="1">
      <c r="A1608" s="10" t="s">
        <v>174</v>
      </c>
      <c r="B1608" s="10" t="s">
        <v>127</v>
      </c>
      <c r="C1608" s="41">
        <f t="array" ref="C1608">IF(IFERROR(INDEX(CATALOG_POINTS,MATCH(A1608,CATALOG_TASK,0)),"")="",IF(MAX(IF(IFERROR(FIND(CATALOG_BASE,A1608),0)=1,CATALOG_POINTS,0))=0,DAILY_POST_POINTS,MAX(IF(IFERROR(FIND(CATALOG_BASE,A1608),0)=1,CATALOG_POINTS,0))),IFERROR(INDEX(CATALOG_POINTS,MATCH(A1608,CATALOG_TASK,0)),""))</f>
        <v>1</v>
      </c>
      <c r="D1608" s="10" t="s">
        <v>1057</v>
      </c>
      <c r="E1608" s="41" t="str">
        <f t="shared" si="1"/>
        <v>PROX4</v>
      </c>
    </row>
    <row r="1609" ht="15.75" customHeight="1">
      <c r="A1609" s="10" t="s">
        <v>1058</v>
      </c>
      <c r="B1609" s="10" t="s">
        <v>134</v>
      </c>
      <c r="C1609" s="41">
        <f t="array" ref="C1609">IF(IFERROR(INDEX(CATALOG_POINTS,MATCH(A1609,CATALOG_TASK,0)),"")="",IF(MAX(IF(IFERROR(FIND(CATALOG_BASE,A1609),0)=1,CATALOG_POINTS,0))=0,DAILY_POST_POINTS,MAX(IF(IFERROR(FIND(CATALOG_BASE,A1609),0)=1,CATALOG_POINTS,0))),IFERROR(INDEX(CATALOG_POINTS,MATCH(A1609,CATALOG_TASK,0)),""))</f>
        <v>1</v>
      </c>
      <c r="D1609" s="10" t="s">
        <v>1058</v>
      </c>
      <c r="E1609" s="41" t="str">
        <f t="shared" si="1"/>
        <v>PROX3</v>
      </c>
    </row>
    <row r="1610" ht="15.75" customHeight="1">
      <c r="A1610" s="10" t="s">
        <v>1059</v>
      </c>
      <c r="B1610" s="10" t="s">
        <v>133</v>
      </c>
      <c r="C1610" s="41">
        <f t="array" ref="C1610">IF(IFERROR(INDEX(CATALOG_POINTS,MATCH(A1610,CATALOG_TASK,0)),"")="",IF(MAX(IF(IFERROR(FIND(CATALOG_BASE,A1610),0)=1,CATALOG_POINTS,0))=0,DAILY_POST_POINTS,MAX(IF(IFERROR(FIND(CATALOG_BASE,A1610),0)=1,CATALOG_POINTS,0))),IFERROR(INDEX(CATALOG_POINTS,MATCH(A1610,CATALOG_TASK,0)),""))</f>
        <v>1</v>
      </c>
      <c r="D1610" s="10" t="s">
        <v>1059</v>
      </c>
      <c r="E1610" s="41" t="str">
        <f t="shared" si="1"/>
        <v>PROX3</v>
      </c>
    </row>
    <row r="1611" ht="15.75" customHeight="1">
      <c r="A1611" s="10" t="s">
        <v>1060</v>
      </c>
      <c r="B1611" s="10" t="s">
        <v>133</v>
      </c>
      <c r="C1611" s="41">
        <f t="array" ref="C1611">IF(IFERROR(INDEX(CATALOG_POINTS,MATCH(A1611,CATALOG_TASK,0)),"")="",IF(MAX(IF(IFERROR(FIND(CATALOG_BASE,A1611),0)=1,CATALOG_POINTS,0))=0,DAILY_POST_POINTS,MAX(IF(IFERROR(FIND(CATALOG_BASE,A1611),0)=1,CATALOG_POINTS,0))),IFERROR(INDEX(CATALOG_POINTS,MATCH(A1611,CATALOG_TASK,0)),""))</f>
        <v>1</v>
      </c>
      <c r="D1611" s="10" t="s">
        <v>1060</v>
      </c>
      <c r="E1611" s="41" t="str">
        <f t="shared" si="1"/>
        <v>PROX3</v>
      </c>
    </row>
    <row r="1612" ht="15.75" customHeight="1">
      <c r="A1612" s="10" t="s">
        <v>1061</v>
      </c>
      <c r="B1612" s="10" t="s">
        <v>133</v>
      </c>
      <c r="C1612" s="41">
        <f t="array" ref="C1612">IF(IFERROR(INDEX(CATALOG_POINTS,MATCH(A1612,CATALOG_TASK,0)),"")="",IF(MAX(IF(IFERROR(FIND(CATALOG_BASE,A1612),0)=1,CATALOG_POINTS,0))=0,DAILY_POST_POINTS,MAX(IF(IFERROR(FIND(CATALOG_BASE,A1612),0)=1,CATALOG_POINTS,0))),IFERROR(INDEX(CATALOG_POINTS,MATCH(A1612,CATALOG_TASK,0)),""))</f>
        <v>1</v>
      </c>
      <c r="D1612" s="10" t="s">
        <v>1061</v>
      </c>
      <c r="E1612" s="41" t="str">
        <f t="shared" si="1"/>
        <v>PROX3</v>
      </c>
    </row>
    <row r="1613" ht="15.75" customHeight="1">
      <c r="A1613" s="10" t="s">
        <v>1062</v>
      </c>
      <c r="B1613" s="10" t="s">
        <v>134</v>
      </c>
      <c r="C1613" s="41">
        <f t="array" ref="C1613">IF(IFERROR(INDEX(CATALOG_POINTS,MATCH(A1613,CATALOG_TASK,0)),"")="",IF(MAX(IF(IFERROR(FIND(CATALOG_BASE,A1613),0)=1,CATALOG_POINTS,0))=0,DAILY_POST_POINTS,MAX(IF(IFERROR(FIND(CATALOG_BASE,A1613),0)=1,CATALOG_POINTS,0))),IFERROR(INDEX(CATALOG_POINTS,MATCH(A1613,CATALOG_TASK,0)),""))</f>
        <v>1</v>
      </c>
      <c r="D1613" s="10" t="s">
        <v>1062</v>
      </c>
      <c r="E1613" s="41" t="str">
        <f t="shared" si="1"/>
        <v>PROX3</v>
      </c>
    </row>
    <row r="1614" ht="15.75" customHeight="1">
      <c r="A1614" s="10" t="s">
        <v>1063</v>
      </c>
      <c r="B1614" s="10" t="s">
        <v>137</v>
      </c>
      <c r="C1614" s="41">
        <f t="array" ref="C1614">IF(IFERROR(INDEX(CATALOG_POINTS,MATCH(A1614,CATALOG_TASK,0)),"")="",IF(MAX(IF(IFERROR(FIND(CATALOG_BASE,A1614),0)=1,CATALOG_POINTS,0))=0,DAILY_POST_POINTS,MAX(IF(IFERROR(FIND(CATALOG_BASE,A1614),0)=1,CATALOG_POINTS,0))),IFERROR(INDEX(CATALOG_POINTS,MATCH(A1614,CATALOG_TASK,0)),""))</f>
        <v>1</v>
      </c>
      <c r="D1614" s="10" t="s">
        <v>1063</v>
      </c>
      <c r="E1614" s="41" t="str">
        <f t="shared" si="1"/>
        <v>PROX3</v>
      </c>
    </row>
    <row r="1615" ht="15.75" customHeight="1">
      <c r="A1615" s="10" t="s">
        <v>37</v>
      </c>
      <c r="B1615" s="10" t="s">
        <v>126</v>
      </c>
      <c r="C1615" s="41">
        <f t="array" ref="C1615">IF(IFERROR(INDEX(CATALOG_POINTS,MATCH(A1615,CATALOG_TASK,0)),"")="",IF(MAX(IF(IFERROR(FIND(CATALOG_BASE,A1615),0)=1,CATALOG_POINTS,0))=0,DAILY_POST_POINTS,MAX(IF(IFERROR(FIND(CATALOG_BASE,A1615),0)=1,CATALOG_POINTS,0))),IFERROR(INDEX(CATALOG_POINTS,MATCH(A1615,CATALOG_TASK,0)),""))</f>
        <v>2</v>
      </c>
      <c r="D1615" s="10" t="s">
        <v>1063</v>
      </c>
      <c r="E1615" s="41" t="str">
        <f t="shared" si="1"/>
        <v>PROX3</v>
      </c>
    </row>
    <row r="1616" ht="15.75" customHeight="1">
      <c r="A1616" s="10" t="s">
        <v>37</v>
      </c>
      <c r="B1616" s="10" t="s">
        <v>127</v>
      </c>
      <c r="C1616" s="41">
        <f t="array" ref="C1616">IF(IFERROR(INDEX(CATALOG_POINTS,MATCH(A1616,CATALOG_TASK,0)),"")="",IF(MAX(IF(IFERROR(FIND(CATALOG_BASE,A1616),0)=1,CATALOG_POINTS,0))=0,DAILY_POST_POINTS,MAX(IF(IFERROR(FIND(CATALOG_BASE,A1616),0)=1,CATALOG_POINTS,0))),IFERROR(INDEX(CATALOG_POINTS,MATCH(A1616,CATALOG_TASK,0)),""))</f>
        <v>2</v>
      </c>
      <c r="D1616" s="10" t="s">
        <v>1063</v>
      </c>
      <c r="E1616" s="41" t="str">
        <f t="shared" si="1"/>
        <v>PROX3</v>
      </c>
    </row>
    <row r="1617" ht="15.75" customHeight="1">
      <c r="A1617" s="10" t="s">
        <v>1064</v>
      </c>
      <c r="B1617" s="10" t="s">
        <v>137</v>
      </c>
      <c r="C1617" s="41">
        <f t="array" ref="C1617">IF(IFERROR(INDEX(CATALOG_POINTS,MATCH(A1617,CATALOG_TASK,0)),"")="",IF(MAX(IF(IFERROR(FIND(CATALOG_BASE,A1617),0)=1,CATALOG_POINTS,0))=0,DAILY_POST_POINTS,MAX(IF(IFERROR(FIND(CATALOG_BASE,A1617),0)=1,CATALOG_POINTS,0))),IFERROR(INDEX(CATALOG_POINTS,MATCH(A1617,CATALOG_TASK,0)),""))</f>
        <v>1</v>
      </c>
      <c r="D1617" s="10" t="s">
        <v>1064</v>
      </c>
      <c r="E1617" s="41" t="str">
        <f t="shared" si="1"/>
        <v>PROX3</v>
      </c>
    </row>
    <row r="1618" ht="15.75" customHeight="1">
      <c r="A1618" s="10" t="s">
        <v>1065</v>
      </c>
      <c r="B1618" s="10" t="s">
        <v>127</v>
      </c>
      <c r="C1618" s="41">
        <f t="array" ref="C1618">IF(IFERROR(INDEX(CATALOG_POINTS,MATCH(A1618,CATALOG_TASK,0)),"")="",IF(MAX(IF(IFERROR(FIND(CATALOG_BASE,A1618),0)=1,CATALOG_POINTS,0))=0,DAILY_POST_POINTS,MAX(IF(IFERROR(FIND(CATALOG_BASE,A1618),0)=1,CATALOG_POINTS,0))),IFERROR(INDEX(CATALOG_POINTS,MATCH(A1618,CATALOG_TASK,0)),""))</f>
        <v>1</v>
      </c>
      <c r="D1618" s="10" t="s">
        <v>1065</v>
      </c>
      <c r="E1618" s="41" t="str">
        <f t="shared" si="1"/>
        <v>PROX3</v>
      </c>
    </row>
    <row r="1619" ht="15.75" customHeight="1">
      <c r="A1619" s="10" t="s">
        <v>1066</v>
      </c>
      <c r="B1619" s="10" t="s">
        <v>133</v>
      </c>
      <c r="C1619" s="41">
        <f t="array" ref="C1619">IF(IFERROR(INDEX(CATALOG_POINTS,MATCH(A1619,CATALOG_TASK,0)),"")="",IF(MAX(IF(IFERROR(FIND(CATALOG_BASE,A1619),0)=1,CATALOG_POINTS,0))=0,DAILY_POST_POINTS,MAX(IF(IFERROR(FIND(CATALOG_BASE,A1619),0)=1,CATALOG_POINTS,0))),IFERROR(INDEX(CATALOG_POINTS,MATCH(A1619,CATALOG_TASK,0)),""))</f>
        <v>1</v>
      </c>
      <c r="D1619" s="10" t="s">
        <v>1066</v>
      </c>
      <c r="E1619" s="41" t="str">
        <f t="shared" si="1"/>
        <v>PROX3</v>
      </c>
    </row>
    <row r="1620" ht="15.75" customHeight="1">
      <c r="A1620" s="10" t="s">
        <v>37</v>
      </c>
      <c r="B1620" s="10" t="s">
        <v>122</v>
      </c>
      <c r="C1620" s="41">
        <f t="array" ref="C1620">IF(IFERROR(INDEX(CATALOG_POINTS,MATCH(A1620,CATALOG_TASK,0)),"")="",IF(MAX(IF(IFERROR(FIND(CATALOG_BASE,A1620),0)=1,CATALOG_POINTS,0))=0,DAILY_POST_POINTS,MAX(IF(IFERROR(FIND(CATALOG_BASE,A1620),0)=1,CATALOG_POINTS,0))),IFERROR(INDEX(CATALOG_POINTS,MATCH(A1620,CATALOG_TASK,0)),""))</f>
        <v>2</v>
      </c>
      <c r="D1620" s="10" t="s">
        <v>1066</v>
      </c>
      <c r="E1620" s="41" t="str">
        <f t="shared" si="1"/>
        <v>PROX3</v>
      </c>
    </row>
    <row r="1621" ht="15.75" customHeight="1">
      <c r="A1621" s="10" t="s">
        <v>37</v>
      </c>
      <c r="B1621" s="10" t="s">
        <v>117</v>
      </c>
      <c r="C1621" s="41">
        <f t="array" ref="C1621">IF(IFERROR(INDEX(CATALOG_POINTS,MATCH(A1621,CATALOG_TASK,0)),"")="",IF(MAX(IF(IFERROR(FIND(CATALOG_BASE,A1621),0)=1,CATALOG_POINTS,0))=0,DAILY_POST_POINTS,MAX(IF(IFERROR(FIND(CATALOG_BASE,A1621),0)=1,CATALOG_POINTS,0))),IFERROR(INDEX(CATALOG_POINTS,MATCH(A1621,CATALOG_TASK,0)),""))</f>
        <v>2</v>
      </c>
      <c r="D1621" s="10" t="s">
        <v>1067</v>
      </c>
      <c r="E1621" s="41" t="str">
        <f t="shared" si="1"/>
        <v/>
      </c>
    </row>
    <row r="1622" ht="15.75" customHeight="1">
      <c r="A1622" s="10" t="s">
        <v>37</v>
      </c>
      <c r="B1622" s="10" t="s">
        <v>117</v>
      </c>
      <c r="C1622" s="41">
        <f t="array" ref="C1622">IF(IFERROR(INDEX(CATALOG_POINTS,MATCH(A1622,CATALOG_TASK,0)),"")="",IF(MAX(IF(IFERROR(FIND(CATALOG_BASE,A1622),0)=1,CATALOG_POINTS,0))=0,DAILY_POST_POINTS,MAX(IF(IFERROR(FIND(CATALOG_BASE,A1622),0)=1,CATALOG_POINTS,0))),IFERROR(INDEX(CATALOG_POINTS,MATCH(A1622,CATALOG_TASK,0)),""))</f>
        <v>2</v>
      </c>
      <c r="D1622" s="10" t="s">
        <v>1067</v>
      </c>
      <c r="E1622" s="41" t="str">
        <f t="shared" si="1"/>
        <v/>
      </c>
    </row>
    <row r="1623" ht="15.75" customHeight="1">
      <c r="A1623" s="10" t="s">
        <v>168</v>
      </c>
      <c r="B1623" s="10" t="s">
        <v>117</v>
      </c>
      <c r="C1623" s="41">
        <f t="array" ref="C1623">IF(IFERROR(INDEX(CATALOG_POINTS,MATCH(A1623,CATALOG_TASK,0)),"")="",IF(MAX(IF(IFERROR(FIND(CATALOG_BASE,A1623),0)=1,CATALOG_POINTS,0))=0,DAILY_POST_POINTS,MAX(IF(IFERROR(FIND(CATALOG_BASE,A1623),0)=1,CATALOG_POINTS,0))),IFERROR(INDEX(CATALOG_POINTS,MATCH(A1623,CATALOG_TASK,0)),""))</f>
        <v>1</v>
      </c>
      <c r="D1623" s="10" t="s">
        <v>1067</v>
      </c>
      <c r="E1623" s="41" t="str">
        <f t="shared" si="1"/>
        <v/>
      </c>
    </row>
    <row r="1624" ht="15.75" customHeight="1">
      <c r="A1624" s="10" t="s">
        <v>1068</v>
      </c>
      <c r="B1624" s="10" t="s">
        <v>131</v>
      </c>
      <c r="C1624" s="41">
        <f t="array" ref="C1624">IF(IFERROR(INDEX(CATALOG_POINTS,MATCH(A1624,CATALOG_TASK,0)),"")="",IF(MAX(IF(IFERROR(FIND(CATALOG_BASE,A1624),0)=1,CATALOG_POINTS,0))=0,DAILY_POST_POINTS,MAX(IF(IFERROR(FIND(CATALOG_BASE,A1624),0)=1,CATALOG_POINTS,0))),IFERROR(INDEX(CATALOG_POINTS,MATCH(A1624,CATALOG_TASK,0)),""))</f>
        <v>1</v>
      </c>
      <c r="D1624" s="10" t="s">
        <v>1069</v>
      </c>
      <c r="E1624" s="41" t="str">
        <f t="shared" si="1"/>
        <v/>
      </c>
    </row>
    <row r="1625" ht="15.75" customHeight="1">
      <c r="A1625" s="10" t="s">
        <v>1070</v>
      </c>
      <c r="B1625" s="10" t="s">
        <v>117</v>
      </c>
      <c r="C1625" s="41">
        <f t="array" ref="C1625">IF(IFERROR(INDEX(CATALOG_POINTS,MATCH(A1625,CATALOG_TASK,0)),"")="",IF(MAX(IF(IFERROR(FIND(CATALOG_BASE,A1625),0)=1,CATALOG_POINTS,0))=0,DAILY_POST_POINTS,MAX(IF(IFERROR(FIND(CATALOG_BASE,A1625),0)=1,CATALOG_POINTS,0))),IFERROR(INDEX(CATALOG_POINTS,MATCH(A1625,CATALOG_TASK,0)),""))</f>
        <v>1</v>
      </c>
      <c r="D1625" s="10" t="s">
        <v>1070</v>
      </c>
      <c r="E1625" s="41" t="str">
        <f t="shared" si="1"/>
        <v>PROX3</v>
      </c>
    </row>
    <row r="1626" ht="15.75" customHeight="1">
      <c r="A1626" s="10" t="s">
        <v>37</v>
      </c>
      <c r="B1626" s="10" t="s">
        <v>120</v>
      </c>
      <c r="C1626" s="41">
        <f t="array" ref="C1626">IF(IFERROR(INDEX(CATALOG_POINTS,MATCH(A1626,CATALOG_TASK,0)),"")="",IF(MAX(IF(IFERROR(FIND(CATALOG_BASE,A1626),0)=1,CATALOG_POINTS,0))=0,DAILY_POST_POINTS,MAX(IF(IFERROR(FIND(CATALOG_BASE,A1626),0)=1,CATALOG_POINTS,0))),IFERROR(INDEX(CATALOG_POINTS,MATCH(A1626,CATALOG_TASK,0)),""))</f>
        <v>2</v>
      </c>
      <c r="D1626" s="10" t="s">
        <v>1070</v>
      </c>
      <c r="E1626" s="41" t="str">
        <f t="shared" si="1"/>
        <v>PROX3</v>
      </c>
    </row>
    <row r="1627" ht="15.75" customHeight="1">
      <c r="A1627" s="10" t="s">
        <v>37</v>
      </c>
      <c r="B1627" s="10" t="s">
        <v>128</v>
      </c>
      <c r="C1627" s="41">
        <f t="array" ref="C1627">IF(IFERROR(INDEX(CATALOG_POINTS,MATCH(A1627,CATALOG_TASK,0)),"")="",IF(MAX(IF(IFERROR(FIND(CATALOG_BASE,A1627),0)=1,CATALOG_POINTS,0))=0,DAILY_POST_POINTS,MAX(IF(IFERROR(FIND(CATALOG_BASE,A1627),0)=1,CATALOG_POINTS,0))),IFERROR(INDEX(CATALOG_POINTS,MATCH(A1627,CATALOG_TASK,0)),""))</f>
        <v>2</v>
      </c>
      <c r="D1627" s="10" t="s">
        <v>1071</v>
      </c>
      <c r="E1627" s="41" t="str">
        <f t="shared" si="1"/>
        <v>PROX3</v>
      </c>
    </row>
    <row r="1628" ht="15.75" customHeight="1">
      <c r="A1628" s="10" t="s">
        <v>1071</v>
      </c>
      <c r="B1628" s="10" t="s">
        <v>121</v>
      </c>
      <c r="C1628" s="41">
        <f t="array" ref="C1628">IF(IFERROR(INDEX(CATALOG_POINTS,MATCH(A1628,CATALOG_TASK,0)),"")="",IF(MAX(IF(IFERROR(FIND(CATALOG_BASE,A1628),0)=1,CATALOG_POINTS,0))=0,DAILY_POST_POINTS,MAX(IF(IFERROR(FIND(CATALOG_BASE,A1628),0)=1,CATALOG_POINTS,0))),IFERROR(INDEX(CATALOG_POINTS,MATCH(A1628,CATALOG_TASK,0)),""))</f>
        <v>1</v>
      </c>
      <c r="D1628" s="10" t="s">
        <v>1071</v>
      </c>
      <c r="E1628" s="41" t="str">
        <f t="shared" si="1"/>
        <v>PROX3</v>
      </c>
    </row>
    <row r="1629" ht="15.75" customHeight="1">
      <c r="A1629" s="10" t="s">
        <v>37</v>
      </c>
      <c r="B1629" s="10" t="s">
        <v>120</v>
      </c>
      <c r="C1629" s="41">
        <f t="array" ref="C1629">IF(IFERROR(INDEX(CATALOG_POINTS,MATCH(A1629,CATALOG_TASK,0)),"")="",IF(MAX(IF(IFERROR(FIND(CATALOG_BASE,A1629),0)=1,CATALOG_POINTS,0))=0,DAILY_POST_POINTS,MAX(IF(IFERROR(FIND(CATALOG_BASE,A1629),0)=1,CATALOG_POINTS,0))),IFERROR(INDEX(CATALOG_POINTS,MATCH(A1629,CATALOG_TASK,0)),""))</f>
        <v>2</v>
      </c>
      <c r="D1629" s="10" t="s">
        <v>1072</v>
      </c>
      <c r="E1629" s="41" t="str">
        <f t="shared" si="1"/>
        <v>PROX3</v>
      </c>
    </row>
    <row r="1630" ht="15.75" customHeight="1">
      <c r="A1630" s="10" t="s">
        <v>168</v>
      </c>
      <c r="B1630" s="10" t="s">
        <v>117</v>
      </c>
      <c r="C1630" s="41">
        <f t="array" ref="C1630">IF(IFERROR(INDEX(CATALOG_POINTS,MATCH(A1630,CATALOG_TASK,0)),"")="",IF(MAX(IF(IFERROR(FIND(CATALOG_BASE,A1630),0)=1,CATALOG_POINTS,0))=0,DAILY_POST_POINTS,MAX(IF(IFERROR(FIND(CATALOG_BASE,A1630),0)=1,CATALOG_POINTS,0))),IFERROR(INDEX(CATALOG_POINTS,MATCH(A1630,CATALOG_TASK,0)),""))</f>
        <v>1</v>
      </c>
      <c r="D1630" s="10" t="s">
        <v>1072</v>
      </c>
      <c r="E1630" s="41" t="str">
        <f t="shared" si="1"/>
        <v>PROX3</v>
      </c>
    </row>
    <row r="1631" ht="15.75" customHeight="1">
      <c r="A1631" s="10" t="s">
        <v>174</v>
      </c>
      <c r="B1631" s="10" t="s">
        <v>128</v>
      </c>
      <c r="C1631" s="41">
        <f t="array" ref="C1631">IF(IFERROR(INDEX(CATALOG_POINTS,MATCH(A1631,CATALOG_TASK,0)),"")="",IF(MAX(IF(IFERROR(FIND(CATALOG_BASE,A1631),0)=1,CATALOG_POINTS,0))=0,DAILY_POST_POINTS,MAX(IF(IFERROR(FIND(CATALOG_BASE,A1631),0)=1,CATALOG_POINTS,0))),IFERROR(INDEX(CATALOG_POINTS,MATCH(A1631,CATALOG_TASK,0)),""))</f>
        <v>1</v>
      </c>
      <c r="D1631" s="10" t="s">
        <v>1072</v>
      </c>
      <c r="E1631" s="41" t="str">
        <f t="shared" si="1"/>
        <v>PROX3</v>
      </c>
    </row>
    <row r="1632" ht="15.75" customHeight="1">
      <c r="A1632" s="10" t="s">
        <v>37</v>
      </c>
      <c r="B1632" s="10" t="s">
        <v>117</v>
      </c>
      <c r="C1632" s="41">
        <f t="array" ref="C1632">IF(IFERROR(INDEX(CATALOG_POINTS,MATCH(A1632,CATALOG_TASK,0)),"")="",IF(MAX(IF(IFERROR(FIND(CATALOG_BASE,A1632),0)=1,CATALOG_POINTS,0))=0,DAILY_POST_POINTS,MAX(IF(IFERROR(FIND(CATALOG_BASE,A1632),0)=1,CATALOG_POINTS,0))),IFERROR(INDEX(CATALOG_POINTS,MATCH(A1632,CATALOG_TASK,0)),""))</f>
        <v>2</v>
      </c>
      <c r="D1632" s="10" t="s">
        <v>1072</v>
      </c>
      <c r="E1632" s="41" t="str">
        <f t="shared" si="1"/>
        <v>PROX3</v>
      </c>
    </row>
    <row r="1633" ht="15.75" customHeight="1">
      <c r="A1633" s="10" t="s">
        <v>1072</v>
      </c>
      <c r="B1633" s="10" t="s">
        <v>125</v>
      </c>
      <c r="C1633" s="41">
        <f t="array" ref="C1633">IF(IFERROR(INDEX(CATALOG_POINTS,MATCH(A1633,CATALOG_TASK,0)),"")="",IF(MAX(IF(IFERROR(FIND(CATALOG_BASE,A1633),0)=1,CATALOG_POINTS,0))=0,DAILY_POST_POINTS,MAX(IF(IFERROR(FIND(CATALOG_BASE,A1633),0)=1,CATALOG_POINTS,0))),IFERROR(INDEX(CATALOG_POINTS,MATCH(A1633,CATALOG_TASK,0)),""))</f>
        <v>1</v>
      </c>
      <c r="D1633" s="10" t="s">
        <v>1072</v>
      </c>
      <c r="E1633" s="41" t="str">
        <f t="shared" si="1"/>
        <v>PROX3</v>
      </c>
    </row>
    <row r="1634" ht="15.75" customHeight="1">
      <c r="A1634" s="10" t="s">
        <v>1073</v>
      </c>
      <c r="B1634" s="10" t="s">
        <v>122</v>
      </c>
      <c r="C1634" s="41">
        <f t="array" ref="C1634">IF(IFERROR(INDEX(CATALOG_POINTS,MATCH(A1634,CATALOG_TASK,0)),"")="",IF(MAX(IF(IFERROR(FIND(CATALOG_BASE,A1634),0)=1,CATALOG_POINTS,0))=0,DAILY_POST_POINTS,MAX(IF(IFERROR(FIND(CATALOG_BASE,A1634),0)=1,CATALOG_POINTS,0))),IFERROR(INDEX(CATALOG_POINTS,MATCH(A1634,CATALOG_TASK,0)),""))</f>
        <v>1</v>
      </c>
      <c r="D1634" s="10" t="s">
        <v>1073</v>
      </c>
      <c r="E1634" s="41" t="str">
        <f t="shared" si="1"/>
        <v>PROX3</v>
      </c>
    </row>
    <row r="1635" ht="15.75" customHeight="1">
      <c r="A1635" s="10" t="s">
        <v>34</v>
      </c>
      <c r="B1635" s="10" t="s">
        <v>121</v>
      </c>
      <c r="C1635" s="41">
        <f t="array" ref="C1635">IF(IFERROR(INDEX(CATALOG_POINTS,MATCH(A1635,CATALOG_TASK,0)),"")="",IF(MAX(IF(IFERROR(FIND(CATALOG_BASE,A1635),0)=1,CATALOG_POINTS,0))=0,DAILY_POST_POINTS,MAX(IF(IFERROR(FIND(CATALOG_BASE,A1635),0)=1,CATALOG_POINTS,0))),IFERROR(INDEX(CATALOG_POINTS,MATCH(A1635,CATALOG_TASK,0)),""))</f>
        <v>2</v>
      </c>
      <c r="D1635" s="10" t="s">
        <v>1074</v>
      </c>
      <c r="E1635" s="41" t="str">
        <f t="shared" si="1"/>
        <v>PROX3</v>
      </c>
    </row>
    <row r="1636" ht="15.75" customHeight="1">
      <c r="A1636" s="10" t="s">
        <v>1074</v>
      </c>
      <c r="B1636" s="10" t="s">
        <v>121</v>
      </c>
      <c r="C1636" s="41">
        <f t="array" ref="C1636">IF(IFERROR(INDEX(CATALOG_POINTS,MATCH(A1636,CATALOG_TASK,0)),"")="",IF(MAX(IF(IFERROR(FIND(CATALOG_BASE,A1636),0)=1,CATALOG_POINTS,0))=0,DAILY_POST_POINTS,MAX(IF(IFERROR(FIND(CATALOG_BASE,A1636),0)=1,CATALOG_POINTS,0))),IFERROR(INDEX(CATALOG_POINTS,MATCH(A1636,CATALOG_TASK,0)),""))</f>
        <v>1</v>
      </c>
      <c r="D1636" s="10" t="s">
        <v>1074</v>
      </c>
      <c r="E1636" s="41" t="str">
        <f t="shared" si="1"/>
        <v>PROX3</v>
      </c>
    </row>
    <row r="1637" ht="15.75" customHeight="1">
      <c r="A1637" s="10" t="s">
        <v>168</v>
      </c>
      <c r="B1637" s="10" t="s">
        <v>121</v>
      </c>
      <c r="C1637" s="41">
        <f t="array" ref="C1637">IF(IFERROR(INDEX(CATALOG_POINTS,MATCH(A1637,CATALOG_TASK,0)),"")="",IF(MAX(IF(IFERROR(FIND(CATALOG_BASE,A1637),0)=1,CATALOG_POINTS,0))=0,DAILY_POST_POINTS,MAX(IF(IFERROR(FIND(CATALOG_BASE,A1637),0)=1,CATALOG_POINTS,0))),IFERROR(INDEX(CATALOG_POINTS,MATCH(A1637,CATALOG_TASK,0)),""))</f>
        <v>1</v>
      </c>
      <c r="D1637" s="10" t="s">
        <v>1074</v>
      </c>
      <c r="E1637" s="41" t="str">
        <f t="shared" si="1"/>
        <v>PROX3</v>
      </c>
    </row>
    <row r="1638" ht="15.75" customHeight="1">
      <c r="A1638" s="10" t="s">
        <v>1075</v>
      </c>
      <c r="B1638" s="10" t="s">
        <v>129</v>
      </c>
      <c r="C1638" s="41">
        <f t="array" ref="C1638">IF(IFERROR(INDEX(CATALOG_POINTS,MATCH(A1638,CATALOG_TASK,0)),"")="",IF(MAX(IF(IFERROR(FIND(CATALOG_BASE,A1638),0)=1,CATALOG_POINTS,0))=0,DAILY_POST_POINTS,MAX(IF(IFERROR(FIND(CATALOG_BASE,A1638),0)=1,CATALOG_POINTS,0))),IFERROR(INDEX(CATALOG_POINTS,MATCH(A1638,CATALOG_TASK,0)),""))</f>
        <v>1</v>
      </c>
      <c r="D1638" s="10" t="s">
        <v>1075</v>
      </c>
      <c r="E1638" s="41" t="str">
        <f t="shared" si="1"/>
        <v>SE1</v>
      </c>
    </row>
    <row r="1639" ht="15.75" customHeight="1">
      <c r="A1639" s="10" t="s">
        <v>1076</v>
      </c>
      <c r="B1639" s="10" t="s">
        <v>127</v>
      </c>
      <c r="C1639" s="41">
        <f t="array" ref="C1639">IF(IFERROR(INDEX(CATALOG_POINTS,MATCH(A1639,CATALOG_TASK,0)),"")="",IF(MAX(IF(IFERROR(FIND(CATALOG_BASE,A1639),0)=1,CATALOG_POINTS,0))=0,DAILY_POST_POINTS,MAX(IF(IFERROR(FIND(CATALOG_BASE,A1639),0)=1,CATALOG_POINTS,0))),IFERROR(INDEX(CATALOG_POINTS,MATCH(A1639,CATALOG_TASK,0)),""))</f>
        <v>1</v>
      </c>
      <c r="D1639" s="10" t="s">
        <v>1076</v>
      </c>
      <c r="E1639" s="41" t="str">
        <f t="shared" si="1"/>
        <v>PROX3</v>
      </c>
    </row>
    <row r="1640" ht="15.75" customHeight="1">
      <c r="A1640" s="10" t="s">
        <v>37</v>
      </c>
      <c r="B1640" s="10" t="s">
        <v>123</v>
      </c>
      <c r="C1640" s="41">
        <f t="array" ref="C1640">IF(IFERROR(INDEX(CATALOG_POINTS,MATCH(A1640,CATALOG_TASK,0)),"")="",IF(MAX(IF(IFERROR(FIND(CATALOG_BASE,A1640),0)=1,CATALOG_POINTS,0))=0,DAILY_POST_POINTS,MAX(IF(IFERROR(FIND(CATALOG_BASE,A1640),0)=1,CATALOG_POINTS,0))),IFERROR(INDEX(CATALOG_POINTS,MATCH(A1640,CATALOG_TASK,0)),""))</f>
        <v>2</v>
      </c>
      <c r="D1640" s="10" t="s">
        <v>1077</v>
      </c>
      <c r="E1640" s="41" t="str">
        <f t="shared" si="1"/>
        <v>PROX3</v>
      </c>
    </row>
    <row r="1641" ht="15.75" customHeight="1">
      <c r="A1641" s="10" t="s">
        <v>1077</v>
      </c>
      <c r="B1641" s="10" t="s">
        <v>136</v>
      </c>
      <c r="C1641" s="41">
        <f t="array" ref="C1641">IF(IFERROR(INDEX(CATALOG_POINTS,MATCH(A1641,CATALOG_TASK,0)),"")="",IF(MAX(IF(IFERROR(FIND(CATALOG_BASE,A1641),0)=1,CATALOG_POINTS,0))=0,DAILY_POST_POINTS,MAX(IF(IFERROR(FIND(CATALOG_BASE,A1641),0)=1,CATALOG_POINTS,0))),IFERROR(INDEX(CATALOG_POINTS,MATCH(A1641,CATALOG_TASK,0)),""))</f>
        <v>1</v>
      </c>
      <c r="D1641" s="10" t="s">
        <v>1077</v>
      </c>
      <c r="E1641" s="41" t="str">
        <f t="shared" si="1"/>
        <v>PROX3</v>
      </c>
    </row>
    <row r="1642" ht="15.75" customHeight="1">
      <c r="A1642" s="10" t="s">
        <v>1078</v>
      </c>
      <c r="B1642" s="10" t="s">
        <v>127</v>
      </c>
      <c r="C1642" s="41">
        <f t="array" ref="C1642">IF(IFERROR(INDEX(CATALOG_POINTS,MATCH(A1642,CATALOG_TASK,0)),"")="",IF(MAX(IF(IFERROR(FIND(CATALOG_BASE,A1642),0)=1,CATALOG_POINTS,0))=0,DAILY_POST_POINTS,MAX(IF(IFERROR(FIND(CATALOG_BASE,A1642),0)=1,CATALOG_POINTS,0))),IFERROR(INDEX(CATALOG_POINTS,MATCH(A1642,CATALOG_TASK,0)),""))</f>
        <v>1</v>
      </c>
      <c r="D1642" s="10" t="s">
        <v>1078</v>
      </c>
      <c r="E1642" s="41" t="str">
        <f t="shared" si="1"/>
        <v>PROX4</v>
      </c>
    </row>
    <row r="1643" ht="15.75" customHeight="1">
      <c r="A1643" s="10" t="s">
        <v>1079</v>
      </c>
      <c r="B1643" s="10" t="s">
        <v>121</v>
      </c>
      <c r="C1643" s="41">
        <f t="array" ref="C1643">IF(IFERROR(INDEX(CATALOG_POINTS,MATCH(A1643,CATALOG_TASK,0)),"")="",IF(MAX(IF(IFERROR(FIND(CATALOG_BASE,A1643),0)=1,CATALOG_POINTS,0))=0,DAILY_POST_POINTS,MAX(IF(IFERROR(FIND(CATALOG_BASE,A1643),0)=1,CATALOG_POINTS,0))),IFERROR(INDEX(CATALOG_POINTS,MATCH(A1643,CATALOG_TASK,0)),""))</f>
        <v>1</v>
      </c>
      <c r="D1643" s="10" t="s">
        <v>1079</v>
      </c>
      <c r="E1643" s="41" t="str">
        <f t="shared" si="1"/>
        <v>PROX3</v>
      </c>
    </row>
    <row r="1644" ht="15.75" customHeight="1">
      <c r="A1644" s="10" t="s">
        <v>1080</v>
      </c>
      <c r="B1644" s="10" t="s">
        <v>124</v>
      </c>
      <c r="C1644" s="41">
        <f t="array" ref="C1644">IF(IFERROR(INDEX(CATALOG_POINTS,MATCH(A1644,CATALOG_TASK,0)),"")="",IF(MAX(IF(IFERROR(FIND(CATALOG_BASE,A1644),0)=1,CATALOG_POINTS,0))=0,DAILY_POST_POINTS,MAX(IF(IFERROR(FIND(CATALOG_BASE,A1644),0)=1,CATALOG_POINTS,0))),IFERROR(INDEX(CATALOG_POINTS,MATCH(A1644,CATALOG_TASK,0)),""))</f>
        <v>1</v>
      </c>
      <c r="D1644" s="10" t="s">
        <v>1080</v>
      </c>
      <c r="E1644" s="41" t="str">
        <f t="shared" si="1"/>
        <v>SE1</v>
      </c>
    </row>
    <row r="1645" ht="15.75" customHeight="1">
      <c r="A1645" s="10" t="s">
        <v>1081</v>
      </c>
      <c r="B1645" s="10" t="s">
        <v>132</v>
      </c>
      <c r="C1645" s="41">
        <f t="array" ref="C1645">IF(IFERROR(INDEX(CATALOG_POINTS,MATCH(A1645,CATALOG_TASK,0)),"")="",IF(MAX(IF(IFERROR(FIND(CATALOG_BASE,A1645),0)=1,CATALOG_POINTS,0))=0,DAILY_POST_POINTS,MAX(IF(IFERROR(FIND(CATALOG_BASE,A1645),0)=1,CATALOG_POINTS,0))),IFERROR(INDEX(CATALOG_POINTS,MATCH(A1645,CATALOG_TASK,0)),""))</f>
        <v>1</v>
      </c>
      <c r="D1645" s="10" t="s">
        <v>1081</v>
      </c>
      <c r="E1645" s="41" t="str">
        <f t="shared" si="1"/>
        <v>PROX3</v>
      </c>
    </row>
    <row r="1646" ht="15.75" customHeight="1">
      <c r="A1646" s="10" t="s">
        <v>1082</v>
      </c>
      <c r="B1646" s="10" t="s">
        <v>124</v>
      </c>
      <c r="C1646" s="41">
        <f t="array" ref="C1646">IF(IFERROR(INDEX(CATALOG_POINTS,MATCH(A1646,CATALOG_TASK,0)),"")="",IF(MAX(IF(IFERROR(FIND(CATALOG_BASE,A1646),0)=1,CATALOG_POINTS,0))=0,DAILY_POST_POINTS,MAX(IF(IFERROR(FIND(CATALOG_BASE,A1646),0)=1,CATALOG_POINTS,0))),IFERROR(INDEX(CATALOG_POINTS,MATCH(A1646,CATALOG_TASK,0)),""))</f>
        <v>1</v>
      </c>
      <c r="D1646" s="10" t="s">
        <v>1082</v>
      </c>
      <c r="E1646" s="41" t="str">
        <f t="shared" si="1"/>
        <v>SE1</v>
      </c>
    </row>
    <row r="1647" ht="15.75" customHeight="1">
      <c r="A1647" s="10" t="s">
        <v>1083</v>
      </c>
      <c r="B1647" s="10" t="s">
        <v>136</v>
      </c>
      <c r="C1647" s="41">
        <f t="array" ref="C1647">IF(IFERROR(INDEX(CATALOG_POINTS,MATCH(A1647,CATALOG_TASK,0)),"")="",IF(MAX(IF(IFERROR(FIND(CATALOG_BASE,A1647),0)=1,CATALOG_POINTS,0))=0,DAILY_POST_POINTS,MAX(IF(IFERROR(FIND(CATALOG_BASE,A1647),0)=1,CATALOG_POINTS,0))),IFERROR(INDEX(CATALOG_POINTS,MATCH(A1647,CATALOG_TASK,0)),""))</f>
        <v>1</v>
      </c>
      <c r="D1647" s="10" t="s">
        <v>1084</v>
      </c>
      <c r="E1647" s="41" t="str">
        <f t="shared" si="1"/>
        <v/>
      </c>
    </row>
    <row r="1648" ht="15.75" customHeight="1">
      <c r="A1648" s="10" t="s">
        <v>1085</v>
      </c>
      <c r="B1648" s="10" t="s">
        <v>128</v>
      </c>
      <c r="C1648" s="41">
        <f t="array" ref="C1648">IF(IFERROR(INDEX(CATALOG_POINTS,MATCH(A1648,CATALOG_TASK,0)),"")="",IF(MAX(IF(IFERROR(FIND(CATALOG_BASE,A1648),0)=1,CATALOG_POINTS,0))=0,DAILY_POST_POINTS,MAX(IF(IFERROR(FIND(CATALOG_BASE,A1648),0)=1,CATALOG_POINTS,0))),IFERROR(INDEX(CATALOG_POINTS,MATCH(A1648,CATALOG_TASK,0)),""))</f>
        <v>1</v>
      </c>
      <c r="D1648" s="10" t="s">
        <v>1085</v>
      </c>
      <c r="E1648" s="41" t="str">
        <f t="shared" si="1"/>
        <v>PROX3</v>
      </c>
    </row>
    <row r="1649" ht="15.75" customHeight="1">
      <c r="A1649" s="10" t="s">
        <v>1086</v>
      </c>
      <c r="B1649" s="10" t="s">
        <v>117</v>
      </c>
      <c r="C1649" s="41">
        <f t="array" ref="C1649">IF(IFERROR(INDEX(CATALOG_POINTS,MATCH(A1649,CATALOG_TASK,0)),"")="",IF(MAX(IF(IFERROR(FIND(CATALOG_BASE,A1649),0)=1,CATALOG_POINTS,0))=0,DAILY_POST_POINTS,MAX(IF(IFERROR(FIND(CATALOG_BASE,A1649),0)=1,CATALOG_POINTS,0))),IFERROR(INDEX(CATALOG_POINTS,MATCH(A1649,CATALOG_TASK,0)),""))</f>
        <v>1</v>
      </c>
      <c r="D1649" s="10" t="s">
        <v>1086</v>
      </c>
      <c r="E1649" s="41" t="str">
        <f t="shared" si="1"/>
        <v>PROX3</v>
      </c>
    </row>
    <row r="1650" ht="15.75" customHeight="1">
      <c r="A1650" s="10" t="s">
        <v>1087</v>
      </c>
      <c r="B1650" s="10" t="s">
        <v>128</v>
      </c>
      <c r="C1650" s="41">
        <f t="array" ref="C1650">IF(IFERROR(INDEX(CATALOG_POINTS,MATCH(A1650,CATALOG_TASK,0)),"")="",IF(MAX(IF(IFERROR(FIND(CATALOG_BASE,A1650),0)=1,CATALOG_POINTS,0))=0,DAILY_POST_POINTS,MAX(IF(IFERROR(FIND(CATALOG_BASE,A1650),0)=1,CATALOG_POINTS,0))),IFERROR(INDEX(CATALOG_POINTS,MATCH(A1650,CATALOG_TASK,0)),""))</f>
        <v>1</v>
      </c>
      <c r="D1650" s="10" t="s">
        <v>1087</v>
      </c>
      <c r="E1650" s="41" t="str">
        <f t="shared" si="1"/>
        <v>PROX3</v>
      </c>
    </row>
    <row r="1651" ht="15.75" customHeight="1">
      <c r="A1651" s="10" t="s">
        <v>37</v>
      </c>
      <c r="B1651" s="10" t="s">
        <v>117</v>
      </c>
      <c r="C1651" s="41">
        <f t="array" ref="C1651">IF(IFERROR(INDEX(CATALOG_POINTS,MATCH(A1651,CATALOG_TASK,0)),"")="",IF(MAX(IF(IFERROR(FIND(CATALOG_BASE,A1651),0)=1,CATALOG_POINTS,0))=0,DAILY_POST_POINTS,MAX(IF(IFERROR(FIND(CATALOG_BASE,A1651),0)=1,CATALOG_POINTS,0))),IFERROR(INDEX(CATALOG_POINTS,MATCH(A1651,CATALOG_TASK,0)),""))</f>
        <v>2</v>
      </c>
      <c r="D1651" s="10" t="s">
        <v>1088</v>
      </c>
      <c r="E1651" s="41" t="str">
        <f t="shared" si="1"/>
        <v>PROX3</v>
      </c>
    </row>
    <row r="1652" ht="15.75" customHeight="1">
      <c r="A1652" s="10" t="s">
        <v>37</v>
      </c>
      <c r="B1652" s="10" t="s">
        <v>123</v>
      </c>
      <c r="C1652" s="41">
        <f t="array" ref="C1652">IF(IFERROR(INDEX(CATALOG_POINTS,MATCH(A1652,CATALOG_TASK,0)),"")="",IF(MAX(IF(IFERROR(FIND(CATALOG_BASE,A1652),0)=1,CATALOG_POINTS,0))=0,DAILY_POST_POINTS,MAX(IF(IFERROR(FIND(CATALOG_BASE,A1652),0)=1,CATALOG_POINTS,0))),IFERROR(INDEX(CATALOG_POINTS,MATCH(A1652,CATALOG_TASK,0)),""))</f>
        <v>2</v>
      </c>
      <c r="D1652" s="10" t="s">
        <v>1088</v>
      </c>
      <c r="E1652" s="41" t="str">
        <f t="shared" si="1"/>
        <v>PROX3</v>
      </c>
    </row>
    <row r="1653" ht="15.75" customHeight="1">
      <c r="A1653" s="10" t="s">
        <v>1088</v>
      </c>
      <c r="B1653" s="10" t="s">
        <v>122</v>
      </c>
      <c r="C1653" s="41">
        <f t="array" ref="C1653">IF(IFERROR(INDEX(CATALOG_POINTS,MATCH(A1653,CATALOG_TASK,0)),"")="",IF(MAX(IF(IFERROR(FIND(CATALOG_BASE,A1653),0)=1,CATALOG_POINTS,0))=0,DAILY_POST_POINTS,MAX(IF(IFERROR(FIND(CATALOG_BASE,A1653),0)=1,CATALOG_POINTS,0))),IFERROR(INDEX(CATALOG_POINTS,MATCH(A1653,CATALOG_TASK,0)),""))</f>
        <v>1</v>
      </c>
      <c r="D1653" s="10" t="s">
        <v>1088</v>
      </c>
      <c r="E1653" s="41" t="str">
        <f t="shared" si="1"/>
        <v>PROX3</v>
      </c>
    </row>
    <row r="1654" ht="15.75" customHeight="1">
      <c r="A1654" s="10" t="s">
        <v>37</v>
      </c>
      <c r="B1654" s="10" t="s">
        <v>123</v>
      </c>
      <c r="C1654" s="41">
        <f t="array" ref="C1654">IF(IFERROR(INDEX(CATALOG_POINTS,MATCH(A1654,CATALOG_TASK,0)),"")="",IF(MAX(IF(IFERROR(FIND(CATALOG_BASE,A1654),0)=1,CATALOG_POINTS,0))=0,DAILY_POST_POINTS,MAX(IF(IFERROR(FIND(CATALOG_BASE,A1654),0)=1,CATALOG_POINTS,0))),IFERROR(INDEX(CATALOG_POINTS,MATCH(A1654,CATALOG_TASK,0)),""))</f>
        <v>2</v>
      </c>
      <c r="D1654" s="10" t="s">
        <v>1089</v>
      </c>
      <c r="E1654" s="41" t="str">
        <f t="shared" si="1"/>
        <v>PROX3</v>
      </c>
    </row>
    <row r="1655" ht="15.75" customHeight="1">
      <c r="A1655" s="10" t="s">
        <v>37</v>
      </c>
      <c r="B1655" s="10" t="s">
        <v>128</v>
      </c>
      <c r="C1655" s="41">
        <f t="array" ref="C1655">IF(IFERROR(INDEX(CATALOG_POINTS,MATCH(A1655,CATALOG_TASK,0)),"")="",IF(MAX(IF(IFERROR(FIND(CATALOG_BASE,A1655),0)=1,CATALOG_POINTS,0))=0,DAILY_POST_POINTS,MAX(IF(IFERROR(FIND(CATALOG_BASE,A1655),0)=1,CATALOG_POINTS,0))),IFERROR(INDEX(CATALOG_POINTS,MATCH(A1655,CATALOG_TASK,0)),""))</f>
        <v>2</v>
      </c>
      <c r="D1655" s="10" t="s">
        <v>1089</v>
      </c>
      <c r="E1655" s="41" t="str">
        <f t="shared" si="1"/>
        <v>PROX3</v>
      </c>
    </row>
    <row r="1656" ht="15.75" customHeight="1">
      <c r="A1656" s="10" t="s">
        <v>37</v>
      </c>
      <c r="B1656" s="10" t="s">
        <v>121</v>
      </c>
      <c r="C1656" s="41">
        <f t="array" ref="C1656">IF(IFERROR(INDEX(CATALOG_POINTS,MATCH(A1656,CATALOG_TASK,0)),"")="",IF(MAX(IF(IFERROR(FIND(CATALOG_BASE,A1656),0)=1,CATALOG_POINTS,0))=0,DAILY_POST_POINTS,MAX(IF(IFERROR(FIND(CATALOG_BASE,A1656),0)=1,CATALOG_POINTS,0))),IFERROR(INDEX(CATALOG_POINTS,MATCH(A1656,CATALOG_TASK,0)),""))</f>
        <v>2</v>
      </c>
      <c r="D1656" s="10" t="s">
        <v>1089</v>
      </c>
      <c r="E1656" s="41" t="str">
        <f t="shared" si="1"/>
        <v>PROX3</v>
      </c>
    </row>
    <row r="1657" ht="15.75" customHeight="1">
      <c r="A1657" s="10" t="s">
        <v>37</v>
      </c>
      <c r="B1657" s="10" t="s">
        <v>121</v>
      </c>
      <c r="C1657" s="41">
        <f t="array" ref="C1657">IF(IFERROR(INDEX(CATALOG_POINTS,MATCH(A1657,CATALOG_TASK,0)),"")="",IF(MAX(IF(IFERROR(FIND(CATALOG_BASE,A1657),0)=1,CATALOG_POINTS,0))=0,DAILY_POST_POINTS,MAX(IF(IFERROR(FIND(CATALOG_BASE,A1657),0)=1,CATALOG_POINTS,0))),IFERROR(INDEX(CATALOG_POINTS,MATCH(A1657,CATALOG_TASK,0)),""))</f>
        <v>2</v>
      </c>
      <c r="D1657" s="10" t="s">
        <v>1089</v>
      </c>
      <c r="E1657" s="41" t="str">
        <f t="shared" si="1"/>
        <v>PROX3</v>
      </c>
    </row>
    <row r="1658" ht="15.75" customHeight="1">
      <c r="A1658" s="10" t="s">
        <v>55</v>
      </c>
      <c r="B1658" s="10" t="s">
        <v>139</v>
      </c>
      <c r="C1658" s="41">
        <f t="array" ref="C1658">IF(IFERROR(INDEX(CATALOG_POINTS,MATCH(A1658,CATALOG_TASK,0)),"")="",IF(MAX(IF(IFERROR(FIND(CATALOG_BASE,A1658),0)=1,CATALOG_POINTS,0))=0,DAILY_POST_POINTS,MAX(IF(IFERROR(FIND(CATALOG_BASE,A1658),0)=1,CATALOG_POINTS,0))),IFERROR(INDEX(CATALOG_POINTS,MATCH(A1658,CATALOG_TASK,0)),""))</f>
        <v>8</v>
      </c>
      <c r="D1658" s="10" t="s">
        <v>1089</v>
      </c>
      <c r="E1658" s="41" t="str">
        <f t="shared" si="1"/>
        <v>PROX3</v>
      </c>
    </row>
    <row r="1659" ht="15.75" customHeight="1">
      <c r="A1659" s="10" t="s">
        <v>37</v>
      </c>
      <c r="B1659" s="10" t="s">
        <v>125</v>
      </c>
      <c r="C1659" s="41">
        <f t="array" ref="C1659">IF(IFERROR(INDEX(CATALOG_POINTS,MATCH(A1659,CATALOG_TASK,0)),"")="",IF(MAX(IF(IFERROR(FIND(CATALOG_BASE,A1659),0)=1,CATALOG_POINTS,0))=0,DAILY_POST_POINTS,MAX(IF(IFERROR(FIND(CATALOG_BASE,A1659),0)=1,CATALOG_POINTS,0))),IFERROR(INDEX(CATALOG_POINTS,MATCH(A1659,CATALOG_TASK,0)),""))</f>
        <v>2</v>
      </c>
      <c r="D1659" s="10" t="s">
        <v>1089</v>
      </c>
      <c r="E1659" s="41" t="str">
        <f t="shared" si="1"/>
        <v>PROX3</v>
      </c>
    </row>
    <row r="1660" ht="15.75" customHeight="1">
      <c r="A1660" s="10" t="s">
        <v>1089</v>
      </c>
      <c r="B1660" s="10" t="s">
        <v>123</v>
      </c>
      <c r="C1660" s="41">
        <f t="array" ref="C1660">IF(IFERROR(INDEX(CATALOG_POINTS,MATCH(A1660,CATALOG_TASK,0)),"")="",IF(MAX(IF(IFERROR(FIND(CATALOG_BASE,A1660),0)=1,CATALOG_POINTS,0))=0,DAILY_POST_POINTS,MAX(IF(IFERROR(FIND(CATALOG_BASE,A1660),0)=1,CATALOG_POINTS,0))),IFERROR(INDEX(CATALOG_POINTS,MATCH(A1660,CATALOG_TASK,0)),""))</f>
        <v>1</v>
      </c>
      <c r="D1660" s="10" t="s">
        <v>1089</v>
      </c>
      <c r="E1660" s="41" t="str">
        <f t="shared" si="1"/>
        <v>PROX3</v>
      </c>
    </row>
    <row r="1661" ht="15.75" customHeight="1">
      <c r="A1661" s="10" t="s">
        <v>37</v>
      </c>
      <c r="B1661" s="10" t="s">
        <v>121</v>
      </c>
      <c r="C1661" s="41">
        <f t="array" ref="C1661">IF(IFERROR(INDEX(CATALOG_POINTS,MATCH(A1661,CATALOG_TASK,0)),"")="",IF(MAX(IF(IFERROR(FIND(CATALOG_BASE,A1661),0)=1,CATALOG_POINTS,0))=0,DAILY_POST_POINTS,MAX(IF(IFERROR(FIND(CATALOG_BASE,A1661),0)=1,CATALOG_POINTS,0))),IFERROR(INDEX(CATALOG_POINTS,MATCH(A1661,CATALOG_TASK,0)),""))</f>
        <v>2</v>
      </c>
      <c r="D1661" s="10" t="s">
        <v>1089</v>
      </c>
      <c r="E1661" s="41" t="str">
        <f t="shared" si="1"/>
        <v>PROX3</v>
      </c>
    </row>
    <row r="1662" ht="15.75" customHeight="1">
      <c r="A1662" s="10" t="s">
        <v>178</v>
      </c>
      <c r="B1662" s="10" t="s">
        <v>127</v>
      </c>
      <c r="C1662" s="41">
        <f t="array" ref="C1662">IF(IFERROR(INDEX(CATALOG_POINTS,MATCH(A1662,CATALOG_TASK,0)),"")="",IF(MAX(IF(IFERROR(FIND(CATALOG_BASE,A1662),0)=1,CATALOG_POINTS,0))=0,DAILY_POST_POINTS,MAX(IF(IFERROR(FIND(CATALOG_BASE,A1662),0)=1,CATALOG_POINTS,0))),IFERROR(INDEX(CATALOG_POINTS,MATCH(A1662,CATALOG_TASK,0)),""))</f>
        <v>1</v>
      </c>
      <c r="D1662" s="10" t="s">
        <v>1089</v>
      </c>
      <c r="E1662" s="41" t="str">
        <f t="shared" si="1"/>
        <v>PROX3</v>
      </c>
    </row>
    <row r="1663" ht="15.75" customHeight="1">
      <c r="A1663" s="10" t="s">
        <v>1090</v>
      </c>
      <c r="B1663" s="10" t="s">
        <v>133</v>
      </c>
      <c r="C1663" s="41">
        <f t="array" ref="C1663">IF(IFERROR(INDEX(CATALOG_POINTS,MATCH(A1663,CATALOG_TASK,0)),"")="",IF(MAX(IF(IFERROR(FIND(CATALOG_BASE,A1663),0)=1,CATALOG_POINTS,0))=0,DAILY_POST_POINTS,MAX(IF(IFERROR(FIND(CATALOG_BASE,A1663),0)=1,CATALOG_POINTS,0))),IFERROR(INDEX(CATALOG_POINTS,MATCH(A1663,CATALOG_TASK,0)),""))</f>
        <v>1</v>
      </c>
      <c r="D1663" s="10" t="s">
        <v>1090</v>
      </c>
      <c r="E1663" s="41" t="str">
        <f t="shared" si="1"/>
        <v>PROX4</v>
      </c>
    </row>
    <row r="1664" ht="15.75" customHeight="1">
      <c r="A1664" s="10" t="s">
        <v>1091</v>
      </c>
      <c r="B1664" s="10" t="s">
        <v>125</v>
      </c>
      <c r="C1664" s="41">
        <f t="array" ref="C1664">IF(IFERROR(INDEX(CATALOG_POINTS,MATCH(A1664,CATALOG_TASK,0)),"")="",IF(MAX(IF(IFERROR(FIND(CATALOG_BASE,A1664),0)=1,CATALOG_POINTS,0))=0,DAILY_POST_POINTS,MAX(IF(IFERROR(FIND(CATALOG_BASE,A1664),0)=1,CATALOG_POINTS,0))),IFERROR(INDEX(CATALOG_POINTS,MATCH(A1664,CATALOG_TASK,0)),""))</f>
        <v>1</v>
      </c>
      <c r="D1664" s="10" t="s">
        <v>1091</v>
      </c>
      <c r="E1664" s="41" t="str">
        <f t="shared" si="1"/>
        <v>PROX3</v>
      </c>
    </row>
    <row r="1665" ht="15.75" customHeight="1">
      <c r="A1665" s="10" t="s">
        <v>1092</v>
      </c>
      <c r="B1665" s="10" t="s">
        <v>128</v>
      </c>
      <c r="C1665" s="41">
        <f t="array" ref="C1665">IF(IFERROR(INDEX(CATALOG_POINTS,MATCH(A1665,CATALOG_TASK,0)),"")="",IF(MAX(IF(IFERROR(FIND(CATALOG_BASE,A1665),0)=1,CATALOG_POINTS,0))=0,DAILY_POST_POINTS,MAX(IF(IFERROR(FIND(CATALOG_BASE,A1665),0)=1,CATALOG_POINTS,0))),IFERROR(INDEX(CATALOG_POINTS,MATCH(A1665,CATALOG_TASK,0)),""))</f>
        <v>1</v>
      </c>
      <c r="D1665" s="10" t="s">
        <v>1092</v>
      </c>
      <c r="E1665" s="41" t="str">
        <f t="shared" si="1"/>
        <v>PROX3</v>
      </c>
    </row>
    <row r="1666" ht="15.75" customHeight="1">
      <c r="A1666" s="10" t="s">
        <v>1093</v>
      </c>
      <c r="B1666" s="10" t="s">
        <v>121</v>
      </c>
      <c r="C1666" s="41">
        <f t="array" ref="C1666">IF(IFERROR(INDEX(CATALOG_POINTS,MATCH(A1666,CATALOG_TASK,0)),"")="",IF(MAX(IF(IFERROR(FIND(CATALOG_BASE,A1666),0)=1,CATALOG_POINTS,0))=0,DAILY_POST_POINTS,MAX(IF(IFERROR(FIND(CATALOG_BASE,A1666),0)=1,CATALOG_POINTS,0))),IFERROR(INDEX(CATALOG_POINTS,MATCH(A1666,CATALOG_TASK,0)),""))</f>
        <v>1</v>
      </c>
      <c r="D1666" s="10" t="s">
        <v>1093</v>
      </c>
      <c r="E1666" s="41" t="str">
        <f t="shared" si="1"/>
        <v>PROX3</v>
      </c>
    </row>
    <row r="1667" ht="15.75" customHeight="1">
      <c r="A1667" s="10" t="s">
        <v>1094</v>
      </c>
      <c r="B1667" s="10" t="s">
        <v>123</v>
      </c>
      <c r="C1667" s="41">
        <f t="array" ref="C1667">IF(IFERROR(INDEX(CATALOG_POINTS,MATCH(A1667,CATALOG_TASK,0)),"")="",IF(MAX(IF(IFERROR(FIND(CATALOG_BASE,A1667),0)=1,CATALOG_POINTS,0))=0,DAILY_POST_POINTS,MAX(IF(IFERROR(FIND(CATALOG_BASE,A1667),0)=1,CATALOG_POINTS,0))),IFERROR(INDEX(CATALOG_POINTS,MATCH(A1667,CATALOG_TASK,0)),""))</f>
        <v>1</v>
      </c>
      <c r="D1667" s="10" t="s">
        <v>1094</v>
      </c>
      <c r="E1667" s="41" t="str">
        <f t="shared" si="1"/>
        <v>PROX3</v>
      </c>
    </row>
    <row r="1668" ht="15.75" customHeight="1">
      <c r="A1668" s="10" t="s">
        <v>1095</v>
      </c>
      <c r="B1668" s="10" t="s">
        <v>122</v>
      </c>
      <c r="C1668" s="41">
        <f t="array" ref="C1668">IF(IFERROR(INDEX(CATALOG_POINTS,MATCH(A1668,CATALOG_TASK,0)),"")="",IF(MAX(IF(IFERROR(FIND(CATALOG_BASE,A1668),0)=1,CATALOG_POINTS,0))=0,DAILY_POST_POINTS,MAX(IF(IFERROR(FIND(CATALOG_BASE,A1668),0)=1,CATALOG_POINTS,0))),IFERROR(INDEX(CATALOG_POINTS,MATCH(A1668,CATALOG_TASK,0)),""))</f>
        <v>1</v>
      </c>
      <c r="D1668" s="10" t="s">
        <v>1095</v>
      </c>
      <c r="E1668" s="41" t="str">
        <f t="shared" si="1"/>
        <v>PROX3</v>
      </c>
    </row>
    <row r="1669" ht="15.75" customHeight="1">
      <c r="A1669" s="10" t="s">
        <v>1096</v>
      </c>
      <c r="B1669" s="10" t="s">
        <v>135</v>
      </c>
      <c r="C1669" s="41">
        <f t="array" ref="C1669">IF(IFERROR(INDEX(CATALOG_POINTS,MATCH(A1669,CATALOG_TASK,0)),"")="",IF(MAX(IF(IFERROR(FIND(CATALOG_BASE,A1669),0)=1,CATALOG_POINTS,0))=0,DAILY_POST_POINTS,MAX(IF(IFERROR(FIND(CATALOG_BASE,A1669),0)=1,CATALOG_POINTS,0))),IFERROR(INDEX(CATALOG_POINTS,MATCH(A1669,CATALOG_TASK,0)),""))</f>
        <v>1</v>
      </c>
      <c r="D1669" s="10" t="s">
        <v>1096</v>
      </c>
      <c r="E1669" s="41" t="str">
        <f t="shared" si="1"/>
        <v>PROX3</v>
      </c>
    </row>
    <row r="1670" ht="15.75" customHeight="1">
      <c r="A1670" s="10" t="s">
        <v>1097</v>
      </c>
      <c r="B1670" s="10" t="s">
        <v>120</v>
      </c>
      <c r="C1670" s="41">
        <f t="array" ref="C1670">IF(IFERROR(INDEX(CATALOG_POINTS,MATCH(A1670,CATALOG_TASK,0)),"")="",IF(MAX(IF(IFERROR(FIND(CATALOG_BASE,A1670),0)=1,CATALOG_POINTS,0))=0,DAILY_POST_POINTS,MAX(IF(IFERROR(FIND(CATALOG_BASE,A1670),0)=1,CATALOG_POINTS,0))),IFERROR(INDEX(CATALOG_POINTS,MATCH(A1670,CATALOG_TASK,0)),""))</f>
        <v>1</v>
      </c>
      <c r="D1670" s="10" t="s">
        <v>1097</v>
      </c>
      <c r="E1670" s="41" t="str">
        <f t="shared" si="1"/>
        <v>PROX4</v>
      </c>
    </row>
    <row r="1671" ht="15.75" customHeight="1">
      <c r="A1671" s="10" t="s">
        <v>24</v>
      </c>
      <c r="B1671" s="10" t="s">
        <v>121</v>
      </c>
      <c r="C1671" s="41">
        <f t="array" ref="C1671">IF(IFERROR(INDEX(CATALOG_POINTS,MATCH(A1671,CATALOG_TASK,0)),"")="",IF(MAX(IF(IFERROR(FIND(CATALOG_BASE,A1671),0)=1,CATALOG_POINTS,0))=0,DAILY_POST_POINTS,MAX(IF(IFERROR(FIND(CATALOG_BASE,A1671),0)=1,CATALOG_POINTS,0))),IFERROR(INDEX(CATALOG_POINTS,MATCH(A1671,CATALOG_TASK,0)),""))</f>
        <v>2</v>
      </c>
      <c r="D1671" s="10" t="s">
        <v>1098</v>
      </c>
      <c r="E1671" s="41" t="str">
        <f t="shared" si="1"/>
        <v>PROX3</v>
      </c>
    </row>
    <row r="1672" ht="15.75" customHeight="1">
      <c r="A1672" s="10" t="s">
        <v>168</v>
      </c>
      <c r="B1672" s="10" t="s">
        <v>149</v>
      </c>
      <c r="C1672" s="41">
        <f t="array" ref="C1672">IF(IFERROR(INDEX(CATALOG_POINTS,MATCH(A1672,CATALOG_TASK,0)),"")="",IF(MAX(IF(IFERROR(FIND(CATALOG_BASE,A1672),0)=1,CATALOG_POINTS,0))=0,DAILY_POST_POINTS,MAX(IF(IFERROR(FIND(CATALOG_BASE,A1672),0)=1,CATALOG_POINTS,0))),IFERROR(INDEX(CATALOG_POINTS,MATCH(A1672,CATALOG_TASK,0)),""))</f>
        <v>1</v>
      </c>
      <c r="D1672" s="10" t="s">
        <v>1098</v>
      </c>
      <c r="E1672" s="41" t="str">
        <f t="shared" si="1"/>
        <v>PROX3</v>
      </c>
    </row>
    <row r="1673" ht="15.75" customHeight="1">
      <c r="A1673" s="10" t="s">
        <v>168</v>
      </c>
      <c r="B1673" s="10" t="s">
        <v>121</v>
      </c>
      <c r="C1673" s="41">
        <f t="array" ref="C1673">IF(IFERROR(INDEX(CATALOG_POINTS,MATCH(A1673,CATALOG_TASK,0)),"")="",IF(MAX(IF(IFERROR(FIND(CATALOG_BASE,A1673),0)=1,CATALOG_POINTS,0))=0,DAILY_POST_POINTS,MAX(IF(IFERROR(FIND(CATALOG_BASE,A1673),0)=1,CATALOG_POINTS,0))),IFERROR(INDEX(CATALOG_POINTS,MATCH(A1673,CATALOG_TASK,0)),""))</f>
        <v>1</v>
      </c>
      <c r="D1673" s="10" t="s">
        <v>1098</v>
      </c>
      <c r="E1673" s="41" t="str">
        <f t="shared" si="1"/>
        <v>PROX3</v>
      </c>
    </row>
    <row r="1674" ht="15.75" customHeight="1">
      <c r="A1674" s="10" t="s">
        <v>1098</v>
      </c>
      <c r="B1674" s="10" t="s">
        <v>120</v>
      </c>
      <c r="C1674" s="41">
        <f t="array" ref="C1674">IF(IFERROR(INDEX(CATALOG_POINTS,MATCH(A1674,CATALOG_TASK,0)),"")="",IF(MAX(IF(IFERROR(FIND(CATALOG_BASE,A1674),0)=1,CATALOG_POINTS,0))=0,DAILY_POST_POINTS,MAX(IF(IFERROR(FIND(CATALOG_BASE,A1674),0)=1,CATALOG_POINTS,0))),IFERROR(INDEX(CATALOG_POINTS,MATCH(A1674,CATALOG_TASK,0)),""))</f>
        <v>1</v>
      </c>
      <c r="D1674" s="10" t="s">
        <v>1098</v>
      </c>
      <c r="E1674" s="41" t="str">
        <f t="shared" si="1"/>
        <v>PROX3</v>
      </c>
    </row>
    <row r="1675" ht="15.75" customHeight="1">
      <c r="A1675" s="10" t="s">
        <v>1099</v>
      </c>
      <c r="B1675" s="10" t="s">
        <v>125</v>
      </c>
      <c r="C1675" s="41">
        <f t="array" ref="C1675">IF(IFERROR(INDEX(CATALOG_POINTS,MATCH(A1675,CATALOG_TASK,0)),"")="",IF(MAX(IF(IFERROR(FIND(CATALOG_BASE,A1675),0)=1,CATALOG_POINTS,0))=0,DAILY_POST_POINTS,MAX(IF(IFERROR(FIND(CATALOG_BASE,A1675),0)=1,CATALOG_POINTS,0))),IFERROR(INDEX(CATALOG_POINTS,MATCH(A1675,CATALOG_TASK,0)),""))</f>
        <v>1</v>
      </c>
      <c r="D1675" s="10" t="s">
        <v>1099</v>
      </c>
      <c r="E1675" s="41" t="str">
        <f t="shared" si="1"/>
        <v>PROX3</v>
      </c>
    </row>
    <row r="1676" ht="15.75" customHeight="1">
      <c r="A1676" s="10" t="s">
        <v>1100</v>
      </c>
      <c r="B1676" s="10" t="s">
        <v>120</v>
      </c>
      <c r="C1676" s="41">
        <f t="array" ref="C1676">IF(IFERROR(INDEX(CATALOG_POINTS,MATCH(A1676,CATALOG_TASK,0)),"")="",IF(MAX(IF(IFERROR(FIND(CATALOG_BASE,A1676),0)=1,CATALOG_POINTS,0))=0,DAILY_POST_POINTS,MAX(IF(IFERROR(FIND(CATALOG_BASE,A1676),0)=1,CATALOG_POINTS,0))),IFERROR(INDEX(CATALOG_POINTS,MATCH(A1676,CATALOG_TASK,0)),""))</f>
        <v>1</v>
      </c>
      <c r="D1676" s="10" t="s">
        <v>1100</v>
      </c>
      <c r="E1676" s="41" t="str">
        <f t="shared" si="1"/>
        <v>E0</v>
      </c>
    </row>
    <row r="1677" ht="15.75" customHeight="1">
      <c r="A1677" s="10" t="s">
        <v>1101</v>
      </c>
      <c r="B1677" s="10" t="s">
        <v>126</v>
      </c>
      <c r="C1677" s="41">
        <f t="array" ref="C1677">IF(IFERROR(INDEX(CATALOG_POINTS,MATCH(A1677,CATALOG_TASK,0)),"")="",IF(MAX(IF(IFERROR(FIND(CATALOG_BASE,A1677),0)=1,CATALOG_POINTS,0))=0,DAILY_POST_POINTS,MAX(IF(IFERROR(FIND(CATALOG_BASE,A1677),0)=1,CATALOG_POINTS,0))),IFERROR(INDEX(CATALOG_POINTS,MATCH(A1677,CATALOG_TASK,0)),""))</f>
        <v>1</v>
      </c>
      <c r="D1677" s="10" t="s">
        <v>1101</v>
      </c>
      <c r="E1677" s="41" t="str">
        <f t="shared" si="1"/>
        <v>PROX3</v>
      </c>
    </row>
    <row r="1678" ht="15.75" customHeight="1">
      <c r="A1678" s="10" t="s">
        <v>1102</v>
      </c>
      <c r="B1678" s="10" t="s">
        <v>119</v>
      </c>
      <c r="C1678" s="41">
        <f t="array" ref="C1678">IF(IFERROR(INDEX(CATALOG_POINTS,MATCH(A1678,CATALOG_TASK,0)),"")="",IF(MAX(IF(IFERROR(FIND(CATALOG_BASE,A1678),0)=1,CATALOG_POINTS,0))=0,DAILY_POST_POINTS,MAX(IF(IFERROR(FIND(CATALOG_BASE,A1678),0)=1,CATALOG_POINTS,0))),IFERROR(INDEX(CATALOG_POINTS,MATCH(A1678,CATALOG_TASK,0)),""))</f>
        <v>1</v>
      </c>
      <c r="D1678" s="10" t="s">
        <v>1102</v>
      </c>
      <c r="E1678" s="41" t="str">
        <f t="shared" si="1"/>
        <v>PROX3</v>
      </c>
    </row>
    <row r="1679" ht="15.75" customHeight="1">
      <c r="A1679" s="10" t="s">
        <v>1103</v>
      </c>
      <c r="B1679" s="10" t="s">
        <v>131</v>
      </c>
      <c r="C1679" s="41">
        <f t="array" ref="C1679">IF(IFERROR(INDEX(CATALOG_POINTS,MATCH(A1679,CATALOG_TASK,0)),"")="",IF(MAX(IF(IFERROR(FIND(CATALOG_BASE,A1679),0)=1,CATALOG_POINTS,0))=0,DAILY_POST_POINTS,MAX(IF(IFERROR(FIND(CATALOG_BASE,A1679),0)=1,CATALOG_POINTS,0))),IFERROR(INDEX(CATALOG_POINTS,MATCH(A1679,CATALOG_TASK,0)),""))</f>
        <v>1</v>
      </c>
      <c r="D1679" s="10" t="s">
        <v>1103</v>
      </c>
      <c r="E1679" s="41" t="str">
        <f t="shared" si="1"/>
        <v>PROX3</v>
      </c>
    </row>
    <row r="1680" ht="15.75" customHeight="1">
      <c r="A1680" s="10" t="s">
        <v>1104</v>
      </c>
      <c r="B1680" s="10" t="s">
        <v>137</v>
      </c>
      <c r="C1680" s="41">
        <f t="array" ref="C1680">IF(IFERROR(INDEX(CATALOG_POINTS,MATCH(A1680,CATALOG_TASK,0)),"")="",IF(MAX(IF(IFERROR(FIND(CATALOG_BASE,A1680),0)=1,CATALOG_POINTS,0))=0,DAILY_POST_POINTS,MAX(IF(IFERROR(FIND(CATALOG_BASE,A1680),0)=1,CATALOG_POINTS,0))),IFERROR(INDEX(CATALOG_POINTS,MATCH(A1680,CATALOG_TASK,0)),""))</f>
        <v>1</v>
      </c>
      <c r="D1680" s="10" t="s">
        <v>1104</v>
      </c>
      <c r="E1680" s="41" t="str">
        <f t="shared" si="1"/>
        <v>PROX3</v>
      </c>
    </row>
    <row r="1681" ht="15.75" customHeight="1">
      <c r="A1681" s="10" t="s">
        <v>37</v>
      </c>
      <c r="B1681" s="10" t="s">
        <v>121</v>
      </c>
      <c r="C1681" s="41">
        <f t="array" ref="C1681">IF(IFERROR(INDEX(CATALOG_POINTS,MATCH(A1681,CATALOG_TASK,0)),"")="",IF(MAX(IF(IFERROR(FIND(CATALOG_BASE,A1681),0)=1,CATALOG_POINTS,0))=0,DAILY_POST_POINTS,MAX(IF(IFERROR(FIND(CATALOG_BASE,A1681),0)=1,CATALOG_POINTS,0))),IFERROR(INDEX(CATALOG_POINTS,MATCH(A1681,CATALOG_TASK,0)),""))</f>
        <v>2</v>
      </c>
      <c r="D1681" s="10" t="s">
        <v>1104</v>
      </c>
      <c r="E1681" s="41" t="str">
        <f t="shared" si="1"/>
        <v>PROX3</v>
      </c>
    </row>
    <row r="1682" ht="15.75" customHeight="1">
      <c r="A1682" s="10" t="s">
        <v>1105</v>
      </c>
      <c r="B1682" s="10" t="s">
        <v>123</v>
      </c>
      <c r="C1682" s="41">
        <f t="array" ref="C1682">IF(IFERROR(INDEX(CATALOG_POINTS,MATCH(A1682,CATALOG_TASK,0)),"")="",IF(MAX(IF(IFERROR(FIND(CATALOG_BASE,A1682),0)=1,CATALOG_POINTS,0))=0,DAILY_POST_POINTS,MAX(IF(IFERROR(FIND(CATALOG_BASE,A1682),0)=1,CATALOG_POINTS,0))),IFERROR(INDEX(CATALOG_POINTS,MATCH(A1682,CATALOG_TASK,0)),""))</f>
        <v>1</v>
      </c>
      <c r="D1682" s="10" t="s">
        <v>1105</v>
      </c>
      <c r="E1682" s="41" t="str">
        <f t="shared" si="1"/>
        <v>PROX4</v>
      </c>
    </row>
    <row r="1683" ht="15.75" customHeight="1">
      <c r="A1683" s="10" t="s">
        <v>37</v>
      </c>
      <c r="B1683" s="10" t="s">
        <v>127</v>
      </c>
      <c r="C1683" s="41">
        <f t="array" ref="C1683">IF(IFERROR(INDEX(CATALOG_POINTS,MATCH(A1683,CATALOG_TASK,0)),"")="",IF(MAX(IF(IFERROR(FIND(CATALOG_BASE,A1683),0)=1,CATALOG_POINTS,0))=0,DAILY_POST_POINTS,MAX(IF(IFERROR(FIND(CATALOG_BASE,A1683),0)=1,CATALOG_POINTS,0))),IFERROR(INDEX(CATALOG_POINTS,MATCH(A1683,CATALOG_TASK,0)),""))</f>
        <v>2</v>
      </c>
      <c r="D1683" s="10" t="s">
        <v>1106</v>
      </c>
      <c r="E1683" s="41" t="str">
        <f t="shared" si="1"/>
        <v>E0</v>
      </c>
    </row>
    <row r="1684" ht="15.75" customHeight="1">
      <c r="A1684" s="10" t="s">
        <v>1107</v>
      </c>
      <c r="B1684" s="10" t="s">
        <v>132</v>
      </c>
      <c r="C1684" s="41">
        <f t="array" ref="C1684">IF(IFERROR(INDEX(CATALOG_POINTS,MATCH(A1684,CATALOG_TASK,0)),"")="",IF(MAX(IF(IFERROR(FIND(CATALOG_BASE,A1684),0)=1,CATALOG_POINTS,0))=0,DAILY_POST_POINTS,MAX(IF(IFERROR(FIND(CATALOG_BASE,A1684),0)=1,CATALOG_POINTS,0))),IFERROR(INDEX(CATALOG_POINTS,MATCH(A1684,CATALOG_TASK,0)),""))</f>
        <v>1</v>
      </c>
      <c r="D1684" s="10" t="s">
        <v>1107</v>
      </c>
      <c r="E1684" s="41" t="str">
        <f t="shared" si="1"/>
        <v>SEM</v>
      </c>
    </row>
    <row r="1685" ht="15.75" customHeight="1">
      <c r="A1685" s="10" t="s">
        <v>1108</v>
      </c>
      <c r="B1685" s="10" t="s">
        <v>138</v>
      </c>
      <c r="C1685" s="41">
        <f t="array" ref="C1685">IF(IFERROR(INDEX(CATALOG_POINTS,MATCH(A1685,CATALOG_TASK,0)),"")="",IF(MAX(IF(IFERROR(FIND(CATALOG_BASE,A1685),0)=1,CATALOG_POINTS,0))=0,DAILY_POST_POINTS,MAX(IF(IFERROR(FIND(CATALOG_BASE,A1685),0)=1,CATALOG_POINTS,0))),IFERROR(INDEX(CATALOG_POINTS,MATCH(A1685,CATALOG_TASK,0)),""))</f>
        <v>1</v>
      </c>
      <c r="D1685" s="10" t="s">
        <v>1109</v>
      </c>
      <c r="E1685" s="41" t="str">
        <f t="shared" si="1"/>
        <v/>
      </c>
    </row>
    <row r="1686" ht="15.75" customHeight="1">
      <c r="A1686" s="10" t="s">
        <v>1108</v>
      </c>
      <c r="B1686" s="10" t="s">
        <v>138</v>
      </c>
      <c r="C1686" s="41">
        <f t="array" ref="C1686">IF(IFERROR(INDEX(CATALOG_POINTS,MATCH(A1686,CATALOG_TASK,0)),"")="",IF(MAX(IF(IFERROR(FIND(CATALOG_BASE,A1686),0)=1,CATALOG_POINTS,0))=0,DAILY_POST_POINTS,MAX(IF(IFERROR(FIND(CATALOG_BASE,A1686),0)=1,CATALOG_POINTS,0))),IFERROR(INDEX(CATALOG_POINTS,MATCH(A1686,CATALOG_TASK,0)),""))</f>
        <v>1</v>
      </c>
      <c r="D1686" s="10" t="s">
        <v>1109</v>
      </c>
      <c r="E1686" s="41" t="str">
        <f t="shared" si="1"/>
        <v/>
      </c>
    </row>
    <row r="1687" ht="15.75" customHeight="1">
      <c r="A1687" s="10" t="s">
        <v>1108</v>
      </c>
      <c r="B1687" s="10" t="s">
        <v>138</v>
      </c>
      <c r="C1687" s="41">
        <f t="array" ref="C1687">IF(IFERROR(INDEX(CATALOG_POINTS,MATCH(A1687,CATALOG_TASK,0)),"")="",IF(MAX(IF(IFERROR(FIND(CATALOG_BASE,A1687),0)=1,CATALOG_POINTS,0))=0,DAILY_POST_POINTS,MAX(IF(IFERROR(FIND(CATALOG_BASE,A1687),0)=1,CATALOG_POINTS,0))),IFERROR(INDEX(CATALOG_POINTS,MATCH(A1687,CATALOG_TASK,0)),""))</f>
        <v>1</v>
      </c>
      <c r="D1687" s="10" t="s">
        <v>1109</v>
      </c>
      <c r="E1687" s="41" t="str">
        <f t="shared" si="1"/>
        <v/>
      </c>
    </row>
    <row r="1688" ht="15.75" customHeight="1">
      <c r="A1688" s="10" t="s">
        <v>1109</v>
      </c>
      <c r="B1688" s="10" t="s">
        <v>133</v>
      </c>
      <c r="C1688" s="41">
        <f t="array" ref="C1688">IF(IFERROR(INDEX(CATALOG_POINTS,MATCH(A1688,CATALOG_TASK,0)),"")="",IF(MAX(IF(IFERROR(FIND(CATALOG_BASE,A1688),0)=1,CATALOG_POINTS,0))=0,DAILY_POST_POINTS,MAX(IF(IFERROR(FIND(CATALOG_BASE,A1688),0)=1,CATALOG_POINTS,0))),IFERROR(INDEX(CATALOG_POINTS,MATCH(A1688,CATALOG_TASK,0)),""))</f>
        <v>1</v>
      </c>
      <c r="D1688" s="10" t="s">
        <v>1109</v>
      </c>
      <c r="E1688" s="41" t="str">
        <f t="shared" si="1"/>
        <v/>
      </c>
    </row>
    <row r="1689" ht="15.75" customHeight="1">
      <c r="A1689" s="10" t="s">
        <v>1108</v>
      </c>
      <c r="B1689" s="10" t="s">
        <v>138</v>
      </c>
      <c r="C1689" s="41">
        <f t="array" ref="C1689">IF(IFERROR(INDEX(CATALOG_POINTS,MATCH(A1689,CATALOG_TASK,0)),"")="",IF(MAX(IF(IFERROR(FIND(CATALOG_BASE,A1689),0)=1,CATALOG_POINTS,0))=0,DAILY_POST_POINTS,MAX(IF(IFERROR(FIND(CATALOG_BASE,A1689),0)=1,CATALOG_POINTS,0))),IFERROR(INDEX(CATALOG_POINTS,MATCH(A1689,CATALOG_TASK,0)),""))</f>
        <v>1</v>
      </c>
      <c r="D1689" s="10" t="s">
        <v>1109</v>
      </c>
      <c r="E1689" s="41" t="str">
        <f t="shared" si="1"/>
        <v/>
      </c>
    </row>
    <row r="1690" ht="15.75" customHeight="1">
      <c r="A1690" s="10" t="s">
        <v>52</v>
      </c>
      <c r="B1690" s="10" t="s">
        <v>151</v>
      </c>
      <c r="C1690" s="41">
        <f t="array" ref="C1690">IF(IFERROR(INDEX(CATALOG_POINTS,MATCH(A1690,CATALOG_TASK,0)),"")="",IF(MAX(IF(IFERROR(FIND(CATALOG_BASE,A1690),0)=1,CATALOG_POINTS,0))=0,DAILY_POST_POINTS,MAX(IF(IFERROR(FIND(CATALOG_BASE,A1690),0)=1,CATALOG_POINTS,0))),IFERROR(INDEX(CATALOG_POINTS,MATCH(A1690,CATALOG_TASK,0)),""))</f>
        <v>10</v>
      </c>
      <c r="D1690" s="10" t="s">
        <v>1110</v>
      </c>
      <c r="E1690" s="41" t="str">
        <f t="shared" si="1"/>
        <v/>
      </c>
    </row>
    <row r="1691" ht="15.75" customHeight="1">
      <c r="A1691" s="10" t="s">
        <v>37</v>
      </c>
      <c r="B1691" s="10" t="s">
        <v>121</v>
      </c>
      <c r="C1691" s="41">
        <f t="array" ref="C1691">IF(IFERROR(INDEX(CATALOG_POINTS,MATCH(A1691,CATALOG_TASK,0)),"")="",IF(MAX(IF(IFERROR(FIND(CATALOG_BASE,A1691),0)=1,CATALOG_POINTS,0))=0,DAILY_POST_POINTS,MAX(IF(IFERROR(FIND(CATALOG_BASE,A1691),0)=1,CATALOG_POINTS,0))),IFERROR(INDEX(CATALOG_POINTS,MATCH(A1691,CATALOG_TASK,0)),""))</f>
        <v>2</v>
      </c>
      <c r="D1691" s="10" t="s">
        <v>1110</v>
      </c>
      <c r="E1691" s="41" t="str">
        <f t="shared" si="1"/>
        <v/>
      </c>
    </row>
    <row r="1692" ht="15.75" customHeight="1">
      <c r="A1692" s="10" t="s">
        <v>37</v>
      </c>
      <c r="B1692" s="10" t="s">
        <v>124</v>
      </c>
      <c r="C1692" s="41">
        <f t="array" ref="C1692">IF(IFERROR(INDEX(CATALOG_POINTS,MATCH(A1692,CATALOG_TASK,0)),"")="",IF(MAX(IF(IFERROR(FIND(CATALOG_BASE,A1692),0)=1,CATALOG_POINTS,0))=0,DAILY_POST_POINTS,MAX(IF(IFERROR(FIND(CATALOG_BASE,A1692),0)=1,CATALOG_POINTS,0))),IFERROR(INDEX(CATALOG_POINTS,MATCH(A1692,CATALOG_TASK,0)),""))</f>
        <v>2</v>
      </c>
      <c r="D1692" s="10" t="s">
        <v>1110</v>
      </c>
      <c r="E1692" s="41" t="str">
        <f t="shared" si="1"/>
        <v/>
      </c>
    </row>
    <row r="1693" ht="15.75" customHeight="1">
      <c r="A1693" s="10" t="s">
        <v>1110</v>
      </c>
      <c r="B1693" s="10" t="s">
        <v>126</v>
      </c>
      <c r="C1693" s="41">
        <f t="array" ref="C1693">IF(IFERROR(INDEX(CATALOG_POINTS,MATCH(A1693,CATALOG_TASK,0)),"")="",IF(MAX(IF(IFERROR(FIND(CATALOG_BASE,A1693),0)=1,CATALOG_POINTS,0))=0,DAILY_POST_POINTS,MAX(IF(IFERROR(FIND(CATALOG_BASE,A1693),0)=1,CATALOG_POINTS,0))),IFERROR(INDEX(CATALOG_POINTS,MATCH(A1693,CATALOG_TASK,0)),""))</f>
        <v>1</v>
      </c>
      <c r="D1693" s="10" t="s">
        <v>1110</v>
      </c>
      <c r="E1693" s="41" t="str">
        <f t="shared" si="1"/>
        <v/>
      </c>
    </row>
    <row r="1694" ht="15.75" customHeight="1">
      <c r="A1694" s="10" t="s">
        <v>37</v>
      </c>
      <c r="B1694" s="10" t="s">
        <v>124</v>
      </c>
      <c r="C1694" s="41">
        <f t="array" ref="C1694">IF(IFERROR(INDEX(CATALOG_POINTS,MATCH(A1694,CATALOG_TASK,0)),"")="",IF(MAX(IF(IFERROR(FIND(CATALOG_BASE,A1694),0)=1,CATALOG_POINTS,0))=0,DAILY_POST_POINTS,MAX(IF(IFERROR(FIND(CATALOG_BASE,A1694),0)=1,CATALOG_POINTS,0))),IFERROR(INDEX(CATALOG_POINTS,MATCH(A1694,CATALOG_TASK,0)),""))</f>
        <v>2</v>
      </c>
      <c r="D1694" s="10" t="s">
        <v>1111</v>
      </c>
      <c r="E1694" s="41" t="str">
        <f t="shared" si="1"/>
        <v>PROX3</v>
      </c>
    </row>
    <row r="1695" ht="15.75" customHeight="1">
      <c r="A1695" s="10" t="s">
        <v>1111</v>
      </c>
      <c r="B1695" s="10" t="s">
        <v>117</v>
      </c>
      <c r="C1695" s="41">
        <f t="array" ref="C1695">IF(IFERROR(INDEX(CATALOG_POINTS,MATCH(A1695,CATALOG_TASK,0)),"")="",IF(MAX(IF(IFERROR(FIND(CATALOG_BASE,A1695),0)=1,CATALOG_POINTS,0))=0,DAILY_POST_POINTS,MAX(IF(IFERROR(FIND(CATALOG_BASE,A1695),0)=1,CATALOG_POINTS,0))),IFERROR(INDEX(CATALOG_POINTS,MATCH(A1695,CATALOG_TASK,0)),""))</f>
        <v>1</v>
      </c>
      <c r="D1695" s="10" t="s">
        <v>1111</v>
      </c>
      <c r="E1695" s="41" t="str">
        <f t="shared" si="1"/>
        <v>PROX3</v>
      </c>
    </row>
    <row r="1696" ht="15.75" customHeight="1">
      <c r="A1696" s="10" t="s">
        <v>1112</v>
      </c>
      <c r="B1696" s="10" t="s">
        <v>131</v>
      </c>
      <c r="C1696" s="41">
        <f t="array" ref="C1696">IF(IFERROR(INDEX(CATALOG_POINTS,MATCH(A1696,CATALOG_TASK,0)),"")="",IF(MAX(IF(IFERROR(FIND(CATALOG_BASE,A1696),0)=1,CATALOG_POINTS,0))=0,DAILY_POST_POINTS,MAX(IF(IFERROR(FIND(CATALOG_BASE,A1696),0)=1,CATALOG_POINTS,0))),IFERROR(INDEX(CATALOG_POINTS,MATCH(A1696,CATALOG_TASK,0)),""))</f>
        <v>1</v>
      </c>
      <c r="D1696" s="10" t="s">
        <v>1112</v>
      </c>
      <c r="E1696" s="41" t="str">
        <f t="shared" si="1"/>
        <v/>
      </c>
    </row>
    <row r="1697" ht="15.75" customHeight="1">
      <c r="A1697" s="10" t="s">
        <v>1113</v>
      </c>
      <c r="B1697" s="10" t="s">
        <v>123</v>
      </c>
      <c r="C1697" s="41">
        <f t="array" ref="C1697">IF(IFERROR(INDEX(CATALOG_POINTS,MATCH(A1697,CATALOG_TASK,0)),"")="",IF(MAX(IF(IFERROR(FIND(CATALOG_BASE,A1697),0)=1,CATALOG_POINTS,0))=0,DAILY_POST_POINTS,MAX(IF(IFERROR(FIND(CATALOG_BASE,A1697),0)=1,CATALOG_POINTS,0))),IFERROR(INDEX(CATALOG_POINTS,MATCH(A1697,CATALOG_TASK,0)),""))</f>
        <v>1</v>
      </c>
      <c r="D1697" s="10" t="s">
        <v>1113</v>
      </c>
      <c r="E1697" s="41" t="str">
        <f t="shared" si="1"/>
        <v>E0</v>
      </c>
    </row>
    <row r="1698" ht="15.75" customHeight="1">
      <c r="A1698" s="10" t="s">
        <v>1114</v>
      </c>
      <c r="B1698" s="10" t="s">
        <v>128</v>
      </c>
      <c r="C1698" s="41">
        <f t="array" ref="C1698">IF(IFERROR(INDEX(CATALOG_POINTS,MATCH(A1698,CATALOG_TASK,0)),"")="",IF(MAX(IF(IFERROR(FIND(CATALOG_BASE,A1698),0)=1,CATALOG_POINTS,0))=0,DAILY_POST_POINTS,MAX(IF(IFERROR(FIND(CATALOG_BASE,A1698),0)=1,CATALOG_POINTS,0))),IFERROR(INDEX(CATALOG_POINTS,MATCH(A1698,CATALOG_TASK,0)),""))</f>
        <v>1</v>
      </c>
      <c r="D1698" s="10" t="s">
        <v>1114</v>
      </c>
      <c r="E1698" s="41" t="str">
        <f t="shared" si="1"/>
        <v>PROX3</v>
      </c>
    </row>
    <row r="1699" ht="15.75" customHeight="1">
      <c r="A1699" s="10" t="s">
        <v>37</v>
      </c>
      <c r="B1699" s="10" t="s">
        <v>128</v>
      </c>
      <c r="C1699" s="41">
        <f t="array" ref="C1699">IF(IFERROR(INDEX(CATALOG_POINTS,MATCH(A1699,CATALOG_TASK,0)),"")="",IF(MAX(IF(IFERROR(FIND(CATALOG_BASE,A1699),0)=1,CATALOG_POINTS,0))=0,DAILY_POST_POINTS,MAX(IF(IFERROR(FIND(CATALOG_BASE,A1699),0)=1,CATALOG_POINTS,0))),IFERROR(INDEX(CATALOG_POINTS,MATCH(A1699,CATALOG_TASK,0)),""))</f>
        <v>2</v>
      </c>
      <c r="D1699" s="10" t="s">
        <v>1114</v>
      </c>
      <c r="E1699" s="41" t="str">
        <f t="shared" si="1"/>
        <v>PROX3</v>
      </c>
    </row>
    <row r="1700" ht="15.75" customHeight="1">
      <c r="A1700" s="10" t="s">
        <v>37</v>
      </c>
      <c r="B1700" s="10" t="s">
        <v>117</v>
      </c>
      <c r="C1700" s="41">
        <f t="array" ref="C1700">IF(IFERROR(INDEX(CATALOG_POINTS,MATCH(A1700,CATALOG_TASK,0)),"")="",IF(MAX(IF(IFERROR(FIND(CATALOG_BASE,A1700),0)=1,CATALOG_POINTS,0))=0,DAILY_POST_POINTS,MAX(IF(IFERROR(FIND(CATALOG_BASE,A1700),0)=1,CATALOG_POINTS,0))),IFERROR(INDEX(CATALOG_POINTS,MATCH(A1700,CATALOG_TASK,0)),""))</f>
        <v>2</v>
      </c>
      <c r="D1700" s="10" t="s">
        <v>1114</v>
      </c>
      <c r="E1700" s="41" t="str">
        <f t="shared" si="1"/>
        <v>PROX3</v>
      </c>
    </row>
    <row r="1701" ht="15.75" customHeight="1">
      <c r="A1701" s="10" t="s">
        <v>1115</v>
      </c>
      <c r="B1701" s="10" t="s">
        <v>125</v>
      </c>
      <c r="C1701" s="41">
        <f t="array" ref="C1701">IF(IFERROR(INDEX(CATALOG_POINTS,MATCH(A1701,CATALOG_TASK,0)),"")="",IF(MAX(IF(IFERROR(FIND(CATALOG_BASE,A1701),0)=1,CATALOG_POINTS,0))=0,DAILY_POST_POINTS,MAX(IF(IFERROR(FIND(CATALOG_BASE,A1701),0)=1,CATALOG_POINTS,0))),IFERROR(INDEX(CATALOG_POINTS,MATCH(A1701,CATALOG_TASK,0)),""))</f>
        <v>1</v>
      </c>
      <c r="D1701" s="10" t="s">
        <v>1115</v>
      </c>
      <c r="E1701" s="41" t="str">
        <f t="shared" si="1"/>
        <v>PROX3</v>
      </c>
    </row>
    <row r="1702" ht="15.75" customHeight="1">
      <c r="A1702" s="10" t="s">
        <v>1116</v>
      </c>
      <c r="B1702" s="10" t="s">
        <v>126</v>
      </c>
      <c r="C1702" s="41">
        <f t="array" ref="C1702">IF(IFERROR(INDEX(CATALOG_POINTS,MATCH(A1702,CATALOG_TASK,0)),"")="",IF(MAX(IF(IFERROR(FIND(CATALOG_BASE,A1702),0)=1,CATALOG_POINTS,0))=0,DAILY_POST_POINTS,MAX(IF(IFERROR(FIND(CATALOG_BASE,A1702),0)=1,CATALOG_POINTS,0))),IFERROR(INDEX(CATALOG_POINTS,MATCH(A1702,CATALOG_TASK,0)),""))</f>
        <v>1</v>
      </c>
      <c r="D1702" s="10" t="s">
        <v>1116</v>
      </c>
      <c r="E1702" s="41" t="str">
        <f t="shared" si="1"/>
        <v>PROX3</v>
      </c>
    </row>
    <row r="1703" ht="15.75" customHeight="1">
      <c r="A1703" s="10" t="s">
        <v>1117</v>
      </c>
      <c r="B1703" s="10" t="s">
        <v>119</v>
      </c>
      <c r="C1703" s="41">
        <f t="array" ref="C1703">IF(IFERROR(INDEX(CATALOG_POINTS,MATCH(A1703,CATALOG_TASK,0)),"")="",IF(MAX(IF(IFERROR(FIND(CATALOG_BASE,A1703),0)=1,CATALOG_POINTS,0))=0,DAILY_POST_POINTS,MAX(IF(IFERROR(FIND(CATALOG_BASE,A1703),0)=1,CATALOG_POINTS,0))),IFERROR(INDEX(CATALOG_POINTS,MATCH(A1703,CATALOG_TASK,0)),""))</f>
        <v>1</v>
      </c>
      <c r="D1703" s="10" t="s">
        <v>1117</v>
      </c>
      <c r="E1703" s="41" t="str">
        <f t="shared" si="1"/>
        <v>PROX4</v>
      </c>
    </row>
    <row r="1704" ht="15.75" customHeight="1">
      <c r="A1704" s="10" t="s">
        <v>174</v>
      </c>
      <c r="B1704" s="10" t="s">
        <v>124</v>
      </c>
      <c r="C1704" s="41">
        <f t="array" ref="C1704">IF(IFERROR(INDEX(CATALOG_POINTS,MATCH(A1704,CATALOG_TASK,0)),"")="",IF(MAX(IF(IFERROR(FIND(CATALOG_BASE,A1704),0)=1,CATALOG_POINTS,0))=0,DAILY_POST_POINTS,MAX(IF(IFERROR(FIND(CATALOG_BASE,A1704),0)=1,CATALOG_POINTS,0))),IFERROR(INDEX(CATALOG_POINTS,MATCH(A1704,CATALOG_TASK,0)),""))</f>
        <v>1</v>
      </c>
      <c r="D1704" s="10" t="s">
        <v>1118</v>
      </c>
      <c r="E1704" s="41" t="str">
        <f t="shared" si="1"/>
        <v>PROX3</v>
      </c>
    </row>
    <row r="1705" ht="15.75" customHeight="1">
      <c r="A1705" s="10" t="s">
        <v>37</v>
      </c>
      <c r="B1705" s="10" t="s">
        <v>120</v>
      </c>
      <c r="C1705" s="41">
        <f t="array" ref="C1705">IF(IFERROR(INDEX(CATALOG_POINTS,MATCH(A1705,CATALOG_TASK,0)),"")="",IF(MAX(IF(IFERROR(FIND(CATALOG_BASE,A1705),0)=1,CATALOG_POINTS,0))=0,DAILY_POST_POINTS,MAX(IF(IFERROR(FIND(CATALOG_BASE,A1705),0)=1,CATALOG_POINTS,0))),IFERROR(INDEX(CATALOG_POINTS,MATCH(A1705,CATALOG_TASK,0)),""))</f>
        <v>2</v>
      </c>
      <c r="D1705" s="10" t="s">
        <v>1118</v>
      </c>
      <c r="E1705" s="41" t="str">
        <f t="shared" si="1"/>
        <v>PROX3</v>
      </c>
    </row>
    <row r="1706" ht="15.75" customHeight="1">
      <c r="A1706" s="10" t="s">
        <v>37</v>
      </c>
      <c r="B1706" s="10" t="s">
        <v>119</v>
      </c>
      <c r="C1706" s="41">
        <f t="array" ref="C1706">IF(IFERROR(INDEX(CATALOG_POINTS,MATCH(A1706,CATALOG_TASK,0)),"")="",IF(MAX(IF(IFERROR(FIND(CATALOG_BASE,A1706),0)=1,CATALOG_POINTS,0))=0,DAILY_POST_POINTS,MAX(IF(IFERROR(FIND(CATALOG_BASE,A1706),0)=1,CATALOG_POINTS,0))),IFERROR(INDEX(CATALOG_POINTS,MATCH(A1706,CATALOG_TASK,0)),""))</f>
        <v>2</v>
      </c>
      <c r="D1706" s="10" t="s">
        <v>1118</v>
      </c>
      <c r="E1706" s="41" t="str">
        <f t="shared" si="1"/>
        <v>PROX3</v>
      </c>
    </row>
    <row r="1707" ht="15.75" customHeight="1">
      <c r="A1707" s="10" t="s">
        <v>1118</v>
      </c>
      <c r="B1707" s="10" t="s">
        <v>119</v>
      </c>
      <c r="C1707" s="41">
        <f t="array" ref="C1707">IF(IFERROR(INDEX(CATALOG_POINTS,MATCH(A1707,CATALOG_TASK,0)),"")="",IF(MAX(IF(IFERROR(FIND(CATALOG_BASE,A1707),0)=1,CATALOG_POINTS,0))=0,DAILY_POST_POINTS,MAX(IF(IFERROR(FIND(CATALOG_BASE,A1707),0)=1,CATALOG_POINTS,0))),IFERROR(INDEX(CATALOG_POINTS,MATCH(A1707,CATALOG_TASK,0)),""))</f>
        <v>1</v>
      </c>
      <c r="D1707" s="10" t="s">
        <v>1118</v>
      </c>
      <c r="E1707" s="41" t="str">
        <f t="shared" si="1"/>
        <v>PROX3</v>
      </c>
    </row>
    <row r="1708" ht="15.75" customHeight="1">
      <c r="A1708" s="10" t="s">
        <v>37</v>
      </c>
      <c r="B1708" s="10" t="s">
        <v>124</v>
      </c>
      <c r="C1708" s="41">
        <f t="array" ref="C1708">IF(IFERROR(INDEX(CATALOG_POINTS,MATCH(A1708,CATALOG_TASK,0)),"")="",IF(MAX(IF(IFERROR(FIND(CATALOG_BASE,A1708),0)=1,CATALOG_POINTS,0))=0,DAILY_POST_POINTS,MAX(IF(IFERROR(FIND(CATALOG_BASE,A1708),0)=1,CATALOG_POINTS,0))),IFERROR(INDEX(CATALOG_POINTS,MATCH(A1708,CATALOG_TASK,0)),""))</f>
        <v>2</v>
      </c>
      <c r="D1708" s="10" t="s">
        <v>1119</v>
      </c>
      <c r="E1708" s="41" t="str">
        <f t="shared" si="1"/>
        <v>SE1</v>
      </c>
    </row>
    <row r="1709" ht="15.75" customHeight="1">
      <c r="A1709" s="10" t="s">
        <v>1119</v>
      </c>
      <c r="B1709" s="10" t="s">
        <v>134</v>
      </c>
      <c r="C1709" s="41">
        <f t="array" ref="C1709">IF(IFERROR(INDEX(CATALOG_POINTS,MATCH(A1709,CATALOG_TASK,0)),"")="",IF(MAX(IF(IFERROR(FIND(CATALOG_BASE,A1709),0)=1,CATALOG_POINTS,0))=0,DAILY_POST_POINTS,MAX(IF(IFERROR(FIND(CATALOG_BASE,A1709),0)=1,CATALOG_POINTS,0))),IFERROR(INDEX(CATALOG_POINTS,MATCH(A1709,CATALOG_TASK,0)),""))</f>
        <v>1</v>
      </c>
      <c r="D1709" s="10" t="s">
        <v>1119</v>
      </c>
      <c r="E1709" s="41" t="str">
        <f t="shared" si="1"/>
        <v>SE1</v>
      </c>
    </row>
    <row r="1710" ht="15.75" customHeight="1">
      <c r="A1710" s="10" t="s">
        <v>380</v>
      </c>
      <c r="B1710" s="10" t="s">
        <v>151</v>
      </c>
      <c r="C1710" s="41">
        <f t="array" ref="C1710">IF(IFERROR(INDEX(CATALOG_POINTS,MATCH(A1710,CATALOG_TASK,0)),"")="",IF(MAX(IF(IFERROR(FIND(CATALOG_BASE,A1710),0)=1,CATALOG_POINTS,0))=0,DAILY_POST_POINTS,MAX(IF(IFERROR(FIND(CATALOG_BASE,A1710),0)=1,CATALOG_POINTS,0))),IFERROR(INDEX(CATALOG_POINTS,MATCH(A1710,CATALOG_TASK,0)),""))</f>
        <v>1</v>
      </c>
      <c r="D1710" s="10" t="s">
        <v>1119</v>
      </c>
      <c r="E1710" s="41" t="str">
        <f t="shared" si="1"/>
        <v>SE1</v>
      </c>
    </row>
    <row r="1711" ht="15.75" customHeight="1">
      <c r="A1711" s="10" t="s">
        <v>1120</v>
      </c>
      <c r="B1711" s="10" t="s">
        <v>131</v>
      </c>
      <c r="C1711" s="41">
        <f t="array" ref="C1711">IF(IFERROR(INDEX(CATALOG_POINTS,MATCH(A1711,CATALOG_TASK,0)),"")="",IF(MAX(IF(IFERROR(FIND(CATALOG_BASE,A1711),0)=1,CATALOG_POINTS,0))=0,DAILY_POST_POINTS,MAX(IF(IFERROR(FIND(CATALOG_BASE,A1711),0)=1,CATALOG_POINTS,0))),IFERROR(INDEX(CATALOG_POINTS,MATCH(A1711,CATALOG_TASK,0)),""))</f>
        <v>1</v>
      </c>
      <c r="D1711" s="10" t="s">
        <v>1120</v>
      </c>
      <c r="E1711" s="41" t="str">
        <f t="shared" si="1"/>
        <v>PROX3</v>
      </c>
    </row>
    <row r="1712" ht="15.75" customHeight="1">
      <c r="A1712" s="10" t="s">
        <v>1121</v>
      </c>
      <c r="B1712" s="10" t="s">
        <v>124</v>
      </c>
      <c r="C1712" s="41">
        <f t="array" ref="C1712">IF(IFERROR(INDEX(CATALOG_POINTS,MATCH(A1712,CATALOG_TASK,0)),"")="",IF(MAX(IF(IFERROR(FIND(CATALOG_BASE,A1712),0)=1,CATALOG_POINTS,0))=0,DAILY_POST_POINTS,MAX(IF(IFERROR(FIND(CATALOG_BASE,A1712),0)=1,CATALOG_POINTS,0))),IFERROR(INDEX(CATALOG_POINTS,MATCH(A1712,CATALOG_TASK,0)),""))</f>
        <v>1</v>
      </c>
      <c r="D1712" s="10" t="s">
        <v>1121</v>
      </c>
      <c r="E1712" s="41" t="str">
        <f t="shared" si="1"/>
        <v>PROX3</v>
      </c>
    </row>
    <row r="1713" ht="15.75" customHeight="1">
      <c r="A1713" s="10" t="s">
        <v>1122</v>
      </c>
      <c r="B1713" s="10" t="s">
        <v>120</v>
      </c>
      <c r="C1713" s="41">
        <f t="array" ref="C1713">IF(IFERROR(INDEX(CATALOG_POINTS,MATCH(A1713,CATALOG_TASK,0)),"")="",IF(MAX(IF(IFERROR(FIND(CATALOG_BASE,A1713),0)=1,CATALOG_POINTS,0))=0,DAILY_POST_POINTS,MAX(IF(IFERROR(FIND(CATALOG_BASE,A1713),0)=1,CATALOG_POINTS,0))),IFERROR(INDEX(CATALOG_POINTS,MATCH(A1713,CATALOG_TASK,0)),""))</f>
        <v>2</v>
      </c>
      <c r="D1713" s="10" t="s">
        <v>1121</v>
      </c>
      <c r="E1713" s="41" t="str">
        <f t="shared" si="1"/>
        <v>PROX3</v>
      </c>
    </row>
    <row r="1714" ht="15.75" customHeight="1">
      <c r="A1714" s="10" t="s">
        <v>1123</v>
      </c>
      <c r="B1714" s="10" t="s">
        <v>119</v>
      </c>
      <c r="C1714" s="41">
        <f t="array" ref="C1714">IF(IFERROR(INDEX(CATALOG_POINTS,MATCH(A1714,CATALOG_TASK,0)),"")="",IF(MAX(IF(IFERROR(FIND(CATALOG_BASE,A1714),0)=1,CATALOG_POINTS,0))=0,DAILY_POST_POINTS,MAX(IF(IFERROR(FIND(CATALOG_BASE,A1714),0)=1,CATALOG_POINTS,0))),IFERROR(INDEX(CATALOG_POINTS,MATCH(A1714,CATALOG_TASK,0)),""))</f>
        <v>1</v>
      </c>
      <c r="D1714" s="10" t="s">
        <v>1123</v>
      </c>
      <c r="E1714" s="41" t="str">
        <f t="shared" si="1"/>
        <v>PROX3</v>
      </c>
    </row>
    <row r="1715" ht="15.75" customHeight="1">
      <c r="A1715" s="10" t="s">
        <v>1124</v>
      </c>
      <c r="B1715" s="10" t="s">
        <v>128</v>
      </c>
      <c r="C1715" s="41">
        <f t="array" ref="C1715">IF(IFERROR(INDEX(CATALOG_POINTS,MATCH(A1715,CATALOG_TASK,0)),"")="",IF(MAX(IF(IFERROR(FIND(CATALOG_BASE,A1715),0)=1,CATALOG_POINTS,0))=0,DAILY_POST_POINTS,MAX(IF(IFERROR(FIND(CATALOG_BASE,A1715),0)=1,CATALOG_POINTS,0))),IFERROR(INDEX(CATALOG_POINTS,MATCH(A1715,CATALOG_TASK,0)),""))</f>
        <v>1</v>
      </c>
      <c r="D1715" s="10" t="s">
        <v>1124</v>
      </c>
      <c r="E1715" s="41" t="str">
        <f t="shared" si="1"/>
        <v>PROX3</v>
      </c>
    </row>
    <row r="1716" ht="15.75" customHeight="1">
      <c r="A1716" s="10" t="s">
        <v>1125</v>
      </c>
      <c r="B1716" s="10" t="s">
        <v>131</v>
      </c>
      <c r="C1716" s="41">
        <f t="array" ref="C1716">IF(IFERROR(INDEX(CATALOG_POINTS,MATCH(A1716,CATALOG_TASK,0)),"")="",IF(MAX(IF(IFERROR(FIND(CATALOG_BASE,A1716),0)=1,CATALOG_POINTS,0))=0,DAILY_POST_POINTS,MAX(IF(IFERROR(FIND(CATALOG_BASE,A1716),0)=1,CATALOG_POINTS,0))),IFERROR(INDEX(CATALOG_POINTS,MATCH(A1716,CATALOG_TASK,0)),""))</f>
        <v>1</v>
      </c>
      <c r="D1716" s="10" t="s">
        <v>1125</v>
      </c>
      <c r="E1716" s="41" t="str">
        <f t="shared" si="1"/>
        <v>PROX3</v>
      </c>
    </row>
    <row r="1717" ht="15.75" customHeight="1">
      <c r="A1717" s="10" t="s">
        <v>1126</v>
      </c>
      <c r="B1717" s="10" t="s">
        <v>122</v>
      </c>
      <c r="C1717" s="41">
        <f t="array" ref="C1717">IF(IFERROR(INDEX(CATALOG_POINTS,MATCH(A1717,CATALOG_TASK,0)),"")="",IF(MAX(IF(IFERROR(FIND(CATALOG_BASE,A1717),0)=1,CATALOG_POINTS,0))=0,DAILY_POST_POINTS,MAX(IF(IFERROR(FIND(CATALOG_BASE,A1717),0)=1,CATALOG_POINTS,0))),IFERROR(INDEX(CATALOG_POINTS,MATCH(A1717,CATALOG_TASK,0)),""))</f>
        <v>1</v>
      </c>
      <c r="D1717" s="10" t="s">
        <v>1126</v>
      </c>
      <c r="E1717" s="41" t="str">
        <f t="shared" si="1"/>
        <v>PROX3</v>
      </c>
    </row>
    <row r="1718" ht="15.75" customHeight="1">
      <c r="A1718" s="10" t="s">
        <v>1127</v>
      </c>
      <c r="B1718" s="10" t="s">
        <v>122</v>
      </c>
      <c r="C1718" s="41">
        <f t="array" ref="C1718">IF(IFERROR(INDEX(CATALOG_POINTS,MATCH(A1718,CATALOG_TASK,0)),"")="",IF(MAX(IF(IFERROR(FIND(CATALOG_BASE,A1718),0)=1,CATALOG_POINTS,0))=0,DAILY_POST_POINTS,MAX(IF(IFERROR(FIND(CATALOG_BASE,A1718),0)=1,CATALOG_POINTS,0))),IFERROR(INDEX(CATALOG_POINTS,MATCH(A1718,CATALOG_TASK,0)),""))</f>
        <v>1</v>
      </c>
      <c r="D1718" s="10" t="s">
        <v>1127</v>
      </c>
      <c r="E1718" s="41" t="str">
        <f t="shared" si="1"/>
        <v>PROX3</v>
      </c>
    </row>
    <row r="1719" ht="15.75" customHeight="1">
      <c r="A1719" s="10" t="s">
        <v>37</v>
      </c>
      <c r="B1719" s="10" t="s">
        <v>119</v>
      </c>
      <c r="C1719" s="41">
        <f t="array" ref="C1719">IF(IFERROR(INDEX(CATALOG_POINTS,MATCH(A1719,CATALOG_TASK,0)),"")="",IF(MAX(IF(IFERROR(FIND(CATALOG_BASE,A1719),0)=1,CATALOG_POINTS,0))=0,DAILY_POST_POINTS,MAX(IF(IFERROR(FIND(CATALOG_BASE,A1719),0)=1,CATALOG_POINTS,0))),IFERROR(INDEX(CATALOG_POINTS,MATCH(A1719,CATALOG_TASK,0)),""))</f>
        <v>2</v>
      </c>
      <c r="D1719" s="10" t="s">
        <v>1127</v>
      </c>
      <c r="E1719" s="41" t="str">
        <f t="shared" si="1"/>
        <v>PROX3</v>
      </c>
    </row>
    <row r="1720" ht="15.75" customHeight="1">
      <c r="A1720" s="10" t="s">
        <v>1128</v>
      </c>
      <c r="B1720" s="10" t="s">
        <v>137</v>
      </c>
      <c r="C1720" s="41">
        <f t="array" ref="C1720">IF(IFERROR(INDEX(CATALOG_POINTS,MATCH(A1720,CATALOG_TASK,0)),"")="",IF(MAX(IF(IFERROR(FIND(CATALOG_BASE,A1720),0)=1,CATALOG_POINTS,0))=0,DAILY_POST_POINTS,MAX(IF(IFERROR(FIND(CATALOG_BASE,A1720),0)=1,CATALOG_POINTS,0))),IFERROR(INDEX(CATALOG_POINTS,MATCH(A1720,CATALOG_TASK,0)),""))</f>
        <v>1</v>
      </c>
      <c r="D1720" s="10" t="s">
        <v>1128</v>
      </c>
      <c r="E1720" s="41" t="str">
        <f t="shared" si="1"/>
        <v/>
      </c>
    </row>
    <row r="1721" ht="15.75" customHeight="1">
      <c r="A1721" s="10" t="s">
        <v>1129</v>
      </c>
      <c r="B1721" s="10" t="s">
        <v>126</v>
      </c>
      <c r="C1721" s="41">
        <f t="array" ref="C1721">IF(IFERROR(INDEX(CATALOG_POINTS,MATCH(A1721,CATALOG_TASK,0)),"")="",IF(MAX(IF(IFERROR(FIND(CATALOG_BASE,A1721),0)=1,CATALOG_POINTS,0))=0,DAILY_POST_POINTS,MAX(IF(IFERROR(FIND(CATALOG_BASE,A1721),0)=1,CATALOG_POINTS,0))),IFERROR(INDEX(CATALOG_POINTS,MATCH(A1721,CATALOG_TASK,0)),""))</f>
        <v>1</v>
      </c>
      <c r="D1721" s="10" t="s">
        <v>1129</v>
      </c>
      <c r="E1721" s="41" t="str">
        <f t="shared" si="1"/>
        <v>PROX3</v>
      </c>
    </row>
    <row r="1722" ht="15.75" customHeight="1">
      <c r="A1722" s="10" t="s">
        <v>52</v>
      </c>
      <c r="B1722" s="10" t="s">
        <v>139</v>
      </c>
      <c r="C1722" s="41">
        <f t="array" ref="C1722">IF(IFERROR(INDEX(CATALOG_POINTS,MATCH(A1722,CATALOG_TASK,0)),"")="",IF(MAX(IF(IFERROR(FIND(CATALOG_BASE,A1722),0)=1,CATALOG_POINTS,0))=0,DAILY_POST_POINTS,MAX(IF(IFERROR(FIND(CATALOG_BASE,A1722),0)=1,CATALOG_POINTS,0))),IFERROR(INDEX(CATALOG_POINTS,MATCH(A1722,CATALOG_TASK,0)),""))</f>
        <v>10</v>
      </c>
      <c r="D1722" s="10" t="s">
        <v>1130</v>
      </c>
      <c r="E1722" s="41" t="str">
        <f t="shared" si="1"/>
        <v>PROX4</v>
      </c>
    </row>
    <row r="1723" ht="15.75" customHeight="1">
      <c r="A1723" s="10" t="s">
        <v>177</v>
      </c>
      <c r="B1723" s="10" t="s">
        <v>139</v>
      </c>
      <c r="C1723" s="41">
        <f t="array" ref="C1723">IF(IFERROR(INDEX(CATALOG_POINTS,MATCH(A1723,CATALOG_TASK,0)),"")="",IF(MAX(IF(IFERROR(FIND(CATALOG_BASE,A1723),0)=1,CATALOG_POINTS,0))=0,DAILY_POST_POINTS,MAX(IF(IFERROR(FIND(CATALOG_BASE,A1723),0)=1,CATALOG_POINTS,0))),IFERROR(INDEX(CATALOG_POINTS,MATCH(A1723,CATALOG_TASK,0)),""))</f>
        <v>6</v>
      </c>
      <c r="D1723" s="10" t="s">
        <v>1130</v>
      </c>
      <c r="E1723" s="41" t="str">
        <f t="shared" si="1"/>
        <v>PROX4</v>
      </c>
    </row>
    <row r="1724" ht="15.75" customHeight="1">
      <c r="A1724" s="10" t="s">
        <v>1130</v>
      </c>
      <c r="B1724" s="10" t="s">
        <v>137</v>
      </c>
      <c r="C1724" s="41">
        <f t="array" ref="C1724">IF(IFERROR(INDEX(CATALOG_POINTS,MATCH(A1724,CATALOG_TASK,0)),"")="",IF(MAX(IF(IFERROR(FIND(CATALOG_BASE,A1724),0)=1,CATALOG_POINTS,0))=0,DAILY_POST_POINTS,MAX(IF(IFERROR(FIND(CATALOG_BASE,A1724),0)=1,CATALOG_POINTS,0))),IFERROR(INDEX(CATALOG_POINTS,MATCH(A1724,CATALOG_TASK,0)),""))</f>
        <v>1</v>
      </c>
      <c r="D1724" s="10" t="s">
        <v>1130</v>
      </c>
      <c r="E1724" s="41" t="str">
        <f t="shared" si="1"/>
        <v>PROX4</v>
      </c>
    </row>
    <row r="1725" ht="15.75" customHeight="1">
      <c r="A1725" s="10" t="s">
        <v>1131</v>
      </c>
      <c r="B1725" s="10" t="s">
        <v>137</v>
      </c>
      <c r="C1725" s="41">
        <f t="array" ref="C1725">IF(IFERROR(INDEX(CATALOG_POINTS,MATCH(A1725,CATALOG_TASK,0)),"")="",IF(MAX(IF(IFERROR(FIND(CATALOG_BASE,A1725),0)=1,CATALOG_POINTS,0))=0,DAILY_POST_POINTS,MAX(IF(IFERROR(FIND(CATALOG_BASE,A1725),0)=1,CATALOG_POINTS,0))),IFERROR(INDEX(CATALOG_POINTS,MATCH(A1725,CATALOG_TASK,0)),""))</f>
        <v>1</v>
      </c>
      <c r="D1725" s="10" t="s">
        <v>1131</v>
      </c>
      <c r="E1725" s="41" t="str">
        <f t="shared" si="1"/>
        <v>PROX3</v>
      </c>
    </row>
    <row r="1726" ht="15.75" customHeight="1">
      <c r="A1726" s="10" t="s">
        <v>1132</v>
      </c>
      <c r="B1726" s="10" t="s">
        <v>137</v>
      </c>
      <c r="C1726" s="41">
        <f t="array" ref="C1726">IF(IFERROR(INDEX(CATALOG_POINTS,MATCH(A1726,CATALOG_TASK,0)),"")="",IF(MAX(IF(IFERROR(FIND(CATALOG_BASE,A1726),0)=1,CATALOG_POINTS,0))=0,DAILY_POST_POINTS,MAX(IF(IFERROR(FIND(CATALOG_BASE,A1726),0)=1,CATALOG_POINTS,0))),IFERROR(INDEX(CATALOG_POINTS,MATCH(A1726,CATALOG_TASK,0)),""))</f>
        <v>1</v>
      </c>
      <c r="D1726" s="10" t="s">
        <v>1132</v>
      </c>
      <c r="E1726" s="41" t="str">
        <f t="shared" si="1"/>
        <v>PROX3</v>
      </c>
    </row>
    <row r="1727" ht="15.75" customHeight="1">
      <c r="A1727" s="10" t="s">
        <v>37</v>
      </c>
      <c r="B1727" s="10" t="s">
        <v>127</v>
      </c>
      <c r="C1727" s="41">
        <f t="array" ref="C1727">IF(IFERROR(INDEX(CATALOG_POINTS,MATCH(A1727,CATALOG_TASK,0)),"")="",IF(MAX(IF(IFERROR(FIND(CATALOG_BASE,A1727),0)=1,CATALOG_POINTS,0))=0,DAILY_POST_POINTS,MAX(IF(IFERROR(FIND(CATALOG_BASE,A1727),0)=1,CATALOG_POINTS,0))),IFERROR(INDEX(CATALOG_POINTS,MATCH(A1727,CATALOG_TASK,0)),""))</f>
        <v>2</v>
      </c>
      <c r="D1727" s="10" t="s">
        <v>1132</v>
      </c>
      <c r="E1727" s="41" t="str">
        <f t="shared" si="1"/>
        <v>PROX3</v>
      </c>
    </row>
    <row r="1728" ht="15.75" customHeight="1">
      <c r="A1728" s="10" t="s">
        <v>1133</v>
      </c>
      <c r="B1728" s="10" t="s">
        <v>131</v>
      </c>
      <c r="C1728" s="41">
        <f t="array" ref="C1728">IF(IFERROR(INDEX(CATALOG_POINTS,MATCH(A1728,CATALOG_TASK,0)),"")="",IF(MAX(IF(IFERROR(FIND(CATALOG_BASE,A1728),0)=1,CATALOG_POINTS,0))=0,DAILY_POST_POINTS,MAX(IF(IFERROR(FIND(CATALOG_BASE,A1728),0)=1,CATALOG_POINTS,0))),IFERROR(INDEX(CATALOG_POINTS,MATCH(A1728,CATALOG_TASK,0)),""))</f>
        <v>1</v>
      </c>
      <c r="D1728" s="10" t="s">
        <v>1133</v>
      </c>
      <c r="E1728" s="41" t="str">
        <f t="shared" si="1"/>
        <v>PROX3</v>
      </c>
    </row>
    <row r="1729" ht="15.75" customHeight="1">
      <c r="A1729" s="10" t="s">
        <v>1134</v>
      </c>
      <c r="B1729" s="10" t="s">
        <v>131</v>
      </c>
      <c r="C1729" s="41">
        <f t="array" ref="C1729">IF(IFERROR(INDEX(CATALOG_POINTS,MATCH(A1729,CATALOG_TASK,0)),"")="",IF(MAX(IF(IFERROR(FIND(CATALOG_BASE,A1729),0)=1,CATALOG_POINTS,0))=0,DAILY_POST_POINTS,MAX(IF(IFERROR(FIND(CATALOG_BASE,A1729),0)=1,CATALOG_POINTS,0))),IFERROR(INDEX(CATALOG_POINTS,MATCH(A1729,CATALOG_TASK,0)),""))</f>
        <v>1</v>
      </c>
      <c r="D1729" s="10" t="s">
        <v>1134</v>
      </c>
      <c r="E1729" s="41" t="str">
        <f t="shared" si="1"/>
        <v>PROX3</v>
      </c>
    </row>
    <row r="1730" ht="15.75" customHeight="1">
      <c r="A1730" s="10" t="s">
        <v>1135</v>
      </c>
      <c r="B1730" s="10" t="s">
        <v>125</v>
      </c>
      <c r="C1730" s="41">
        <f t="array" ref="C1730">IF(IFERROR(INDEX(CATALOG_POINTS,MATCH(A1730,CATALOG_TASK,0)),"")="",IF(MAX(IF(IFERROR(FIND(CATALOG_BASE,A1730),0)=1,CATALOG_POINTS,0))=0,DAILY_POST_POINTS,MAX(IF(IFERROR(FIND(CATALOG_BASE,A1730),0)=1,CATALOG_POINTS,0))),IFERROR(INDEX(CATALOG_POINTS,MATCH(A1730,CATALOG_TASK,0)),""))</f>
        <v>1</v>
      </c>
      <c r="D1730" s="10" t="s">
        <v>1135</v>
      </c>
      <c r="E1730" s="41" t="str">
        <f t="shared" si="1"/>
        <v>PROX3</v>
      </c>
    </row>
    <row r="1731" ht="15.75" customHeight="1">
      <c r="A1731" s="10" t="s">
        <v>1136</v>
      </c>
      <c r="B1731" s="10" t="s">
        <v>135</v>
      </c>
      <c r="C1731" s="41">
        <f t="array" ref="C1731">IF(IFERROR(INDEX(CATALOG_POINTS,MATCH(A1731,CATALOG_TASK,0)),"")="",IF(MAX(IF(IFERROR(FIND(CATALOG_BASE,A1731),0)=1,CATALOG_POINTS,0))=0,DAILY_POST_POINTS,MAX(IF(IFERROR(FIND(CATALOG_BASE,A1731),0)=1,CATALOG_POINTS,0))),IFERROR(INDEX(CATALOG_POINTS,MATCH(A1731,CATALOG_TASK,0)),""))</f>
        <v>1</v>
      </c>
      <c r="D1731" s="10" t="s">
        <v>1136</v>
      </c>
      <c r="E1731" s="41" t="str">
        <f t="shared" si="1"/>
        <v>PROX3</v>
      </c>
    </row>
    <row r="1732" ht="15.75" customHeight="1">
      <c r="A1732" s="10" t="s">
        <v>1137</v>
      </c>
      <c r="B1732" s="10" t="s">
        <v>136</v>
      </c>
      <c r="C1732" s="41">
        <f t="array" ref="C1732">IF(IFERROR(INDEX(CATALOG_POINTS,MATCH(A1732,CATALOG_TASK,0)),"")="",IF(MAX(IF(IFERROR(FIND(CATALOG_BASE,A1732),0)=1,CATALOG_POINTS,0))=0,DAILY_POST_POINTS,MAX(IF(IFERROR(FIND(CATALOG_BASE,A1732),0)=1,CATALOG_POINTS,0))),IFERROR(INDEX(CATALOG_POINTS,MATCH(A1732,CATALOG_TASK,0)),""))</f>
        <v>1</v>
      </c>
      <c r="D1732" s="10" t="s">
        <v>1137</v>
      </c>
      <c r="E1732" s="41" t="str">
        <f t="shared" si="1"/>
        <v>SEM</v>
      </c>
    </row>
    <row r="1733" ht="15.75" customHeight="1">
      <c r="A1733" s="10" t="s">
        <v>37</v>
      </c>
      <c r="B1733" s="10" t="s">
        <v>125</v>
      </c>
      <c r="C1733" s="41">
        <f t="array" ref="C1733">IF(IFERROR(INDEX(CATALOG_POINTS,MATCH(A1733,CATALOG_TASK,0)),"")="",IF(MAX(IF(IFERROR(FIND(CATALOG_BASE,A1733),0)=1,CATALOG_POINTS,0))=0,DAILY_POST_POINTS,MAX(IF(IFERROR(FIND(CATALOG_BASE,A1733),0)=1,CATALOG_POINTS,0))),IFERROR(INDEX(CATALOG_POINTS,MATCH(A1733,CATALOG_TASK,0)),""))</f>
        <v>2</v>
      </c>
      <c r="D1733" s="10" t="s">
        <v>1137</v>
      </c>
      <c r="E1733" s="41" t="str">
        <f t="shared" si="1"/>
        <v>SEM</v>
      </c>
    </row>
    <row r="1734" ht="15.75" customHeight="1">
      <c r="A1734" s="10" t="s">
        <v>1138</v>
      </c>
      <c r="B1734" s="10" t="s">
        <v>128</v>
      </c>
      <c r="C1734" s="41">
        <f t="array" ref="C1734">IF(IFERROR(INDEX(CATALOG_POINTS,MATCH(A1734,CATALOG_TASK,0)),"")="",IF(MAX(IF(IFERROR(FIND(CATALOG_BASE,A1734),0)=1,CATALOG_POINTS,0))=0,DAILY_POST_POINTS,MAX(IF(IFERROR(FIND(CATALOG_BASE,A1734),0)=1,CATALOG_POINTS,0))),IFERROR(INDEX(CATALOG_POINTS,MATCH(A1734,CATALOG_TASK,0)),""))</f>
        <v>1</v>
      </c>
      <c r="D1734" s="10" t="s">
        <v>1138</v>
      </c>
      <c r="E1734" s="41" t="str">
        <f t="shared" si="1"/>
        <v>PROX3</v>
      </c>
    </row>
    <row r="1735" ht="15.75" customHeight="1">
      <c r="A1735" s="10" t="s">
        <v>1139</v>
      </c>
      <c r="B1735" s="10" t="s">
        <v>122</v>
      </c>
      <c r="C1735" s="41">
        <f t="array" ref="C1735">IF(IFERROR(INDEX(CATALOG_POINTS,MATCH(A1735,CATALOG_TASK,0)),"")="",IF(MAX(IF(IFERROR(FIND(CATALOG_BASE,A1735),0)=1,CATALOG_POINTS,0))=0,DAILY_POST_POINTS,MAX(IF(IFERROR(FIND(CATALOG_BASE,A1735),0)=1,CATALOG_POINTS,0))),IFERROR(INDEX(CATALOG_POINTS,MATCH(A1735,CATALOG_TASK,0)),""))</f>
        <v>1</v>
      </c>
      <c r="D1735" s="10" t="s">
        <v>1140</v>
      </c>
      <c r="E1735" s="41" t="str">
        <f t="shared" si="1"/>
        <v/>
      </c>
    </row>
    <row r="1736" ht="15.75" customHeight="1">
      <c r="A1736" s="10" t="s">
        <v>1141</v>
      </c>
      <c r="B1736" s="10" t="s">
        <v>129</v>
      </c>
      <c r="C1736" s="41">
        <f t="array" ref="C1736">IF(IFERROR(INDEX(CATALOG_POINTS,MATCH(A1736,CATALOG_TASK,0)),"")="",IF(MAX(IF(IFERROR(FIND(CATALOG_BASE,A1736),0)=1,CATALOG_POINTS,0))=0,DAILY_POST_POINTS,MAX(IF(IFERROR(FIND(CATALOG_BASE,A1736),0)=1,CATALOG_POINTS,0))),IFERROR(INDEX(CATALOG_POINTS,MATCH(A1736,CATALOG_TASK,0)),""))</f>
        <v>1</v>
      </c>
      <c r="D1736" s="10" t="s">
        <v>1141</v>
      </c>
      <c r="E1736" s="41" t="str">
        <f t="shared" si="1"/>
        <v>PROX3</v>
      </c>
    </row>
    <row r="1737" ht="15.75" customHeight="1">
      <c r="A1737" s="10" t="s">
        <v>1142</v>
      </c>
      <c r="B1737" s="10" t="s">
        <v>128</v>
      </c>
      <c r="C1737" s="41">
        <f t="array" ref="C1737">IF(IFERROR(INDEX(CATALOG_POINTS,MATCH(A1737,CATALOG_TASK,0)),"")="",IF(MAX(IF(IFERROR(FIND(CATALOG_BASE,A1737),0)=1,CATALOG_POINTS,0))=0,DAILY_POST_POINTS,MAX(IF(IFERROR(FIND(CATALOG_BASE,A1737),0)=1,CATALOG_POINTS,0))),IFERROR(INDEX(CATALOG_POINTS,MATCH(A1737,CATALOG_TASK,0)),""))</f>
        <v>1</v>
      </c>
      <c r="D1737" s="10" t="s">
        <v>1142</v>
      </c>
      <c r="E1737" s="41" t="str">
        <f t="shared" si="1"/>
        <v>PROX3</v>
      </c>
    </row>
    <row r="1738" ht="15.75" customHeight="1">
      <c r="A1738" s="10" t="s">
        <v>1143</v>
      </c>
      <c r="B1738" s="10" t="s">
        <v>131</v>
      </c>
      <c r="C1738" s="41">
        <f t="array" ref="C1738">IF(IFERROR(INDEX(CATALOG_POINTS,MATCH(A1738,CATALOG_TASK,0)),"")="",IF(MAX(IF(IFERROR(FIND(CATALOG_BASE,A1738),0)=1,CATALOG_POINTS,0))=0,DAILY_POST_POINTS,MAX(IF(IFERROR(FIND(CATALOG_BASE,A1738),0)=1,CATALOG_POINTS,0))),IFERROR(INDEX(CATALOG_POINTS,MATCH(A1738,CATALOG_TASK,0)),""))</f>
        <v>1</v>
      </c>
      <c r="D1738" s="10" t="s">
        <v>1143</v>
      </c>
      <c r="E1738" s="41" t="str">
        <f t="shared" si="1"/>
        <v>PROX3</v>
      </c>
    </row>
    <row r="1739" ht="15.75" customHeight="1">
      <c r="A1739" s="10" t="s">
        <v>1144</v>
      </c>
      <c r="B1739" s="10" t="s">
        <v>131</v>
      </c>
      <c r="C1739" s="41">
        <f t="array" ref="C1739">IF(IFERROR(INDEX(CATALOG_POINTS,MATCH(A1739,CATALOG_TASK,0)),"")="",IF(MAX(IF(IFERROR(FIND(CATALOG_BASE,A1739),0)=1,CATALOG_POINTS,0))=0,DAILY_POST_POINTS,MAX(IF(IFERROR(FIND(CATALOG_BASE,A1739),0)=1,CATALOG_POINTS,0))),IFERROR(INDEX(CATALOG_POINTS,MATCH(A1739,CATALOG_TASK,0)),""))</f>
        <v>1</v>
      </c>
      <c r="D1739" s="10" t="s">
        <v>1144</v>
      </c>
      <c r="E1739" s="41" t="str">
        <f t="shared" si="1"/>
        <v>E0</v>
      </c>
    </row>
    <row r="1740" ht="15.75" customHeight="1">
      <c r="A1740" s="10" t="s">
        <v>1145</v>
      </c>
      <c r="B1740" s="10" t="s">
        <v>133</v>
      </c>
      <c r="C1740" s="41">
        <f t="array" ref="C1740">IF(IFERROR(INDEX(CATALOG_POINTS,MATCH(A1740,CATALOG_TASK,0)),"")="",IF(MAX(IF(IFERROR(FIND(CATALOG_BASE,A1740),0)=1,CATALOG_POINTS,0))=0,DAILY_POST_POINTS,MAX(IF(IFERROR(FIND(CATALOG_BASE,A1740),0)=1,CATALOG_POINTS,0))),IFERROR(INDEX(CATALOG_POINTS,MATCH(A1740,CATALOG_TASK,0)),""))</f>
        <v>1</v>
      </c>
      <c r="D1740" s="10" t="s">
        <v>1145</v>
      </c>
      <c r="E1740" s="41" t="str">
        <f t="shared" si="1"/>
        <v>SE1</v>
      </c>
    </row>
    <row r="1741" ht="15.75" customHeight="1">
      <c r="A1741" s="10" t="s">
        <v>168</v>
      </c>
      <c r="B1741" s="10" t="s">
        <v>121</v>
      </c>
      <c r="C1741" s="41">
        <f t="array" ref="C1741">IF(IFERROR(INDEX(CATALOG_POINTS,MATCH(A1741,CATALOG_TASK,0)),"")="",IF(MAX(IF(IFERROR(FIND(CATALOG_BASE,A1741),0)=1,CATALOG_POINTS,0))=0,DAILY_POST_POINTS,MAX(IF(IFERROR(FIND(CATALOG_BASE,A1741),0)=1,CATALOG_POINTS,0))),IFERROR(INDEX(CATALOG_POINTS,MATCH(A1741,CATALOG_TASK,0)),""))</f>
        <v>1</v>
      </c>
      <c r="D1741" s="10" t="s">
        <v>1146</v>
      </c>
      <c r="E1741" s="41" t="str">
        <f t="shared" si="1"/>
        <v/>
      </c>
    </row>
    <row r="1742" ht="15.75" customHeight="1">
      <c r="A1742" s="10" t="s">
        <v>34</v>
      </c>
      <c r="B1742" s="10" t="s">
        <v>121</v>
      </c>
      <c r="C1742" s="41">
        <f t="array" ref="C1742">IF(IFERROR(INDEX(CATALOG_POINTS,MATCH(A1742,CATALOG_TASK,0)),"")="",IF(MAX(IF(IFERROR(FIND(CATALOG_BASE,A1742),0)=1,CATALOG_POINTS,0))=0,DAILY_POST_POINTS,MAX(IF(IFERROR(FIND(CATALOG_BASE,A1742),0)=1,CATALOG_POINTS,0))),IFERROR(INDEX(CATALOG_POINTS,MATCH(A1742,CATALOG_TASK,0)),""))</f>
        <v>2</v>
      </c>
      <c r="D1742" s="10" t="s">
        <v>1146</v>
      </c>
      <c r="E1742" s="41" t="str">
        <f t="shared" si="1"/>
        <v/>
      </c>
    </row>
    <row r="1743" ht="15.75" customHeight="1">
      <c r="A1743" s="10" t="s">
        <v>1147</v>
      </c>
      <c r="B1743" s="10" t="s">
        <v>136</v>
      </c>
      <c r="C1743" s="41">
        <f t="array" ref="C1743">IF(IFERROR(INDEX(CATALOG_POINTS,MATCH(A1743,CATALOG_TASK,0)),"")="",IF(MAX(IF(IFERROR(FIND(CATALOG_BASE,A1743),0)=1,CATALOG_POINTS,0))=0,DAILY_POST_POINTS,MAX(IF(IFERROR(FIND(CATALOG_BASE,A1743),0)=1,CATALOG_POINTS,0))),IFERROR(INDEX(CATALOG_POINTS,MATCH(A1743,CATALOG_TASK,0)),""))</f>
        <v>1</v>
      </c>
      <c r="D1743" s="10" t="s">
        <v>1148</v>
      </c>
      <c r="E1743" s="41" t="str">
        <f t="shared" si="1"/>
        <v/>
      </c>
    </row>
    <row r="1744" ht="15.75" customHeight="1">
      <c r="A1744" s="10" t="s">
        <v>37</v>
      </c>
      <c r="B1744" s="10" t="s">
        <v>119</v>
      </c>
      <c r="C1744" s="41">
        <f t="array" ref="C1744">IF(IFERROR(INDEX(CATALOG_POINTS,MATCH(A1744,CATALOG_TASK,0)),"")="",IF(MAX(IF(IFERROR(FIND(CATALOG_BASE,A1744),0)=1,CATALOG_POINTS,0))=0,DAILY_POST_POINTS,MAX(IF(IFERROR(FIND(CATALOG_BASE,A1744),0)=1,CATALOG_POINTS,0))),IFERROR(INDEX(CATALOG_POINTS,MATCH(A1744,CATALOG_TASK,0)),""))</f>
        <v>2</v>
      </c>
      <c r="D1744" s="10" t="s">
        <v>1149</v>
      </c>
      <c r="E1744" s="41" t="str">
        <f t="shared" si="1"/>
        <v>PROX3</v>
      </c>
    </row>
    <row r="1745" ht="15.75" customHeight="1">
      <c r="A1745" s="10" t="s">
        <v>1149</v>
      </c>
      <c r="B1745" s="10" t="s">
        <v>137</v>
      </c>
      <c r="C1745" s="41">
        <f t="array" ref="C1745">IF(IFERROR(INDEX(CATALOG_POINTS,MATCH(A1745,CATALOG_TASK,0)),"")="",IF(MAX(IF(IFERROR(FIND(CATALOG_BASE,A1745),0)=1,CATALOG_POINTS,0))=0,DAILY_POST_POINTS,MAX(IF(IFERROR(FIND(CATALOG_BASE,A1745),0)=1,CATALOG_POINTS,0))),IFERROR(INDEX(CATALOG_POINTS,MATCH(A1745,CATALOG_TASK,0)),""))</f>
        <v>1</v>
      </c>
      <c r="D1745" s="10" t="s">
        <v>1149</v>
      </c>
      <c r="E1745" s="41" t="str">
        <f t="shared" si="1"/>
        <v>PROX3</v>
      </c>
    </row>
    <row r="1746" ht="15.75" customHeight="1">
      <c r="A1746" s="10" t="s">
        <v>37</v>
      </c>
      <c r="B1746" s="10" t="s">
        <v>124</v>
      </c>
      <c r="C1746" s="41">
        <f t="array" ref="C1746">IF(IFERROR(INDEX(CATALOG_POINTS,MATCH(A1746,CATALOG_TASK,0)),"")="",IF(MAX(IF(IFERROR(FIND(CATALOG_BASE,A1746),0)=1,CATALOG_POINTS,0))=0,DAILY_POST_POINTS,MAX(IF(IFERROR(FIND(CATALOG_BASE,A1746),0)=1,CATALOG_POINTS,0))),IFERROR(INDEX(CATALOG_POINTS,MATCH(A1746,CATALOG_TASK,0)),""))</f>
        <v>2</v>
      </c>
      <c r="D1746" s="10" t="s">
        <v>1150</v>
      </c>
      <c r="E1746" s="41" t="str">
        <f t="shared" si="1"/>
        <v>PROX3</v>
      </c>
    </row>
    <row r="1747" ht="15.75" customHeight="1">
      <c r="A1747" s="10" t="s">
        <v>1150</v>
      </c>
      <c r="B1747" s="10" t="s">
        <v>128</v>
      </c>
      <c r="C1747" s="41">
        <f t="array" ref="C1747">IF(IFERROR(INDEX(CATALOG_POINTS,MATCH(A1747,CATALOG_TASK,0)),"")="",IF(MAX(IF(IFERROR(FIND(CATALOG_BASE,A1747),0)=1,CATALOG_POINTS,0))=0,DAILY_POST_POINTS,MAX(IF(IFERROR(FIND(CATALOG_BASE,A1747),0)=1,CATALOG_POINTS,0))),IFERROR(INDEX(CATALOG_POINTS,MATCH(A1747,CATALOG_TASK,0)),""))</f>
        <v>1</v>
      </c>
      <c r="D1747" s="10" t="s">
        <v>1150</v>
      </c>
      <c r="E1747" s="41" t="str">
        <f t="shared" si="1"/>
        <v>PROX3</v>
      </c>
    </row>
    <row r="1748" ht="15.75" customHeight="1">
      <c r="A1748" s="10" t="s">
        <v>52</v>
      </c>
      <c r="B1748" s="10" t="s">
        <v>139</v>
      </c>
      <c r="C1748" s="41">
        <f t="array" ref="C1748">IF(IFERROR(INDEX(CATALOG_POINTS,MATCH(A1748,CATALOG_TASK,0)),"")="",IF(MAX(IF(IFERROR(FIND(CATALOG_BASE,A1748),0)=1,CATALOG_POINTS,0))=0,DAILY_POST_POINTS,MAX(IF(IFERROR(FIND(CATALOG_BASE,A1748),0)=1,CATALOG_POINTS,0))),IFERROR(INDEX(CATALOG_POINTS,MATCH(A1748,CATALOG_TASK,0)),""))</f>
        <v>10</v>
      </c>
      <c r="D1748" s="10" t="s">
        <v>1150</v>
      </c>
      <c r="E1748" s="41" t="str">
        <f t="shared" si="1"/>
        <v>PROX3</v>
      </c>
    </row>
    <row r="1749" ht="15.75" customHeight="1">
      <c r="A1749" s="10" t="s">
        <v>1151</v>
      </c>
      <c r="B1749" s="10" t="s">
        <v>120</v>
      </c>
      <c r="C1749" s="41">
        <f t="array" ref="C1749">IF(IFERROR(INDEX(CATALOG_POINTS,MATCH(A1749,CATALOG_TASK,0)),"")="",IF(MAX(IF(IFERROR(FIND(CATALOG_BASE,A1749),0)=1,CATALOG_POINTS,0))=0,DAILY_POST_POINTS,MAX(IF(IFERROR(FIND(CATALOG_BASE,A1749),0)=1,CATALOG_POINTS,0))),IFERROR(INDEX(CATALOG_POINTS,MATCH(A1749,CATALOG_TASK,0)),""))</f>
        <v>1</v>
      </c>
      <c r="D1749" s="10" t="s">
        <v>1151</v>
      </c>
      <c r="E1749" s="41" t="str">
        <f t="shared" si="1"/>
        <v>PROX3</v>
      </c>
    </row>
    <row r="1750" ht="15.75" customHeight="1">
      <c r="A1750" s="10" t="s">
        <v>37</v>
      </c>
      <c r="B1750" s="10" t="s">
        <v>127</v>
      </c>
      <c r="C1750" s="41">
        <f t="array" ref="C1750">IF(IFERROR(INDEX(CATALOG_POINTS,MATCH(A1750,CATALOG_TASK,0)),"")="",IF(MAX(IF(IFERROR(FIND(CATALOG_BASE,A1750),0)=1,CATALOG_POINTS,0))=0,DAILY_POST_POINTS,MAX(IF(IFERROR(FIND(CATALOG_BASE,A1750),0)=1,CATALOG_POINTS,0))),IFERROR(INDEX(CATALOG_POINTS,MATCH(A1750,CATALOG_TASK,0)),""))</f>
        <v>2</v>
      </c>
      <c r="D1750" s="10" t="s">
        <v>1151</v>
      </c>
      <c r="E1750" s="41" t="str">
        <f t="shared" si="1"/>
        <v>PROX3</v>
      </c>
    </row>
    <row r="1751" ht="15.75" customHeight="1">
      <c r="A1751" s="10" t="s">
        <v>37</v>
      </c>
      <c r="B1751" s="10" t="s">
        <v>122</v>
      </c>
      <c r="C1751" s="41">
        <f t="array" ref="C1751">IF(IFERROR(INDEX(CATALOG_POINTS,MATCH(A1751,CATALOG_TASK,0)),"")="",IF(MAX(IF(IFERROR(FIND(CATALOG_BASE,A1751),0)=1,CATALOG_POINTS,0))=0,DAILY_POST_POINTS,MAX(IF(IFERROR(FIND(CATALOG_BASE,A1751),0)=1,CATALOG_POINTS,0))),IFERROR(INDEX(CATALOG_POINTS,MATCH(A1751,CATALOG_TASK,0)),""))</f>
        <v>2</v>
      </c>
      <c r="D1751" s="10" t="s">
        <v>1151</v>
      </c>
      <c r="E1751" s="41" t="str">
        <f t="shared" si="1"/>
        <v>PROX3</v>
      </c>
    </row>
    <row r="1752" ht="15.75" customHeight="1">
      <c r="A1752" s="10" t="s">
        <v>37</v>
      </c>
      <c r="B1752" s="10" t="s">
        <v>122</v>
      </c>
      <c r="C1752" s="41">
        <f t="array" ref="C1752">IF(IFERROR(INDEX(CATALOG_POINTS,MATCH(A1752,CATALOG_TASK,0)),"")="",IF(MAX(IF(IFERROR(FIND(CATALOG_BASE,A1752),0)=1,CATALOG_POINTS,0))=0,DAILY_POST_POINTS,MAX(IF(IFERROR(FIND(CATALOG_BASE,A1752),0)=1,CATALOG_POINTS,0))),IFERROR(INDEX(CATALOG_POINTS,MATCH(A1752,CATALOG_TASK,0)),""))</f>
        <v>2</v>
      </c>
      <c r="D1752" s="10" t="s">
        <v>1151</v>
      </c>
      <c r="E1752" s="41" t="str">
        <f t="shared" si="1"/>
        <v>PROX3</v>
      </c>
    </row>
    <row r="1753" ht="15.75" customHeight="1">
      <c r="A1753" s="10" t="s">
        <v>1152</v>
      </c>
      <c r="B1753" s="10" t="s">
        <v>132</v>
      </c>
      <c r="C1753" s="41">
        <f t="array" ref="C1753">IF(IFERROR(INDEX(CATALOG_POINTS,MATCH(A1753,CATALOG_TASK,0)),"")="",IF(MAX(IF(IFERROR(FIND(CATALOG_BASE,A1753),0)=1,CATALOG_POINTS,0))=0,DAILY_POST_POINTS,MAX(IF(IFERROR(FIND(CATALOG_BASE,A1753),0)=1,CATALOG_POINTS,0))),IFERROR(INDEX(CATALOG_POINTS,MATCH(A1753,CATALOG_TASK,0)),""))</f>
        <v>1</v>
      </c>
      <c r="D1753" s="10" t="s">
        <v>1152</v>
      </c>
      <c r="E1753" s="41" t="str">
        <f t="shared" si="1"/>
        <v>PROX3</v>
      </c>
    </row>
    <row r="1754" ht="15.75" customHeight="1">
      <c r="A1754" s="10" t="s">
        <v>170</v>
      </c>
      <c r="B1754" s="10" t="s">
        <v>128</v>
      </c>
      <c r="C1754" s="41">
        <f t="array" ref="C1754">IF(IFERROR(INDEX(CATALOG_POINTS,MATCH(A1754,CATALOG_TASK,0)),"")="",IF(MAX(IF(IFERROR(FIND(CATALOG_BASE,A1754),0)=1,CATALOG_POINTS,0))=0,DAILY_POST_POINTS,MAX(IF(IFERROR(FIND(CATALOG_BASE,A1754),0)=1,CATALOG_POINTS,0))),IFERROR(INDEX(CATALOG_POINTS,MATCH(A1754,CATALOG_TASK,0)),""))</f>
        <v>1</v>
      </c>
      <c r="D1754" s="10" t="s">
        <v>1153</v>
      </c>
      <c r="E1754" s="41" t="str">
        <f t="shared" si="1"/>
        <v>PROX3</v>
      </c>
    </row>
    <row r="1755" ht="15.75" customHeight="1">
      <c r="A1755" s="10" t="s">
        <v>179</v>
      </c>
      <c r="B1755" s="10" t="s">
        <v>151</v>
      </c>
      <c r="C1755" s="41">
        <f t="array" ref="C1755">IF(IFERROR(INDEX(CATALOG_POINTS,MATCH(A1755,CATALOG_TASK,0)),"")="",IF(MAX(IF(IFERROR(FIND(CATALOG_BASE,A1755),0)=1,CATALOG_POINTS,0))=0,DAILY_POST_POINTS,MAX(IF(IFERROR(FIND(CATALOG_BASE,A1755),0)=1,CATALOG_POINTS,0))),IFERROR(INDEX(CATALOG_POINTS,MATCH(A1755,CATALOG_TASK,0)),""))</f>
        <v>1</v>
      </c>
      <c r="D1755" s="10" t="s">
        <v>1153</v>
      </c>
      <c r="E1755" s="41" t="str">
        <f t="shared" si="1"/>
        <v>PROX3</v>
      </c>
    </row>
    <row r="1756" ht="15.75" customHeight="1">
      <c r="A1756" s="10" t="s">
        <v>1153</v>
      </c>
      <c r="B1756" s="10" t="s">
        <v>127</v>
      </c>
      <c r="C1756" s="41">
        <f t="array" ref="C1756">IF(IFERROR(INDEX(CATALOG_POINTS,MATCH(A1756,CATALOG_TASK,0)),"")="",IF(MAX(IF(IFERROR(FIND(CATALOG_BASE,A1756),0)=1,CATALOG_POINTS,0))=0,DAILY_POST_POINTS,MAX(IF(IFERROR(FIND(CATALOG_BASE,A1756),0)=1,CATALOG_POINTS,0))),IFERROR(INDEX(CATALOG_POINTS,MATCH(A1756,CATALOG_TASK,0)),""))</f>
        <v>1</v>
      </c>
      <c r="D1756" s="10" t="s">
        <v>1153</v>
      </c>
      <c r="E1756" s="41" t="str">
        <f t="shared" si="1"/>
        <v>PROX3</v>
      </c>
    </row>
    <row r="1757" ht="15.75" customHeight="1">
      <c r="A1757" s="10" t="s">
        <v>170</v>
      </c>
      <c r="B1757" s="10" t="s">
        <v>128</v>
      </c>
      <c r="C1757" s="41">
        <f t="array" ref="C1757">IF(IFERROR(INDEX(CATALOG_POINTS,MATCH(A1757,CATALOG_TASK,0)),"")="",IF(MAX(IF(IFERROR(FIND(CATALOG_BASE,A1757),0)=1,CATALOG_POINTS,0))=0,DAILY_POST_POINTS,MAX(IF(IFERROR(FIND(CATALOG_BASE,A1757),0)=1,CATALOG_POINTS,0))),IFERROR(INDEX(CATALOG_POINTS,MATCH(A1757,CATALOG_TASK,0)),""))</f>
        <v>1</v>
      </c>
      <c r="D1757" s="10" t="s">
        <v>1153</v>
      </c>
      <c r="E1757" s="41" t="str">
        <f t="shared" si="1"/>
        <v>PROX3</v>
      </c>
    </row>
    <row r="1758" ht="15.75" customHeight="1">
      <c r="A1758" s="10" t="s">
        <v>177</v>
      </c>
      <c r="B1758" s="10" t="s">
        <v>151</v>
      </c>
      <c r="C1758" s="41">
        <f t="array" ref="C1758">IF(IFERROR(INDEX(CATALOG_POINTS,MATCH(A1758,CATALOG_TASK,0)),"")="",IF(MAX(IF(IFERROR(FIND(CATALOG_BASE,A1758),0)=1,CATALOG_POINTS,0))=0,DAILY_POST_POINTS,MAX(IF(IFERROR(FIND(CATALOG_BASE,A1758),0)=1,CATALOG_POINTS,0))),IFERROR(INDEX(CATALOG_POINTS,MATCH(A1758,CATALOG_TASK,0)),""))</f>
        <v>6</v>
      </c>
      <c r="D1758" s="10" t="s">
        <v>1153</v>
      </c>
      <c r="E1758" s="41" t="str">
        <f t="shared" si="1"/>
        <v>PROX3</v>
      </c>
    </row>
    <row r="1759" ht="15.75" customHeight="1">
      <c r="A1759" s="10" t="s">
        <v>170</v>
      </c>
      <c r="B1759" s="10" t="s">
        <v>124</v>
      </c>
      <c r="C1759" s="41">
        <f t="array" ref="C1759">IF(IFERROR(INDEX(CATALOG_POINTS,MATCH(A1759,CATALOG_TASK,0)),"")="",IF(MAX(IF(IFERROR(FIND(CATALOG_BASE,A1759),0)=1,CATALOG_POINTS,0))=0,DAILY_POST_POINTS,MAX(IF(IFERROR(FIND(CATALOG_BASE,A1759),0)=1,CATALOG_POINTS,0))),IFERROR(INDEX(CATALOG_POINTS,MATCH(A1759,CATALOG_TASK,0)),""))</f>
        <v>1</v>
      </c>
      <c r="D1759" s="10" t="s">
        <v>1153</v>
      </c>
      <c r="E1759" s="41" t="str">
        <f t="shared" si="1"/>
        <v>PROX3</v>
      </c>
    </row>
    <row r="1760" ht="15.75" customHeight="1">
      <c r="A1760" s="10" t="s">
        <v>177</v>
      </c>
      <c r="B1760" s="10" t="s">
        <v>151</v>
      </c>
      <c r="C1760" s="41">
        <f t="array" ref="C1760">IF(IFERROR(INDEX(CATALOG_POINTS,MATCH(A1760,CATALOG_TASK,0)),"")="",IF(MAX(IF(IFERROR(FIND(CATALOG_BASE,A1760),0)=1,CATALOG_POINTS,0))=0,DAILY_POST_POINTS,MAX(IF(IFERROR(FIND(CATALOG_BASE,A1760),0)=1,CATALOG_POINTS,0))),IFERROR(INDEX(CATALOG_POINTS,MATCH(A1760,CATALOG_TASK,0)),""))</f>
        <v>6</v>
      </c>
      <c r="D1760" s="10" t="s">
        <v>1153</v>
      </c>
      <c r="E1760" s="41" t="str">
        <f t="shared" si="1"/>
        <v>PROX3</v>
      </c>
    </row>
    <row r="1761" ht="15.75" customHeight="1">
      <c r="A1761" s="10" t="s">
        <v>1154</v>
      </c>
      <c r="B1761" s="10" t="s">
        <v>151</v>
      </c>
      <c r="C1761" s="41">
        <f t="array" ref="C1761">IF(IFERROR(INDEX(CATALOG_POINTS,MATCH(A1761,CATALOG_TASK,0)),"")="",IF(MAX(IF(IFERROR(FIND(CATALOG_BASE,A1761),0)=1,CATALOG_POINTS,0))=0,DAILY_POST_POINTS,MAX(IF(IFERROR(FIND(CATALOG_BASE,A1761),0)=1,CATALOG_POINTS,0))),IFERROR(INDEX(CATALOG_POINTS,MATCH(A1761,CATALOG_TASK,0)),""))</f>
        <v>6</v>
      </c>
      <c r="D1761" s="10" t="s">
        <v>1153</v>
      </c>
      <c r="E1761" s="41" t="str">
        <f t="shared" si="1"/>
        <v>PROX3</v>
      </c>
    </row>
    <row r="1762" ht="15.75" customHeight="1">
      <c r="A1762" s="10" t="s">
        <v>37</v>
      </c>
      <c r="B1762" s="10" t="s">
        <v>124</v>
      </c>
      <c r="C1762" s="41">
        <f t="array" ref="C1762">IF(IFERROR(INDEX(CATALOG_POINTS,MATCH(A1762,CATALOG_TASK,0)),"")="",IF(MAX(IF(IFERROR(FIND(CATALOG_BASE,A1762),0)=1,CATALOG_POINTS,0))=0,DAILY_POST_POINTS,MAX(IF(IFERROR(FIND(CATALOG_BASE,A1762),0)=1,CATALOG_POINTS,0))),IFERROR(INDEX(CATALOG_POINTS,MATCH(A1762,CATALOG_TASK,0)),""))</f>
        <v>2</v>
      </c>
      <c r="D1762" s="10" t="s">
        <v>1155</v>
      </c>
      <c r="E1762" s="41" t="str">
        <f t="shared" si="1"/>
        <v/>
      </c>
    </row>
    <row r="1763" ht="15.75" customHeight="1">
      <c r="A1763" s="10" t="s">
        <v>1155</v>
      </c>
      <c r="B1763" s="10" t="s">
        <v>136</v>
      </c>
      <c r="C1763" s="41">
        <f t="array" ref="C1763">IF(IFERROR(INDEX(CATALOG_POINTS,MATCH(A1763,CATALOG_TASK,0)),"")="",IF(MAX(IF(IFERROR(FIND(CATALOG_BASE,A1763),0)=1,CATALOG_POINTS,0))=0,DAILY_POST_POINTS,MAX(IF(IFERROR(FIND(CATALOG_BASE,A1763),0)=1,CATALOG_POINTS,0))),IFERROR(INDEX(CATALOG_POINTS,MATCH(A1763,CATALOG_TASK,0)),""))</f>
        <v>1</v>
      </c>
      <c r="D1763" s="10" t="s">
        <v>1155</v>
      </c>
      <c r="E1763" s="41" t="str">
        <f t="shared" si="1"/>
        <v/>
      </c>
    </row>
    <row r="1764" ht="15.75" customHeight="1">
      <c r="A1764" s="10" t="s">
        <v>55</v>
      </c>
      <c r="B1764" s="10" t="s">
        <v>142</v>
      </c>
      <c r="C1764" s="41">
        <f t="array" ref="C1764">IF(IFERROR(INDEX(CATALOG_POINTS,MATCH(A1764,CATALOG_TASK,0)),"")="",IF(MAX(IF(IFERROR(FIND(CATALOG_BASE,A1764),0)=1,CATALOG_POINTS,0))=0,DAILY_POST_POINTS,MAX(IF(IFERROR(FIND(CATALOG_BASE,A1764),0)=1,CATALOG_POINTS,0))),IFERROR(INDEX(CATALOG_POINTS,MATCH(A1764,CATALOG_TASK,0)),""))</f>
        <v>8</v>
      </c>
      <c r="D1764" s="10" t="s">
        <v>1155</v>
      </c>
      <c r="E1764" s="41" t="str">
        <f t="shared" si="1"/>
        <v/>
      </c>
    </row>
    <row r="1765" ht="15.75" customHeight="1">
      <c r="A1765" s="10" t="s">
        <v>380</v>
      </c>
      <c r="B1765" s="10" t="s">
        <v>142</v>
      </c>
      <c r="C1765" s="41">
        <f t="array" ref="C1765">IF(IFERROR(INDEX(CATALOG_POINTS,MATCH(A1765,CATALOG_TASK,0)),"")="",IF(MAX(IF(IFERROR(FIND(CATALOG_BASE,A1765),0)=1,CATALOG_POINTS,0))=0,DAILY_POST_POINTS,MAX(IF(IFERROR(FIND(CATALOG_BASE,A1765),0)=1,CATALOG_POINTS,0))),IFERROR(INDEX(CATALOG_POINTS,MATCH(A1765,CATALOG_TASK,0)),""))</f>
        <v>1</v>
      </c>
      <c r="D1765" s="10" t="s">
        <v>1155</v>
      </c>
      <c r="E1765" s="41" t="str">
        <f t="shared" si="1"/>
        <v/>
      </c>
    </row>
    <row r="1766" ht="15.75" customHeight="1">
      <c r="A1766" s="10" t="s">
        <v>1156</v>
      </c>
      <c r="B1766" s="10" t="s">
        <v>122</v>
      </c>
      <c r="C1766" s="41">
        <f t="array" ref="C1766">IF(IFERROR(INDEX(CATALOG_POINTS,MATCH(A1766,CATALOG_TASK,0)),"")="",IF(MAX(IF(IFERROR(FIND(CATALOG_BASE,A1766),0)=1,CATALOG_POINTS,0))=0,DAILY_POST_POINTS,MAX(IF(IFERROR(FIND(CATALOG_BASE,A1766),0)=1,CATALOG_POINTS,0))),IFERROR(INDEX(CATALOG_POINTS,MATCH(A1766,CATALOG_TASK,0)),""))</f>
        <v>1</v>
      </c>
      <c r="D1766" s="10" t="s">
        <v>1156</v>
      </c>
      <c r="E1766" s="41" t="str">
        <f t="shared" si="1"/>
        <v>PROX4</v>
      </c>
    </row>
    <row r="1767" ht="15.75" customHeight="1">
      <c r="A1767" s="10" t="s">
        <v>1157</v>
      </c>
      <c r="B1767" s="10" t="s">
        <v>137</v>
      </c>
      <c r="C1767" s="41">
        <f t="array" ref="C1767">IF(IFERROR(INDEX(CATALOG_POINTS,MATCH(A1767,CATALOG_TASK,0)),"")="",IF(MAX(IF(IFERROR(FIND(CATALOG_BASE,A1767),0)=1,CATALOG_POINTS,0))=0,DAILY_POST_POINTS,MAX(IF(IFERROR(FIND(CATALOG_BASE,A1767),0)=1,CATALOG_POINTS,0))),IFERROR(INDEX(CATALOG_POINTS,MATCH(A1767,CATALOG_TASK,0)),""))</f>
        <v>1</v>
      </c>
      <c r="D1767" s="10" t="s">
        <v>1157</v>
      </c>
      <c r="E1767" s="41" t="str">
        <f t="shared" si="1"/>
        <v>PROX3</v>
      </c>
    </row>
    <row r="1768" ht="15.75" customHeight="1">
      <c r="A1768" s="10" t="s">
        <v>1158</v>
      </c>
      <c r="B1768" s="10" t="s">
        <v>133</v>
      </c>
      <c r="C1768" s="41">
        <f t="array" ref="C1768">IF(IFERROR(INDEX(CATALOG_POINTS,MATCH(A1768,CATALOG_TASK,0)),"")="",IF(MAX(IF(IFERROR(FIND(CATALOG_BASE,A1768),0)=1,CATALOG_POINTS,0))=0,DAILY_POST_POINTS,MAX(IF(IFERROR(FIND(CATALOG_BASE,A1768),0)=1,CATALOG_POINTS,0))),IFERROR(INDEX(CATALOG_POINTS,MATCH(A1768,CATALOG_TASK,0)),""))</f>
        <v>1</v>
      </c>
      <c r="D1768" s="10" t="s">
        <v>1158</v>
      </c>
      <c r="E1768" s="41" t="str">
        <f t="shared" si="1"/>
        <v>PROX4</v>
      </c>
    </row>
    <row r="1769" ht="15.75" customHeight="1">
      <c r="A1769" s="10" t="s">
        <v>34</v>
      </c>
      <c r="B1769" s="10" t="s">
        <v>127</v>
      </c>
      <c r="C1769" s="41">
        <f t="array" ref="C1769">IF(IFERROR(INDEX(CATALOG_POINTS,MATCH(A1769,CATALOG_TASK,0)),"")="",IF(MAX(IF(IFERROR(FIND(CATALOG_BASE,A1769),0)=1,CATALOG_POINTS,0))=0,DAILY_POST_POINTS,MAX(IF(IFERROR(FIND(CATALOG_BASE,A1769),0)=1,CATALOG_POINTS,0))),IFERROR(INDEX(CATALOG_POINTS,MATCH(A1769,CATALOG_TASK,0)),""))</f>
        <v>2</v>
      </c>
      <c r="D1769" s="10" t="s">
        <v>1159</v>
      </c>
      <c r="E1769" s="41" t="str">
        <f t="shared" si="1"/>
        <v/>
      </c>
    </row>
    <row r="1770" ht="15.75" customHeight="1">
      <c r="A1770" s="10" t="s">
        <v>1160</v>
      </c>
      <c r="B1770" s="10" t="s">
        <v>134</v>
      </c>
      <c r="C1770" s="41">
        <f t="array" ref="C1770">IF(IFERROR(INDEX(CATALOG_POINTS,MATCH(A1770,CATALOG_TASK,0)),"")="",IF(MAX(IF(IFERROR(FIND(CATALOG_BASE,A1770),0)=1,CATALOG_POINTS,0))=0,DAILY_POST_POINTS,MAX(IF(IFERROR(FIND(CATALOG_BASE,A1770),0)=1,CATALOG_POINTS,0))),IFERROR(INDEX(CATALOG_POINTS,MATCH(A1770,CATALOG_TASK,0)),""))</f>
        <v>1</v>
      </c>
      <c r="D1770" s="10" t="s">
        <v>1160</v>
      </c>
      <c r="E1770" s="41" t="str">
        <f t="shared" si="1"/>
        <v>PROX3</v>
      </c>
    </row>
    <row r="1771" ht="15.75" customHeight="1">
      <c r="A1771" s="10" t="s">
        <v>1161</v>
      </c>
      <c r="B1771" s="10" t="s">
        <v>122</v>
      </c>
      <c r="C1771" s="41">
        <f t="array" ref="C1771">IF(IFERROR(INDEX(CATALOG_POINTS,MATCH(A1771,CATALOG_TASK,0)),"")="",IF(MAX(IF(IFERROR(FIND(CATALOG_BASE,A1771),0)=1,CATALOG_POINTS,0))=0,DAILY_POST_POINTS,MAX(IF(IFERROR(FIND(CATALOG_BASE,A1771),0)=1,CATALOG_POINTS,0))),IFERROR(INDEX(CATALOG_POINTS,MATCH(A1771,CATALOG_TASK,0)),""))</f>
        <v>1</v>
      </c>
      <c r="D1771" s="10" t="s">
        <v>1161</v>
      </c>
      <c r="E1771" s="41" t="str">
        <f t="shared" si="1"/>
        <v>PROX3</v>
      </c>
    </row>
    <row r="1772" ht="15.75" customHeight="1">
      <c r="A1772" s="10" t="s">
        <v>1162</v>
      </c>
      <c r="B1772" s="10" t="s">
        <v>122</v>
      </c>
      <c r="C1772" s="41">
        <f t="array" ref="C1772">IF(IFERROR(INDEX(CATALOG_POINTS,MATCH(A1772,CATALOG_TASK,0)),"")="",IF(MAX(IF(IFERROR(FIND(CATALOG_BASE,A1772),0)=1,CATALOG_POINTS,0))=0,DAILY_POST_POINTS,MAX(IF(IFERROR(FIND(CATALOG_BASE,A1772),0)=1,CATALOG_POINTS,0))),IFERROR(INDEX(CATALOG_POINTS,MATCH(A1772,CATALOG_TASK,0)),""))</f>
        <v>1</v>
      </c>
      <c r="D1772" s="10" t="s">
        <v>1163</v>
      </c>
      <c r="E1772" s="41" t="str">
        <f t="shared" si="1"/>
        <v/>
      </c>
    </row>
    <row r="1773" ht="15.75" customHeight="1">
      <c r="A1773" s="10" t="s">
        <v>1164</v>
      </c>
      <c r="B1773" s="10" t="s">
        <v>127</v>
      </c>
      <c r="C1773" s="41">
        <f t="array" ref="C1773">IF(IFERROR(INDEX(CATALOG_POINTS,MATCH(A1773,CATALOG_TASK,0)),"")="",IF(MAX(IF(IFERROR(FIND(CATALOG_BASE,A1773),0)=1,CATALOG_POINTS,0))=0,DAILY_POST_POINTS,MAX(IF(IFERROR(FIND(CATALOG_BASE,A1773),0)=1,CATALOG_POINTS,0))),IFERROR(INDEX(CATALOG_POINTS,MATCH(A1773,CATALOG_TASK,0)),""))</f>
        <v>1</v>
      </c>
      <c r="D1773" s="10" t="s">
        <v>1164</v>
      </c>
      <c r="E1773" s="41" t="str">
        <f t="shared" si="1"/>
        <v>PROX3</v>
      </c>
    </row>
    <row r="1774" ht="15.75" customHeight="1">
      <c r="A1774" s="10" t="s">
        <v>168</v>
      </c>
      <c r="B1774" s="10" t="s">
        <v>124</v>
      </c>
      <c r="C1774" s="41">
        <f t="array" ref="C1774">IF(IFERROR(INDEX(CATALOG_POINTS,MATCH(A1774,CATALOG_TASK,0)),"")="",IF(MAX(IF(IFERROR(FIND(CATALOG_BASE,A1774),0)=1,CATALOG_POINTS,0))=0,DAILY_POST_POINTS,MAX(IF(IFERROR(FIND(CATALOG_BASE,A1774),0)=1,CATALOG_POINTS,0))),IFERROR(INDEX(CATALOG_POINTS,MATCH(A1774,CATALOG_TASK,0)),""))</f>
        <v>1</v>
      </c>
      <c r="D1774" s="10" t="s">
        <v>1164</v>
      </c>
      <c r="E1774" s="41" t="str">
        <f t="shared" si="1"/>
        <v>PROX3</v>
      </c>
    </row>
    <row r="1775" ht="15.75" customHeight="1">
      <c r="A1775" s="10" t="s">
        <v>37</v>
      </c>
      <c r="B1775" s="10" t="s">
        <v>124</v>
      </c>
      <c r="C1775" s="41">
        <f t="array" ref="C1775">IF(IFERROR(INDEX(CATALOG_POINTS,MATCH(A1775,CATALOG_TASK,0)),"")="",IF(MAX(IF(IFERROR(FIND(CATALOG_BASE,A1775),0)=1,CATALOG_POINTS,0))=0,DAILY_POST_POINTS,MAX(IF(IFERROR(FIND(CATALOG_BASE,A1775),0)=1,CATALOG_POINTS,0))),IFERROR(INDEX(CATALOG_POINTS,MATCH(A1775,CATALOG_TASK,0)),""))</f>
        <v>2</v>
      </c>
      <c r="D1775" s="10" t="s">
        <v>1164</v>
      </c>
      <c r="E1775" s="41" t="str">
        <f t="shared" si="1"/>
        <v>PROX3</v>
      </c>
    </row>
    <row r="1776" ht="15.75" customHeight="1">
      <c r="A1776" s="10" t="s">
        <v>37</v>
      </c>
      <c r="B1776" s="10" t="s">
        <v>120</v>
      </c>
      <c r="C1776" s="41">
        <f t="array" ref="C1776">IF(IFERROR(INDEX(CATALOG_POINTS,MATCH(A1776,CATALOG_TASK,0)),"")="",IF(MAX(IF(IFERROR(FIND(CATALOG_BASE,A1776),0)=1,CATALOG_POINTS,0))=0,DAILY_POST_POINTS,MAX(IF(IFERROR(FIND(CATALOG_BASE,A1776),0)=1,CATALOG_POINTS,0))),IFERROR(INDEX(CATALOG_POINTS,MATCH(A1776,CATALOG_TASK,0)),""))</f>
        <v>2</v>
      </c>
      <c r="D1776" s="10" t="s">
        <v>1164</v>
      </c>
      <c r="E1776" s="41" t="str">
        <f t="shared" si="1"/>
        <v>PROX3</v>
      </c>
    </row>
    <row r="1777" ht="15.75" customHeight="1">
      <c r="A1777" s="10" t="s">
        <v>1165</v>
      </c>
      <c r="B1777" s="10" t="s">
        <v>137</v>
      </c>
      <c r="C1777" s="41">
        <f t="array" ref="C1777">IF(IFERROR(INDEX(CATALOG_POINTS,MATCH(A1777,CATALOG_TASK,0)),"")="",IF(MAX(IF(IFERROR(FIND(CATALOG_BASE,A1777),0)=1,CATALOG_POINTS,0))=0,DAILY_POST_POINTS,MAX(IF(IFERROR(FIND(CATALOG_BASE,A1777),0)=1,CATALOG_POINTS,0))),IFERROR(INDEX(CATALOG_POINTS,MATCH(A1777,CATALOG_TASK,0)),""))</f>
        <v>1</v>
      </c>
      <c r="D1777" s="10" t="s">
        <v>1165</v>
      </c>
      <c r="E1777" s="41" t="str">
        <f t="shared" si="1"/>
        <v>PROX3</v>
      </c>
    </row>
    <row r="1778" ht="15.75" customHeight="1">
      <c r="A1778" s="10" t="s">
        <v>1166</v>
      </c>
      <c r="B1778" s="10" t="s">
        <v>134</v>
      </c>
      <c r="C1778" s="41">
        <f t="array" ref="C1778">IF(IFERROR(INDEX(CATALOG_POINTS,MATCH(A1778,CATALOG_TASK,0)),"")="",IF(MAX(IF(IFERROR(FIND(CATALOG_BASE,A1778),0)=1,CATALOG_POINTS,0))=0,DAILY_POST_POINTS,MAX(IF(IFERROR(FIND(CATALOG_BASE,A1778),0)=1,CATALOG_POINTS,0))),IFERROR(INDEX(CATALOG_POINTS,MATCH(A1778,CATALOG_TASK,0)),""))</f>
        <v>1</v>
      </c>
      <c r="D1778" s="10" t="s">
        <v>1166</v>
      </c>
      <c r="E1778" s="41" t="str">
        <f t="shared" si="1"/>
        <v>PROX3</v>
      </c>
    </row>
    <row r="1779" ht="15.75" customHeight="1">
      <c r="A1779" s="10" t="s">
        <v>1167</v>
      </c>
      <c r="B1779" s="10" t="s">
        <v>120</v>
      </c>
      <c r="C1779" s="41">
        <f t="array" ref="C1779">IF(IFERROR(INDEX(CATALOG_POINTS,MATCH(A1779,CATALOG_TASK,0)),"")="",IF(MAX(IF(IFERROR(FIND(CATALOG_BASE,A1779),0)=1,CATALOG_POINTS,0))=0,DAILY_POST_POINTS,MAX(IF(IFERROR(FIND(CATALOG_BASE,A1779),0)=1,CATALOG_POINTS,0))),IFERROR(INDEX(CATALOG_POINTS,MATCH(A1779,CATALOG_TASK,0)),""))</f>
        <v>1</v>
      </c>
      <c r="D1779" s="10" t="s">
        <v>1167</v>
      </c>
      <c r="E1779" s="41" t="str">
        <f t="shared" si="1"/>
        <v>PROX4</v>
      </c>
    </row>
    <row r="1780" ht="15.75" customHeight="1">
      <c r="A1780" s="10" t="s">
        <v>37</v>
      </c>
      <c r="B1780" s="10" t="s">
        <v>122</v>
      </c>
      <c r="C1780" s="41">
        <f t="array" ref="C1780">IF(IFERROR(INDEX(CATALOG_POINTS,MATCH(A1780,CATALOG_TASK,0)),"")="",IF(MAX(IF(IFERROR(FIND(CATALOG_BASE,A1780),0)=1,CATALOG_POINTS,0))=0,DAILY_POST_POINTS,MAX(IF(IFERROR(FIND(CATALOG_BASE,A1780),0)=1,CATALOG_POINTS,0))),IFERROR(INDEX(CATALOG_POINTS,MATCH(A1780,CATALOG_TASK,0)),""))</f>
        <v>2</v>
      </c>
      <c r="D1780" s="10" t="s">
        <v>1168</v>
      </c>
      <c r="E1780" s="41" t="str">
        <f t="shared" si="1"/>
        <v>E0</v>
      </c>
    </row>
    <row r="1781" ht="15.75" customHeight="1">
      <c r="A1781" s="10" t="s">
        <v>1168</v>
      </c>
      <c r="B1781" s="10" t="s">
        <v>122</v>
      </c>
      <c r="C1781" s="41">
        <f t="array" ref="C1781">IF(IFERROR(INDEX(CATALOG_POINTS,MATCH(A1781,CATALOG_TASK,0)),"")="",IF(MAX(IF(IFERROR(FIND(CATALOG_BASE,A1781),0)=1,CATALOG_POINTS,0))=0,DAILY_POST_POINTS,MAX(IF(IFERROR(FIND(CATALOG_BASE,A1781),0)=1,CATALOG_POINTS,0))),IFERROR(INDEX(CATALOG_POINTS,MATCH(A1781,CATALOG_TASK,0)),""))</f>
        <v>1</v>
      </c>
      <c r="D1781" s="10" t="s">
        <v>1168</v>
      </c>
      <c r="E1781" s="41" t="str">
        <f t="shared" si="1"/>
        <v>E0</v>
      </c>
    </row>
    <row r="1782" ht="15.75" customHeight="1">
      <c r="A1782" s="10" t="s">
        <v>1169</v>
      </c>
      <c r="B1782" s="10" t="s">
        <v>135</v>
      </c>
      <c r="C1782" s="41">
        <f t="array" ref="C1782">IF(IFERROR(INDEX(CATALOG_POINTS,MATCH(A1782,CATALOG_TASK,0)),"")="",IF(MAX(IF(IFERROR(FIND(CATALOG_BASE,A1782),0)=1,CATALOG_POINTS,0))=0,DAILY_POST_POINTS,MAX(IF(IFERROR(FIND(CATALOG_BASE,A1782),0)=1,CATALOG_POINTS,0))),IFERROR(INDEX(CATALOG_POINTS,MATCH(A1782,CATALOG_TASK,0)),""))</f>
        <v>1</v>
      </c>
      <c r="D1782" s="10" t="s">
        <v>1169</v>
      </c>
      <c r="E1782" s="41" t="str">
        <f t="shared" si="1"/>
        <v>PROX3</v>
      </c>
    </row>
    <row r="1783" ht="15.75" customHeight="1">
      <c r="A1783" s="10" t="s">
        <v>37</v>
      </c>
      <c r="B1783" s="10" t="s">
        <v>122</v>
      </c>
      <c r="C1783" s="41">
        <f t="array" ref="C1783">IF(IFERROR(INDEX(CATALOG_POINTS,MATCH(A1783,CATALOG_TASK,0)),"")="",IF(MAX(IF(IFERROR(FIND(CATALOG_BASE,A1783),0)=1,CATALOG_POINTS,0))=0,DAILY_POST_POINTS,MAX(IF(IFERROR(FIND(CATALOG_BASE,A1783),0)=1,CATALOG_POINTS,0))),IFERROR(INDEX(CATALOG_POINTS,MATCH(A1783,CATALOG_TASK,0)),""))</f>
        <v>2</v>
      </c>
      <c r="D1783" s="10" t="s">
        <v>1169</v>
      </c>
      <c r="E1783" s="41" t="str">
        <f t="shared" si="1"/>
        <v>PROX3</v>
      </c>
    </row>
    <row r="1784" ht="15.75" customHeight="1">
      <c r="A1784" s="10" t="s">
        <v>170</v>
      </c>
      <c r="B1784" s="10" t="s">
        <v>125</v>
      </c>
      <c r="C1784" s="41">
        <f t="array" ref="C1784">IF(IFERROR(INDEX(CATALOG_POINTS,MATCH(A1784,CATALOG_TASK,0)),"")="",IF(MAX(IF(IFERROR(FIND(CATALOG_BASE,A1784),0)=1,CATALOG_POINTS,0))=0,DAILY_POST_POINTS,MAX(IF(IFERROR(FIND(CATALOG_BASE,A1784),0)=1,CATALOG_POINTS,0))),IFERROR(INDEX(CATALOG_POINTS,MATCH(A1784,CATALOG_TASK,0)),""))</f>
        <v>1</v>
      </c>
      <c r="D1784" s="10" t="s">
        <v>1170</v>
      </c>
      <c r="E1784" s="41" t="str">
        <f t="shared" si="1"/>
        <v>PROX3</v>
      </c>
    </row>
    <row r="1785" ht="15.75" customHeight="1">
      <c r="A1785" s="10" t="s">
        <v>168</v>
      </c>
      <c r="B1785" s="10" t="s">
        <v>126</v>
      </c>
      <c r="C1785" s="41">
        <f t="array" ref="C1785">IF(IFERROR(INDEX(CATALOG_POINTS,MATCH(A1785,CATALOG_TASK,0)),"")="",IF(MAX(IF(IFERROR(FIND(CATALOG_BASE,A1785),0)=1,CATALOG_POINTS,0))=0,DAILY_POST_POINTS,MAX(IF(IFERROR(FIND(CATALOG_BASE,A1785),0)=1,CATALOG_POINTS,0))),IFERROR(INDEX(CATALOG_POINTS,MATCH(A1785,CATALOG_TASK,0)),""))</f>
        <v>1</v>
      </c>
      <c r="D1785" s="10" t="s">
        <v>1170</v>
      </c>
      <c r="E1785" s="41" t="str">
        <f t="shared" si="1"/>
        <v>PROX3</v>
      </c>
    </row>
    <row r="1786" ht="15.75" customHeight="1">
      <c r="A1786" s="10" t="s">
        <v>170</v>
      </c>
      <c r="B1786" s="10" t="s">
        <v>123</v>
      </c>
      <c r="C1786" s="41">
        <f t="array" ref="C1786">IF(IFERROR(INDEX(CATALOG_POINTS,MATCH(A1786,CATALOG_TASK,0)),"")="",IF(MAX(IF(IFERROR(FIND(CATALOG_BASE,A1786),0)=1,CATALOG_POINTS,0))=0,DAILY_POST_POINTS,MAX(IF(IFERROR(FIND(CATALOG_BASE,A1786),0)=1,CATALOG_POINTS,0))),IFERROR(INDEX(CATALOG_POINTS,MATCH(A1786,CATALOG_TASK,0)),""))</f>
        <v>1</v>
      </c>
      <c r="D1786" s="10" t="s">
        <v>1170</v>
      </c>
      <c r="E1786" s="41" t="str">
        <f t="shared" si="1"/>
        <v>PROX3</v>
      </c>
    </row>
    <row r="1787" ht="15.75" customHeight="1">
      <c r="A1787" s="10" t="s">
        <v>174</v>
      </c>
      <c r="B1787" s="10" t="s">
        <v>123</v>
      </c>
      <c r="C1787" s="41">
        <f t="array" ref="C1787">IF(IFERROR(INDEX(CATALOG_POINTS,MATCH(A1787,CATALOG_TASK,0)),"")="",IF(MAX(IF(IFERROR(FIND(CATALOG_BASE,A1787),0)=1,CATALOG_POINTS,0))=0,DAILY_POST_POINTS,MAX(IF(IFERROR(FIND(CATALOG_BASE,A1787),0)=1,CATALOG_POINTS,0))),IFERROR(INDEX(CATALOG_POINTS,MATCH(A1787,CATALOG_TASK,0)),""))</f>
        <v>1</v>
      </c>
      <c r="D1787" s="10" t="s">
        <v>1170</v>
      </c>
      <c r="E1787" s="41" t="str">
        <f t="shared" si="1"/>
        <v>PROX3</v>
      </c>
    </row>
    <row r="1788" ht="15.75" customHeight="1">
      <c r="A1788" s="10" t="s">
        <v>1171</v>
      </c>
      <c r="B1788" s="10" t="s">
        <v>124</v>
      </c>
      <c r="C1788" s="41">
        <f t="array" ref="C1788">IF(IFERROR(INDEX(CATALOG_POINTS,MATCH(A1788,CATALOG_TASK,0)),"")="",IF(MAX(IF(IFERROR(FIND(CATALOG_BASE,A1788),0)=1,CATALOG_POINTS,0))=0,DAILY_POST_POINTS,MAX(IF(IFERROR(FIND(CATALOG_BASE,A1788),0)=1,CATALOG_POINTS,0))),IFERROR(INDEX(CATALOG_POINTS,MATCH(A1788,CATALOG_TASK,0)),""))</f>
        <v>1</v>
      </c>
      <c r="D1788" s="10" t="s">
        <v>1170</v>
      </c>
      <c r="E1788" s="41" t="str">
        <f t="shared" si="1"/>
        <v>PROX3</v>
      </c>
    </row>
    <row r="1789" ht="15.75" customHeight="1">
      <c r="A1789" s="10" t="s">
        <v>170</v>
      </c>
      <c r="B1789" s="10" t="s">
        <v>117</v>
      </c>
      <c r="C1789" s="41">
        <f t="array" ref="C1789">IF(IFERROR(INDEX(CATALOG_POINTS,MATCH(A1789,CATALOG_TASK,0)),"")="",IF(MAX(IF(IFERROR(FIND(CATALOG_BASE,A1789),0)=1,CATALOG_POINTS,0))=0,DAILY_POST_POINTS,MAX(IF(IFERROR(FIND(CATALOG_BASE,A1789),0)=1,CATALOG_POINTS,0))),IFERROR(INDEX(CATALOG_POINTS,MATCH(A1789,CATALOG_TASK,0)),""))</f>
        <v>1</v>
      </c>
      <c r="D1789" s="10" t="s">
        <v>1170</v>
      </c>
      <c r="E1789" s="41" t="str">
        <f t="shared" si="1"/>
        <v>PROX3</v>
      </c>
    </row>
    <row r="1790" ht="15.75" customHeight="1">
      <c r="A1790" s="10" t="s">
        <v>168</v>
      </c>
      <c r="B1790" s="10" t="s">
        <v>117</v>
      </c>
      <c r="C1790" s="41">
        <f t="array" ref="C1790">IF(IFERROR(INDEX(CATALOG_POINTS,MATCH(A1790,CATALOG_TASK,0)),"")="",IF(MAX(IF(IFERROR(FIND(CATALOG_BASE,A1790),0)=1,CATALOG_POINTS,0))=0,DAILY_POST_POINTS,MAX(IF(IFERROR(FIND(CATALOG_BASE,A1790),0)=1,CATALOG_POINTS,0))),IFERROR(INDEX(CATALOG_POINTS,MATCH(A1790,CATALOG_TASK,0)),""))</f>
        <v>1</v>
      </c>
      <c r="D1790" s="10" t="s">
        <v>1170</v>
      </c>
      <c r="E1790" s="41" t="str">
        <f t="shared" si="1"/>
        <v>PROX3</v>
      </c>
    </row>
    <row r="1791" ht="15.75" customHeight="1">
      <c r="A1791" s="10" t="s">
        <v>1170</v>
      </c>
      <c r="B1791" s="10" t="s">
        <v>123</v>
      </c>
      <c r="C1791" s="41">
        <f t="array" ref="C1791">IF(IFERROR(INDEX(CATALOG_POINTS,MATCH(A1791,CATALOG_TASK,0)),"")="",IF(MAX(IF(IFERROR(FIND(CATALOG_BASE,A1791),0)=1,CATALOG_POINTS,0))=0,DAILY_POST_POINTS,MAX(IF(IFERROR(FIND(CATALOG_BASE,A1791),0)=1,CATALOG_POINTS,0))),IFERROR(INDEX(CATALOG_POINTS,MATCH(A1791,CATALOG_TASK,0)),""))</f>
        <v>1</v>
      </c>
      <c r="D1791" s="10" t="s">
        <v>1170</v>
      </c>
      <c r="E1791" s="41" t="str">
        <f t="shared" si="1"/>
        <v>PROX3</v>
      </c>
    </row>
    <row r="1792" ht="15.75" customHeight="1">
      <c r="A1792" s="10" t="s">
        <v>170</v>
      </c>
      <c r="B1792" s="10" t="s">
        <v>126</v>
      </c>
      <c r="C1792" s="41">
        <f t="array" ref="C1792">IF(IFERROR(INDEX(CATALOG_POINTS,MATCH(A1792,CATALOG_TASK,0)),"")="",IF(MAX(IF(IFERROR(FIND(CATALOG_BASE,A1792),0)=1,CATALOG_POINTS,0))=0,DAILY_POST_POINTS,MAX(IF(IFERROR(FIND(CATALOG_BASE,A1792),0)=1,CATALOG_POINTS,0))),IFERROR(INDEX(CATALOG_POINTS,MATCH(A1792,CATALOG_TASK,0)),""))</f>
        <v>1</v>
      </c>
      <c r="D1792" s="10" t="s">
        <v>1170</v>
      </c>
      <c r="E1792" s="41" t="str">
        <f t="shared" si="1"/>
        <v>PROX3</v>
      </c>
    </row>
    <row r="1793" ht="15.75" customHeight="1">
      <c r="A1793" s="10" t="s">
        <v>170</v>
      </c>
      <c r="B1793" s="10" t="s">
        <v>117</v>
      </c>
      <c r="C1793" s="41">
        <f t="array" ref="C1793">IF(IFERROR(INDEX(CATALOG_POINTS,MATCH(A1793,CATALOG_TASK,0)),"")="",IF(MAX(IF(IFERROR(FIND(CATALOG_BASE,A1793),0)=1,CATALOG_POINTS,0))=0,DAILY_POST_POINTS,MAX(IF(IFERROR(FIND(CATALOG_BASE,A1793),0)=1,CATALOG_POINTS,0))),IFERROR(INDEX(CATALOG_POINTS,MATCH(A1793,CATALOG_TASK,0)),""))</f>
        <v>1</v>
      </c>
      <c r="D1793" s="10" t="s">
        <v>1170</v>
      </c>
      <c r="E1793" s="41" t="str">
        <f t="shared" si="1"/>
        <v>PROX3</v>
      </c>
    </row>
    <row r="1794" ht="15.75" customHeight="1">
      <c r="A1794" s="10" t="s">
        <v>170</v>
      </c>
      <c r="B1794" s="10" t="s">
        <v>123</v>
      </c>
      <c r="C1794" s="41">
        <f t="array" ref="C1794">IF(IFERROR(INDEX(CATALOG_POINTS,MATCH(A1794,CATALOG_TASK,0)),"")="",IF(MAX(IF(IFERROR(FIND(CATALOG_BASE,A1794),0)=1,CATALOG_POINTS,0))=0,DAILY_POST_POINTS,MAX(IF(IFERROR(FIND(CATALOG_BASE,A1794),0)=1,CATALOG_POINTS,0))),IFERROR(INDEX(CATALOG_POINTS,MATCH(A1794,CATALOG_TASK,0)),""))</f>
        <v>1</v>
      </c>
      <c r="D1794" s="10" t="s">
        <v>1170</v>
      </c>
      <c r="E1794" s="41" t="str">
        <f t="shared" si="1"/>
        <v>PROX3</v>
      </c>
    </row>
    <row r="1795" ht="15.75" customHeight="1">
      <c r="A1795" s="10" t="s">
        <v>170</v>
      </c>
      <c r="B1795" s="10" t="s">
        <v>117</v>
      </c>
      <c r="C1795" s="41">
        <f t="array" ref="C1795">IF(IFERROR(INDEX(CATALOG_POINTS,MATCH(A1795,CATALOG_TASK,0)),"")="",IF(MAX(IF(IFERROR(FIND(CATALOG_BASE,A1795),0)=1,CATALOG_POINTS,0))=0,DAILY_POST_POINTS,MAX(IF(IFERROR(FIND(CATALOG_BASE,A1795),0)=1,CATALOG_POINTS,0))),IFERROR(INDEX(CATALOG_POINTS,MATCH(A1795,CATALOG_TASK,0)),""))</f>
        <v>1</v>
      </c>
      <c r="D1795" s="10" t="s">
        <v>1170</v>
      </c>
      <c r="E1795" s="41" t="str">
        <f t="shared" si="1"/>
        <v>PROX3</v>
      </c>
    </row>
    <row r="1796" ht="15.75" customHeight="1">
      <c r="A1796" s="10" t="s">
        <v>1172</v>
      </c>
      <c r="B1796" s="10" t="s">
        <v>132</v>
      </c>
      <c r="C1796" s="41">
        <f t="array" ref="C1796">IF(IFERROR(INDEX(CATALOG_POINTS,MATCH(A1796,CATALOG_TASK,0)),"")="",IF(MAX(IF(IFERROR(FIND(CATALOG_BASE,A1796),0)=1,CATALOG_POINTS,0))=0,DAILY_POST_POINTS,MAX(IF(IFERROR(FIND(CATALOG_BASE,A1796),0)=1,CATALOG_POINTS,0))),IFERROR(INDEX(CATALOG_POINTS,MATCH(A1796,CATALOG_TASK,0)),""))</f>
        <v>1</v>
      </c>
      <c r="D1796" s="10" t="s">
        <v>1172</v>
      </c>
      <c r="E1796" s="41" t="str">
        <f t="shared" si="1"/>
        <v>SE1</v>
      </c>
    </row>
    <row r="1797" ht="15.75" customHeight="1">
      <c r="A1797" s="10" t="s">
        <v>1173</v>
      </c>
      <c r="B1797" s="10" t="s">
        <v>120</v>
      </c>
      <c r="C1797" s="41">
        <f t="array" ref="C1797">IF(IFERROR(INDEX(CATALOG_POINTS,MATCH(A1797,CATALOG_TASK,0)),"")="",IF(MAX(IF(IFERROR(FIND(CATALOG_BASE,A1797),0)=1,CATALOG_POINTS,0))=0,DAILY_POST_POINTS,MAX(IF(IFERROR(FIND(CATALOG_BASE,A1797),0)=1,CATALOG_POINTS,0))),IFERROR(INDEX(CATALOG_POINTS,MATCH(A1797,CATALOG_TASK,0)),""))</f>
        <v>1</v>
      </c>
      <c r="D1797" s="10" t="s">
        <v>1174</v>
      </c>
      <c r="E1797" s="41" t="str">
        <f t="shared" si="1"/>
        <v/>
      </c>
    </row>
    <row r="1798" ht="15.75" customHeight="1">
      <c r="A1798" s="10" t="s">
        <v>174</v>
      </c>
      <c r="B1798" s="10" t="s">
        <v>124</v>
      </c>
      <c r="C1798" s="41">
        <f t="array" ref="C1798">IF(IFERROR(INDEX(CATALOG_POINTS,MATCH(A1798,CATALOG_TASK,0)),"")="",IF(MAX(IF(IFERROR(FIND(CATALOG_BASE,A1798),0)=1,CATALOG_POINTS,0))=0,DAILY_POST_POINTS,MAX(IF(IFERROR(FIND(CATALOG_BASE,A1798),0)=1,CATALOG_POINTS,0))),IFERROR(INDEX(CATALOG_POINTS,MATCH(A1798,CATALOG_TASK,0)),""))</f>
        <v>1</v>
      </c>
      <c r="D1798" s="10" t="s">
        <v>1174</v>
      </c>
      <c r="E1798" s="41" t="str">
        <f t="shared" si="1"/>
        <v/>
      </c>
    </row>
    <row r="1799" ht="15.75" customHeight="1">
      <c r="A1799" s="10" t="s">
        <v>1173</v>
      </c>
      <c r="B1799" s="10" t="s">
        <v>120</v>
      </c>
      <c r="C1799" s="41">
        <f t="array" ref="C1799">IF(IFERROR(INDEX(CATALOG_POINTS,MATCH(A1799,CATALOG_TASK,0)),"")="",IF(MAX(IF(IFERROR(FIND(CATALOG_BASE,A1799),0)=1,CATALOG_POINTS,0))=0,DAILY_POST_POINTS,MAX(IF(IFERROR(FIND(CATALOG_BASE,A1799),0)=1,CATALOG_POINTS,0))),IFERROR(INDEX(CATALOG_POINTS,MATCH(A1799,CATALOG_TASK,0)),""))</f>
        <v>1</v>
      </c>
      <c r="D1799" s="10" t="s">
        <v>1174</v>
      </c>
      <c r="E1799" s="41" t="str">
        <f t="shared" si="1"/>
        <v/>
      </c>
    </row>
    <row r="1800" ht="15.75" customHeight="1">
      <c r="A1800" s="10" t="s">
        <v>168</v>
      </c>
      <c r="B1800" s="10" t="s">
        <v>119</v>
      </c>
      <c r="C1800" s="41">
        <f t="array" ref="C1800">IF(IFERROR(INDEX(CATALOG_POINTS,MATCH(A1800,CATALOG_TASK,0)),"")="",IF(MAX(IF(IFERROR(FIND(CATALOG_BASE,A1800),0)=1,CATALOG_POINTS,0))=0,DAILY_POST_POINTS,MAX(IF(IFERROR(FIND(CATALOG_BASE,A1800),0)=1,CATALOG_POINTS,0))),IFERROR(INDEX(CATALOG_POINTS,MATCH(A1800,CATALOG_TASK,0)),""))</f>
        <v>1</v>
      </c>
      <c r="D1800" s="10" t="s">
        <v>1174</v>
      </c>
      <c r="E1800" s="41" t="str">
        <f t="shared" si="1"/>
        <v/>
      </c>
    </row>
    <row r="1801" ht="15.75" customHeight="1">
      <c r="A1801" s="10" t="s">
        <v>168</v>
      </c>
      <c r="B1801" s="10" t="s">
        <v>119</v>
      </c>
      <c r="C1801" s="41">
        <f t="array" ref="C1801">IF(IFERROR(INDEX(CATALOG_POINTS,MATCH(A1801,CATALOG_TASK,0)),"")="",IF(MAX(IF(IFERROR(FIND(CATALOG_BASE,A1801),0)=1,CATALOG_POINTS,0))=0,DAILY_POST_POINTS,MAX(IF(IFERROR(FIND(CATALOG_BASE,A1801),0)=1,CATALOG_POINTS,0))),IFERROR(INDEX(CATALOG_POINTS,MATCH(A1801,CATALOG_TASK,0)),""))</f>
        <v>1</v>
      </c>
      <c r="D1801" s="10" t="s">
        <v>1174</v>
      </c>
      <c r="E1801" s="41" t="str">
        <f t="shared" si="1"/>
        <v/>
      </c>
    </row>
    <row r="1802" ht="15.75" customHeight="1">
      <c r="A1802" s="10" t="s">
        <v>37</v>
      </c>
      <c r="B1802" s="10" t="s">
        <v>120</v>
      </c>
      <c r="C1802" s="41">
        <f t="array" ref="C1802">IF(IFERROR(INDEX(CATALOG_POINTS,MATCH(A1802,CATALOG_TASK,0)),"")="",IF(MAX(IF(IFERROR(FIND(CATALOG_BASE,A1802),0)=1,CATALOG_POINTS,0))=0,DAILY_POST_POINTS,MAX(IF(IFERROR(FIND(CATALOG_BASE,A1802),0)=1,CATALOG_POINTS,0))),IFERROR(INDEX(CATALOG_POINTS,MATCH(A1802,CATALOG_TASK,0)),""))</f>
        <v>2</v>
      </c>
      <c r="D1802" s="10" t="s">
        <v>1174</v>
      </c>
      <c r="E1802" s="41" t="str">
        <f t="shared" si="1"/>
        <v/>
      </c>
    </row>
    <row r="1803" ht="15.75" customHeight="1">
      <c r="A1803" s="10" t="s">
        <v>168</v>
      </c>
      <c r="B1803" s="10" t="s">
        <v>119</v>
      </c>
      <c r="C1803" s="41">
        <f t="array" ref="C1803">IF(IFERROR(INDEX(CATALOG_POINTS,MATCH(A1803,CATALOG_TASK,0)),"")="",IF(MAX(IF(IFERROR(FIND(CATALOG_BASE,A1803),0)=1,CATALOG_POINTS,0))=0,DAILY_POST_POINTS,MAX(IF(IFERROR(FIND(CATALOG_BASE,A1803),0)=1,CATALOG_POINTS,0))),IFERROR(INDEX(CATALOG_POINTS,MATCH(A1803,CATALOG_TASK,0)),""))</f>
        <v>1</v>
      </c>
      <c r="D1803" s="10" t="s">
        <v>1174</v>
      </c>
      <c r="E1803" s="41" t="str">
        <f t="shared" si="1"/>
        <v/>
      </c>
    </row>
    <row r="1804" ht="15.75" customHeight="1">
      <c r="A1804" s="10" t="s">
        <v>1174</v>
      </c>
      <c r="B1804" s="10" t="s">
        <v>121</v>
      </c>
      <c r="C1804" s="41">
        <f t="array" ref="C1804">IF(IFERROR(INDEX(CATALOG_POINTS,MATCH(A1804,CATALOG_TASK,0)),"")="",IF(MAX(IF(IFERROR(FIND(CATALOG_BASE,A1804),0)=1,CATALOG_POINTS,0))=0,DAILY_POST_POINTS,MAX(IF(IFERROR(FIND(CATALOG_BASE,A1804),0)=1,CATALOG_POINTS,0))),IFERROR(INDEX(CATALOG_POINTS,MATCH(A1804,CATALOG_TASK,0)),""))</f>
        <v>1</v>
      </c>
      <c r="D1804" s="10" t="s">
        <v>1174</v>
      </c>
      <c r="E1804" s="41" t="str">
        <f t="shared" si="1"/>
        <v/>
      </c>
    </row>
    <row r="1805" ht="15.75" customHeight="1">
      <c r="A1805" s="10" t="s">
        <v>55</v>
      </c>
      <c r="B1805" s="10" t="s">
        <v>140</v>
      </c>
      <c r="C1805" s="41">
        <f t="array" ref="C1805">IF(IFERROR(INDEX(CATALOG_POINTS,MATCH(A1805,CATALOG_TASK,0)),"")="",IF(MAX(IF(IFERROR(FIND(CATALOG_BASE,A1805),0)=1,CATALOG_POINTS,0))=0,DAILY_POST_POINTS,MAX(IF(IFERROR(FIND(CATALOG_BASE,A1805),0)=1,CATALOG_POINTS,0))),IFERROR(INDEX(CATALOG_POINTS,MATCH(A1805,CATALOG_TASK,0)),""))</f>
        <v>8</v>
      </c>
      <c r="D1805" s="10" t="s">
        <v>1174</v>
      </c>
      <c r="E1805" s="41" t="str">
        <f t="shared" si="1"/>
        <v/>
      </c>
    </row>
    <row r="1806" ht="15.75" customHeight="1">
      <c r="A1806" s="10" t="s">
        <v>1175</v>
      </c>
      <c r="B1806" s="10" t="s">
        <v>126</v>
      </c>
      <c r="C1806" s="41">
        <f t="array" ref="C1806">IF(IFERROR(INDEX(CATALOG_POINTS,MATCH(A1806,CATALOG_TASK,0)),"")="",IF(MAX(IF(IFERROR(FIND(CATALOG_BASE,A1806),0)=1,CATALOG_POINTS,0))=0,DAILY_POST_POINTS,MAX(IF(IFERROR(FIND(CATALOG_BASE,A1806),0)=1,CATALOG_POINTS,0))),IFERROR(INDEX(CATALOG_POINTS,MATCH(A1806,CATALOG_TASK,0)),""))</f>
        <v>1</v>
      </c>
      <c r="D1806" s="10" t="s">
        <v>1175</v>
      </c>
      <c r="E1806" s="41" t="str">
        <f t="shared" si="1"/>
        <v>PROX3</v>
      </c>
    </row>
    <row r="1807" ht="15.75" customHeight="1">
      <c r="A1807" s="10" t="s">
        <v>1176</v>
      </c>
      <c r="B1807" s="10" t="s">
        <v>136</v>
      </c>
      <c r="C1807" s="41">
        <f t="array" ref="C1807">IF(IFERROR(INDEX(CATALOG_POINTS,MATCH(A1807,CATALOG_TASK,0)),"")="",IF(MAX(IF(IFERROR(FIND(CATALOG_BASE,A1807),0)=1,CATALOG_POINTS,0))=0,DAILY_POST_POINTS,MAX(IF(IFERROR(FIND(CATALOG_BASE,A1807),0)=1,CATALOG_POINTS,0))),IFERROR(INDEX(CATALOG_POINTS,MATCH(A1807,CATALOG_TASK,0)),""))</f>
        <v>1</v>
      </c>
      <c r="D1807" s="10" t="s">
        <v>1176</v>
      </c>
      <c r="E1807" s="41" t="str">
        <f t="shared" si="1"/>
        <v>PROX3</v>
      </c>
    </row>
    <row r="1808" ht="15.75" customHeight="1">
      <c r="A1808" s="10" t="s">
        <v>1177</v>
      </c>
      <c r="B1808" s="10" t="s">
        <v>128</v>
      </c>
      <c r="C1808" s="41">
        <f t="array" ref="C1808">IF(IFERROR(INDEX(CATALOG_POINTS,MATCH(A1808,CATALOG_TASK,0)),"")="",IF(MAX(IF(IFERROR(FIND(CATALOG_BASE,A1808),0)=1,CATALOG_POINTS,0))=0,DAILY_POST_POINTS,MAX(IF(IFERROR(FIND(CATALOG_BASE,A1808),0)=1,CATALOG_POINTS,0))),IFERROR(INDEX(CATALOG_POINTS,MATCH(A1808,CATALOG_TASK,0)),""))</f>
        <v>1</v>
      </c>
      <c r="D1808" s="10" t="s">
        <v>1177</v>
      </c>
      <c r="E1808" s="41" t="str">
        <f t="shared" si="1"/>
        <v>PROX3</v>
      </c>
    </row>
    <row r="1809" ht="15.75" customHeight="1">
      <c r="A1809" s="10" t="s">
        <v>1178</v>
      </c>
      <c r="B1809" s="10" t="s">
        <v>127</v>
      </c>
      <c r="C1809" s="41">
        <f t="array" ref="C1809">IF(IFERROR(INDEX(CATALOG_POINTS,MATCH(A1809,CATALOG_TASK,0)),"")="",IF(MAX(IF(IFERROR(FIND(CATALOG_BASE,A1809),0)=1,CATALOG_POINTS,0))=0,DAILY_POST_POINTS,MAX(IF(IFERROR(FIND(CATALOG_BASE,A1809),0)=1,CATALOG_POINTS,0))),IFERROR(INDEX(CATALOG_POINTS,MATCH(A1809,CATALOG_TASK,0)),""))</f>
        <v>1</v>
      </c>
      <c r="D1809" s="10" t="s">
        <v>1178</v>
      </c>
      <c r="E1809" s="41" t="str">
        <f t="shared" si="1"/>
        <v>PROX4</v>
      </c>
    </row>
    <row r="1810" ht="15.75" customHeight="1">
      <c r="A1810" s="10" t="s">
        <v>177</v>
      </c>
      <c r="B1810" s="10" t="s">
        <v>140</v>
      </c>
      <c r="C1810" s="41">
        <f t="array" ref="C1810">IF(IFERROR(INDEX(CATALOG_POINTS,MATCH(A1810,CATALOG_TASK,0)),"")="",IF(MAX(IF(IFERROR(FIND(CATALOG_BASE,A1810),0)=1,CATALOG_POINTS,0))=0,DAILY_POST_POINTS,MAX(IF(IFERROR(FIND(CATALOG_BASE,A1810),0)=1,CATALOG_POINTS,0))),IFERROR(INDEX(CATALOG_POINTS,MATCH(A1810,CATALOG_TASK,0)),""))</f>
        <v>6</v>
      </c>
      <c r="D1810" s="10" t="s">
        <v>1178</v>
      </c>
      <c r="E1810" s="41" t="str">
        <f t="shared" si="1"/>
        <v>PROX4</v>
      </c>
    </row>
    <row r="1811" ht="15.75" customHeight="1">
      <c r="A1811" s="10" t="s">
        <v>1179</v>
      </c>
      <c r="B1811" s="10" t="s">
        <v>122</v>
      </c>
      <c r="C1811" s="41">
        <f t="array" ref="C1811">IF(IFERROR(INDEX(CATALOG_POINTS,MATCH(A1811,CATALOG_TASK,0)),"")="",IF(MAX(IF(IFERROR(FIND(CATALOG_BASE,A1811),0)=1,CATALOG_POINTS,0))=0,DAILY_POST_POINTS,MAX(IF(IFERROR(FIND(CATALOG_BASE,A1811),0)=1,CATALOG_POINTS,0))),IFERROR(INDEX(CATALOG_POINTS,MATCH(A1811,CATALOG_TASK,0)),""))</f>
        <v>1</v>
      </c>
      <c r="D1811" s="10" t="s">
        <v>1179</v>
      </c>
      <c r="E1811" s="41" t="str">
        <f t="shared" si="1"/>
        <v>PROX4</v>
      </c>
    </row>
    <row r="1812" ht="15.75" customHeight="1">
      <c r="A1812" s="10" t="s">
        <v>37</v>
      </c>
      <c r="B1812" s="10" t="s">
        <v>122</v>
      </c>
      <c r="C1812" s="41">
        <f t="array" ref="C1812">IF(IFERROR(INDEX(CATALOG_POINTS,MATCH(A1812,CATALOG_TASK,0)),"")="",IF(MAX(IF(IFERROR(FIND(CATALOG_BASE,A1812),0)=1,CATALOG_POINTS,0))=0,DAILY_POST_POINTS,MAX(IF(IFERROR(FIND(CATALOG_BASE,A1812),0)=1,CATALOG_POINTS,0))),IFERROR(INDEX(CATALOG_POINTS,MATCH(A1812,CATALOG_TASK,0)),""))</f>
        <v>2</v>
      </c>
      <c r="D1812" s="10" t="s">
        <v>1180</v>
      </c>
      <c r="E1812" s="41" t="str">
        <f t="shared" si="1"/>
        <v/>
      </c>
    </row>
    <row r="1813" ht="15.75" customHeight="1">
      <c r="A1813" s="10" t="s">
        <v>1180</v>
      </c>
      <c r="B1813" s="10" t="s">
        <v>124</v>
      </c>
      <c r="C1813" s="41">
        <f t="array" ref="C1813">IF(IFERROR(INDEX(CATALOG_POINTS,MATCH(A1813,CATALOG_TASK,0)),"")="",IF(MAX(IF(IFERROR(FIND(CATALOG_BASE,A1813),0)=1,CATALOG_POINTS,0))=0,DAILY_POST_POINTS,MAX(IF(IFERROR(FIND(CATALOG_BASE,A1813),0)=1,CATALOG_POINTS,0))),IFERROR(INDEX(CATALOG_POINTS,MATCH(A1813,CATALOG_TASK,0)),""))</f>
        <v>1</v>
      </c>
      <c r="D1813" s="10" t="s">
        <v>1180</v>
      </c>
      <c r="E1813" s="41" t="str">
        <f t="shared" si="1"/>
        <v/>
      </c>
    </row>
    <row r="1814" ht="15.75" customHeight="1">
      <c r="A1814" s="10" t="s">
        <v>1181</v>
      </c>
      <c r="B1814" s="10" t="s">
        <v>135</v>
      </c>
      <c r="C1814" s="41">
        <f t="array" ref="C1814">IF(IFERROR(INDEX(CATALOG_POINTS,MATCH(A1814,CATALOG_TASK,0)),"")="",IF(MAX(IF(IFERROR(FIND(CATALOG_BASE,A1814),0)=1,CATALOG_POINTS,0))=0,DAILY_POST_POINTS,MAX(IF(IFERROR(FIND(CATALOG_BASE,A1814),0)=1,CATALOG_POINTS,0))),IFERROR(INDEX(CATALOG_POINTS,MATCH(A1814,CATALOG_TASK,0)),""))</f>
        <v>1</v>
      </c>
      <c r="D1814" s="10" t="s">
        <v>1181</v>
      </c>
      <c r="E1814" s="41" t="str">
        <f t="shared" si="1"/>
        <v>PROX3</v>
      </c>
    </row>
    <row r="1815" ht="15.75" customHeight="1">
      <c r="A1815" s="10" t="s">
        <v>1182</v>
      </c>
      <c r="B1815" s="10" t="s">
        <v>122</v>
      </c>
      <c r="C1815" s="41">
        <f t="array" ref="C1815">IF(IFERROR(INDEX(CATALOG_POINTS,MATCH(A1815,CATALOG_TASK,0)),"")="",IF(MAX(IF(IFERROR(FIND(CATALOG_BASE,A1815),0)=1,CATALOG_POINTS,0))=0,DAILY_POST_POINTS,MAX(IF(IFERROR(FIND(CATALOG_BASE,A1815),0)=1,CATALOG_POINTS,0))),IFERROR(INDEX(CATALOG_POINTS,MATCH(A1815,CATALOG_TASK,0)),""))</f>
        <v>1</v>
      </c>
      <c r="D1815" s="10" t="s">
        <v>1182</v>
      </c>
      <c r="E1815" s="41" t="str">
        <f t="shared" si="1"/>
        <v>PROX3</v>
      </c>
    </row>
    <row r="1816" ht="15.75" customHeight="1">
      <c r="A1816" s="10" t="s">
        <v>1183</v>
      </c>
      <c r="B1816" s="10" t="s">
        <v>136</v>
      </c>
      <c r="C1816" s="41">
        <f t="array" ref="C1816">IF(IFERROR(INDEX(CATALOG_POINTS,MATCH(A1816,CATALOG_TASK,0)),"")="",IF(MAX(IF(IFERROR(FIND(CATALOG_BASE,A1816),0)=1,CATALOG_POINTS,0))=0,DAILY_POST_POINTS,MAX(IF(IFERROR(FIND(CATALOG_BASE,A1816),0)=1,CATALOG_POINTS,0))),IFERROR(INDEX(CATALOG_POINTS,MATCH(A1816,CATALOG_TASK,0)),""))</f>
        <v>1</v>
      </c>
      <c r="D1816" s="10" t="s">
        <v>1183</v>
      </c>
      <c r="E1816" s="41" t="str">
        <f t="shared" si="1"/>
        <v>PROX3</v>
      </c>
    </row>
    <row r="1817" ht="15.75" customHeight="1">
      <c r="A1817" s="10" t="s">
        <v>1184</v>
      </c>
      <c r="B1817" s="10" t="s">
        <v>122</v>
      </c>
      <c r="C1817" s="41">
        <f t="array" ref="C1817">IF(IFERROR(INDEX(CATALOG_POINTS,MATCH(A1817,CATALOG_TASK,0)),"")="",IF(MAX(IF(IFERROR(FIND(CATALOG_BASE,A1817),0)=1,CATALOG_POINTS,0))=0,DAILY_POST_POINTS,MAX(IF(IFERROR(FIND(CATALOG_BASE,A1817),0)=1,CATALOG_POINTS,0))),IFERROR(INDEX(CATALOG_POINTS,MATCH(A1817,CATALOG_TASK,0)),""))</f>
        <v>1</v>
      </c>
      <c r="D1817" s="10" t="s">
        <v>1184</v>
      </c>
      <c r="E1817" s="41" t="str">
        <f t="shared" si="1"/>
        <v/>
      </c>
    </row>
    <row r="1818" ht="15.75" customHeight="1">
      <c r="A1818" s="10" t="s">
        <v>1185</v>
      </c>
      <c r="B1818" s="10" t="s">
        <v>125</v>
      </c>
      <c r="C1818" s="41">
        <f t="array" ref="C1818">IF(IFERROR(INDEX(CATALOG_POINTS,MATCH(A1818,CATALOG_TASK,0)),"")="",IF(MAX(IF(IFERROR(FIND(CATALOG_BASE,A1818),0)=1,CATALOG_POINTS,0))=0,DAILY_POST_POINTS,MAX(IF(IFERROR(FIND(CATALOG_BASE,A1818),0)=1,CATALOG_POINTS,0))),IFERROR(INDEX(CATALOG_POINTS,MATCH(A1818,CATALOG_TASK,0)),""))</f>
        <v>1</v>
      </c>
      <c r="D1818" s="10" t="s">
        <v>1185</v>
      </c>
      <c r="E1818" s="41" t="str">
        <f t="shared" si="1"/>
        <v>PROX3</v>
      </c>
    </row>
    <row r="1819" ht="15.75" customHeight="1">
      <c r="A1819" s="10" t="s">
        <v>1186</v>
      </c>
      <c r="B1819" s="10" t="s">
        <v>126</v>
      </c>
      <c r="C1819" s="41">
        <f t="array" ref="C1819">IF(IFERROR(INDEX(CATALOG_POINTS,MATCH(A1819,CATALOG_TASK,0)),"")="",IF(MAX(IF(IFERROR(FIND(CATALOG_BASE,A1819),0)=1,CATALOG_POINTS,0))=0,DAILY_POST_POINTS,MAX(IF(IFERROR(FIND(CATALOG_BASE,A1819),0)=1,CATALOG_POINTS,0))),IFERROR(INDEX(CATALOG_POINTS,MATCH(A1819,CATALOG_TASK,0)),""))</f>
        <v>1</v>
      </c>
      <c r="D1819" s="10" t="s">
        <v>1186</v>
      </c>
      <c r="E1819" s="41" t="str">
        <f t="shared" si="1"/>
        <v>PROX3</v>
      </c>
    </row>
    <row r="1820" ht="15.75" customHeight="1">
      <c r="A1820" s="10" t="s">
        <v>37</v>
      </c>
      <c r="B1820" s="10" t="s">
        <v>126</v>
      </c>
      <c r="C1820" s="41">
        <f t="array" ref="C1820">IF(IFERROR(INDEX(CATALOG_POINTS,MATCH(A1820,CATALOG_TASK,0)),"")="",IF(MAX(IF(IFERROR(FIND(CATALOG_BASE,A1820),0)=1,CATALOG_POINTS,0))=0,DAILY_POST_POINTS,MAX(IF(IFERROR(FIND(CATALOG_BASE,A1820),0)=1,CATALOG_POINTS,0))),IFERROR(INDEX(CATALOG_POINTS,MATCH(A1820,CATALOG_TASK,0)),""))</f>
        <v>2</v>
      </c>
      <c r="D1820" s="10" t="s">
        <v>1187</v>
      </c>
      <c r="E1820" s="41" t="str">
        <f t="shared" si="1"/>
        <v>PROX3</v>
      </c>
    </row>
    <row r="1821" ht="15.75" customHeight="1">
      <c r="A1821" s="10" t="s">
        <v>1187</v>
      </c>
      <c r="B1821" s="10" t="s">
        <v>134</v>
      </c>
      <c r="C1821" s="41">
        <f t="array" ref="C1821">IF(IFERROR(INDEX(CATALOG_POINTS,MATCH(A1821,CATALOG_TASK,0)),"")="",IF(MAX(IF(IFERROR(FIND(CATALOG_BASE,A1821),0)=1,CATALOG_POINTS,0))=0,DAILY_POST_POINTS,MAX(IF(IFERROR(FIND(CATALOG_BASE,A1821),0)=1,CATALOG_POINTS,0))),IFERROR(INDEX(CATALOG_POINTS,MATCH(A1821,CATALOG_TASK,0)),""))</f>
        <v>1</v>
      </c>
      <c r="D1821" s="10" t="s">
        <v>1187</v>
      </c>
      <c r="E1821" s="41" t="str">
        <f t="shared" si="1"/>
        <v>PROX3</v>
      </c>
    </row>
    <row r="1822" ht="15.75" customHeight="1">
      <c r="A1822" s="10" t="s">
        <v>37</v>
      </c>
      <c r="B1822" s="10" t="s">
        <v>119</v>
      </c>
      <c r="C1822" s="41">
        <f t="array" ref="C1822">IF(IFERROR(INDEX(CATALOG_POINTS,MATCH(A1822,CATALOG_TASK,0)),"")="",IF(MAX(IF(IFERROR(FIND(CATALOG_BASE,A1822),0)=1,CATALOG_POINTS,0))=0,DAILY_POST_POINTS,MAX(IF(IFERROR(FIND(CATALOG_BASE,A1822),0)=1,CATALOG_POINTS,0))),IFERROR(INDEX(CATALOG_POINTS,MATCH(A1822,CATALOG_TASK,0)),""))</f>
        <v>2</v>
      </c>
      <c r="D1822" s="10" t="s">
        <v>1187</v>
      </c>
      <c r="E1822" s="41" t="str">
        <f t="shared" si="1"/>
        <v>PROX3</v>
      </c>
    </row>
    <row r="1823" ht="15.75" customHeight="1">
      <c r="A1823" s="10" t="s">
        <v>1188</v>
      </c>
      <c r="B1823" s="10" t="s">
        <v>126</v>
      </c>
      <c r="C1823" s="41">
        <f t="array" ref="C1823">IF(IFERROR(INDEX(CATALOG_POINTS,MATCH(A1823,CATALOG_TASK,0)),"")="",IF(MAX(IF(IFERROR(FIND(CATALOG_BASE,A1823),0)=1,CATALOG_POINTS,0))=0,DAILY_POST_POINTS,MAX(IF(IFERROR(FIND(CATALOG_BASE,A1823),0)=1,CATALOG_POINTS,0))),IFERROR(INDEX(CATALOG_POINTS,MATCH(A1823,CATALOG_TASK,0)),""))</f>
        <v>1</v>
      </c>
      <c r="D1823" s="10" t="s">
        <v>1188</v>
      </c>
      <c r="E1823" s="41" t="str">
        <f t="shared" si="1"/>
        <v>PROX3</v>
      </c>
    </row>
    <row r="1824" ht="15.75" customHeight="1">
      <c r="A1824" s="10" t="s">
        <v>37</v>
      </c>
      <c r="B1824" s="10" t="s">
        <v>122</v>
      </c>
      <c r="C1824" s="41">
        <f t="array" ref="C1824">IF(IFERROR(INDEX(CATALOG_POINTS,MATCH(A1824,CATALOG_TASK,0)),"")="",IF(MAX(IF(IFERROR(FIND(CATALOG_BASE,A1824),0)=1,CATALOG_POINTS,0))=0,DAILY_POST_POINTS,MAX(IF(IFERROR(FIND(CATALOG_BASE,A1824),0)=1,CATALOG_POINTS,0))),IFERROR(INDEX(CATALOG_POINTS,MATCH(A1824,CATALOG_TASK,0)),""))</f>
        <v>2</v>
      </c>
      <c r="D1824" s="10" t="s">
        <v>1188</v>
      </c>
      <c r="E1824" s="41" t="str">
        <f t="shared" si="1"/>
        <v>PROX3</v>
      </c>
    </row>
    <row r="1825" ht="15.75" customHeight="1">
      <c r="A1825" s="10" t="s">
        <v>1189</v>
      </c>
      <c r="B1825" s="10" t="s">
        <v>133</v>
      </c>
      <c r="C1825" s="41">
        <f t="array" ref="C1825">IF(IFERROR(INDEX(CATALOG_POINTS,MATCH(A1825,CATALOG_TASK,0)),"")="",IF(MAX(IF(IFERROR(FIND(CATALOG_BASE,A1825),0)=1,CATALOG_POINTS,0))=0,DAILY_POST_POINTS,MAX(IF(IFERROR(FIND(CATALOG_BASE,A1825),0)=1,CATALOG_POINTS,0))),IFERROR(INDEX(CATALOG_POINTS,MATCH(A1825,CATALOG_TASK,0)),""))</f>
        <v>1</v>
      </c>
      <c r="D1825" s="10" t="s">
        <v>1189</v>
      </c>
      <c r="E1825" s="41" t="str">
        <f t="shared" si="1"/>
        <v>PROX3</v>
      </c>
    </row>
    <row r="1826" ht="15.75" customHeight="1">
      <c r="A1826" s="10" t="s">
        <v>1190</v>
      </c>
      <c r="B1826" s="10" t="s">
        <v>133</v>
      </c>
      <c r="C1826" s="41">
        <f t="array" ref="C1826">IF(IFERROR(INDEX(CATALOG_POINTS,MATCH(A1826,CATALOG_TASK,0)),"")="",IF(MAX(IF(IFERROR(FIND(CATALOG_BASE,A1826),0)=1,CATALOG_POINTS,0))=0,DAILY_POST_POINTS,MAX(IF(IFERROR(FIND(CATALOG_BASE,A1826),0)=1,CATALOG_POINTS,0))),IFERROR(INDEX(CATALOG_POINTS,MATCH(A1826,CATALOG_TASK,0)),""))</f>
        <v>1</v>
      </c>
      <c r="D1826" s="10" t="s">
        <v>1190</v>
      </c>
      <c r="E1826" s="41" t="str">
        <f t="shared" si="1"/>
        <v>PROX3</v>
      </c>
    </row>
    <row r="1827" ht="15.75" customHeight="1">
      <c r="A1827" s="10" t="s">
        <v>168</v>
      </c>
      <c r="B1827" s="10" t="s">
        <v>117</v>
      </c>
      <c r="C1827" s="41">
        <f t="array" ref="C1827">IF(IFERROR(INDEX(CATALOG_POINTS,MATCH(A1827,CATALOG_TASK,0)),"")="",IF(MAX(IF(IFERROR(FIND(CATALOG_BASE,A1827),0)=1,CATALOG_POINTS,0))=0,DAILY_POST_POINTS,MAX(IF(IFERROR(FIND(CATALOG_BASE,A1827),0)=1,CATALOG_POINTS,0))),IFERROR(INDEX(CATALOG_POINTS,MATCH(A1827,CATALOG_TASK,0)),""))</f>
        <v>1</v>
      </c>
      <c r="D1827" s="10" t="s">
        <v>1191</v>
      </c>
      <c r="E1827" s="41" t="str">
        <f t="shared" si="1"/>
        <v>PROX4</v>
      </c>
    </row>
    <row r="1828" ht="15.75" customHeight="1">
      <c r="A1828" s="10" t="s">
        <v>170</v>
      </c>
      <c r="B1828" s="10" t="s">
        <v>117</v>
      </c>
      <c r="C1828" s="41">
        <f t="array" ref="C1828">IF(IFERROR(INDEX(CATALOG_POINTS,MATCH(A1828,CATALOG_TASK,0)),"")="",IF(MAX(IF(IFERROR(FIND(CATALOG_BASE,A1828),0)=1,CATALOG_POINTS,0))=0,DAILY_POST_POINTS,MAX(IF(IFERROR(FIND(CATALOG_BASE,A1828),0)=1,CATALOG_POINTS,0))),IFERROR(INDEX(CATALOG_POINTS,MATCH(A1828,CATALOG_TASK,0)),""))</f>
        <v>1</v>
      </c>
      <c r="D1828" s="10" t="s">
        <v>1191</v>
      </c>
      <c r="E1828" s="41" t="str">
        <f t="shared" si="1"/>
        <v>PROX4</v>
      </c>
    </row>
    <row r="1829" ht="15.75" customHeight="1">
      <c r="A1829" s="10" t="s">
        <v>1191</v>
      </c>
      <c r="B1829" s="10" t="s">
        <v>132</v>
      </c>
      <c r="C1829" s="41">
        <f t="array" ref="C1829">IF(IFERROR(INDEX(CATALOG_POINTS,MATCH(A1829,CATALOG_TASK,0)),"")="",IF(MAX(IF(IFERROR(FIND(CATALOG_BASE,A1829),0)=1,CATALOG_POINTS,0))=0,DAILY_POST_POINTS,MAX(IF(IFERROR(FIND(CATALOG_BASE,A1829),0)=1,CATALOG_POINTS,0))),IFERROR(INDEX(CATALOG_POINTS,MATCH(A1829,CATALOG_TASK,0)),""))</f>
        <v>1</v>
      </c>
      <c r="D1829" s="10" t="s">
        <v>1191</v>
      </c>
      <c r="E1829" s="41" t="str">
        <f t="shared" si="1"/>
        <v>PROX4</v>
      </c>
    </row>
    <row r="1830" ht="15.75" customHeight="1">
      <c r="A1830" s="10" t="s">
        <v>170</v>
      </c>
      <c r="B1830" s="10" t="s">
        <v>122</v>
      </c>
      <c r="C1830" s="41">
        <f t="array" ref="C1830">IF(IFERROR(INDEX(CATALOG_POINTS,MATCH(A1830,CATALOG_TASK,0)),"")="",IF(MAX(IF(IFERROR(FIND(CATALOG_BASE,A1830),0)=1,CATALOG_POINTS,0))=0,DAILY_POST_POINTS,MAX(IF(IFERROR(FIND(CATALOG_BASE,A1830),0)=1,CATALOG_POINTS,0))),IFERROR(INDEX(CATALOG_POINTS,MATCH(A1830,CATALOG_TASK,0)),""))</f>
        <v>1</v>
      </c>
      <c r="D1830" s="10" t="s">
        <v>1191</v>
      </c>
      <c r="E1830" s="41" t="str">
        <f t="shared" si="1"/>
        <v>PROX4</v>
      </c>
    </row>
    <row r="1831" ht="15.75" customHeight="1">
      <c r="A1831" s="10" t="s">
        <v>1192</v>
      </c>
      <c r="B1831" s="10" t="s">
        <v>137</v>
      </c>
      <c r="C1831" s="41">
        <f t="array" ref="C1831">IF(IFERROR(INDEX(CATALOG_POINTS,MATCH(A1831,CATALOG_TASK,0)),"")="",IF(MAX(IF(IFERROR(FIND(CATALOG_BASE,A1831),0)=1,CATALOG_POINTS,0))=0,DAILY_POST_POINTS,MAX(IF(IFERROR(FIND(CATALOG_BASE,A1831),0)=1,CATALOG_POINTS,0))),IFERROR(INDEX(CATALOG_POINTS,MATCH(A1831,CATALOG_TASK,0)),""))</f>
        <v>1</v>
      </c>
      <c r="D1831" s="10" t="s">
        <v>1192</v>
      </c>
      <c r="E1831" s="41" t="str">
        <f t="shared" si="1"/>
        <v>PROX3</v>
      </c>
    </row>
    <row r="1832" ht="15.75" customHeight="1">
      <c r="A1832" s="10" t="s">
        <v>1193</v>
      </c>
      <c r="B1832" s="10" t="s">
        <v>126</v>
      </c>
      <c r="C1832" s="41">
        <f t="array" ref="C1832">IF(IFERROR(INDEX(CATALOG_POINTS,MATCH(A1832,CATALOG_TASK,0)),"")="",IF(MAX(IF(IFERROR(FIND(CATALOG_BASE,A1832),0)=1,CATALOG_POINTS,0))=0,DAILY_POST_POINTS,MAX(IF(IFERROR(FIND(CATALOG_BASE,A1832),0)=1,CATALOG_POINTS,0))),IFERROR(INDEX(CATALOG_POINTS,MATCH(A1832,CATALOG_TASK,0)),""))</f>
        <v>1</v>
      </c>
      <c r="D1832" s="10" t="s">
        <v>1193</v>
      </c>
      <c r="E1832" s="41" t="str">
        <f t="shared" si="1"/>
        <v>PROX3</v>
      </c>
    </row>
    <row r="1833" ht="15.75" customHeight="1">
      <c r="A1833" s="10" t="s">
        <v>1194</v>
      </c>
      <c r="B1833" s="10" t="s">
        <v>134</v>
      </c>
      <c r="C1833" s="41">
        <f t="array" ref="C1833">IF(IFERROR(INDEX(CATALOG_POINTS,MATCH(A1833,CATALOG_TASK,0)),"")="",IF(MAX(IF(IFERROR(FIND(CATALOG_BASE,A1833),0)=1,CATALOG_POINTS,0))=0,DAILY_POST_POINTS,MAX(IF(IFERROR(FIND(CATALOG_BASE,A1833),0)=1,CATALOG_POINTS,0))),IFERROR(INDEX(CATALOG_POINTS,MATCH(A1833,CATALOG_TASK,0)),""))</f>
        <v>1</v>
      </c>
      <c r="D1833" s="10" t="s">
        <v>1194</v>
      </c>
      <c r="E1833" s="41" t="str">
        <f t="shared" si="1"/>
        <v>PROX3</v>
      </c>
    </row>
    <row r="1834" ht="15.75" customHeight="1">
      <c r="A1834" s="10" t="s">
        <v>1195</v>
      </c>
      <c r="B1834" s="10" t="s">
        <v>129</v>
      </c>
      <c r="C1834" s="41">
        <f t="array" ref="C1834">IF(IFERROR(INDEX(CATALOG_POINTS,MATCH(A1834,CATALOG_TASK,0)),"")="",IF(MAX(IF(IFERROR(FIND(CATALOG_BASE,A1834),0)=1,CATALOG_POINTS,0))=0,DAILY_POST_POINTS,MAX(IF(IFERROR(FIND(CATALOG_BASE,A1834),0)=1,CATALOG_POINTS,0))),IFERROR(INDEX(CATALOG_POINTS,MATCH(A1834,CATALOG_TASK,0)),""))</f>
        <v>1</v>
      </c>
      <c r="D1834" s="10" t="s">
        <v>1195</v>
      </c>
      <c r="E1834" s="41" t="str">
        <f t="shared" si="1"/>
        <v>E0</v>
      </c>
    </row>
    <row r="1835" ht="15.75" customHeight="1">
      <c r="A1835" s="10" t="s">
        <v>1196</v>
      </c>
      <c r="B1835" s="10" t="s">
        <v>133</v>
      </c>
      <c r="C1835" s="41">
        <f t="array" ref="C1835">IF(IFERROR(INDEX(CATALOG_POINTS,MATCH(A1835,CATALOG_TASK,0)),"")="",IF(MAX(IF(IFERROR(FIND(CATALOG_BASE,A1835),0)=1,CATALOG_POINTS,0))=0,DAILY_POST_POINTS,MAX(IF(IFERROR(FIND(CATALOG_BASE,A1835),0)=1,CATALOG_POINTS,0))),IFERROR(INDEX(CATALOG_POINTS,MATCH(A1835,CATALOG_TASK,0)),""))</f>
        <v>1</v>
      </c>
      <c r="D1835" s="10" t="s">
        <v>1196</v>
      </c>
      <c r="E1835" s="41" t="str">
        <f t="shared" si="1"/>
        <v/>
      </c>
    </row>
    <row r="1836" ht="15.75" customHeight="1">
      <c r="A1836" s="10" t="s">
        <v>1197</v>
      </c>
      <c r="B1836" s="10" t="s">
        <v>121</v>
      </c>
      <c r="C1836" s="41">
        <f t="array" ref="C1836">IF(IFERROR(INDEX(CATALOG_POINTS,MATCH(A1836,CATALOG_TASK,0)),"")="",IF(MAX(IF(IFERROR(FIND(CATALOG_BASE,A1836),0)=1,CATALOG_POINTS,0))=0,DAILY_POST_POINTS,MAX(IF(IFERROR(FIND(CATALOG_BASE,A1836),0)=1,CATALOG_POINTS,0))),IFERROR(INDEX(CATALOG_POINTS,MATCH(A1836,CATALOG_TASK,0)),""))</f>
        <v>1</v>
      </c>
      <c r="D1836" s="10" t="s">
        <v>1197</v>
      </c>
      <c r="E1836" s="41" t="str">
        <f t="shared" si="1"/>
        <v>PROX3</v>
      </c>
    </row>
    <row r="1837" ht="15.75" customHeight="1">
      <c r="A1837" s="10" t="s">
        <v>1198</v>
      </c>
      <c r="B1837" s="10" t="s">
        <v>121</v>
      </c>
      <c r="C1837" s="41">
        <f t="array" ref="C1837">IF(IFERROR(INDEX(CATALOG_POINTS,MATCH(A1837,CATALOG_TASK,0)),"")="",IF(MAX(IF(IFERROR(FIND(CATALOG_BASE,A1837),0)=1,CATALOG_POINTS,0))=0,DAILY_POST_POINTS,MAX(IF(IFERROR(FIND(CATALOG_BASE,A1837),0)=1,CATALOG_POINTS,0))),IFERROR(INDEX(CATALOG_POINTS,MATCH(A1837,CATALOG_TASK,0)),""))</f>
        <v>1</v>
      </c>
      <c r="D1837" s="10" t="s">
        <v>1199</v>
      </c>
      <c r="E1837" s="41" t="str">
        <f t="shared" si="1"/>
        <v>PROX3</v>
      </c>
    </row>
    <row r="1838" ht="15.75" customHeight="1">
      <c r="A1838" s="10" t="s">
        <v>168</v>
      </c>
      <c r="B1838" s="10" t="s">
        <v>117</v>
      </c>
      <c r="C1838" s="41">
        <f t="array" ref="C1838">IF(IFERROR(INDEX(CATALOG_POINTS,MATCH(A1838,CATALOG_TASK,0)),"")="",IF(MAX(IF(IFERROR(FIND(CATALOG_BASE,A1838),0)=1,CATALOG_POINTS,0))=0,DAILY_POST_POINTS,MAX(IF(IFERROR(FIND(CATALOG_BASE,A1838),0)=1,CATALOG_POINTS,0))),IFERROR(INDEX(CATALOG_POINTS,MATCH(A1838,CATALOG_TASK,0)),""))</f>
        <v>1</v>
      </c>
      <c r="D1838" s="10" t="s">
        <v>1200</v>
      </c>
      <c r="E1838" s="41" t="str">
        <f t="shared" si="1"/>
        <v>PROX4</v>
      </c>
    </row>
    <row r="1839" ht="15.75" customHeight="1">
      <c r="A1839" s="10" t="s">
        <v>37</v>
      </c>
      <c r="B1839" s="10" t="s">
        <v>117</v>
      </c>
      <c r="C1839" s="41">
        <f t="array" ref="C1839">IF(IFERROR(INDEX(CATALOG_POINTS,MATCH(A1839,CATALOG_TASK,0)),"")="",IF(MAX(IF(IFERROR(FIND(CATALOG_BASE,A1839),0)=1,CATALOG_POINTS,0))=0,DAILY_POST_POINTS,MAX(IF(IFERROR(FIND(CATALOG_BASE,A1839),0)=1,CATALOG_POINTS,0))),IFERROR(INDEX(CATALOG_POINTS,MATCH(A1839,CATALOG_TASK,0)),""))</f>
        <v>2</v>
      </c>
      <c r="D1839" s="10" t="s">
        <v>1200</v>
      </c>
      <c r="E1839" s="41" t="str">
        <f t="shared" si="1"/>
        <v>PROX4</v>
      </c>
    </row>
    <row r="1840" ht="15.75" customHeight="1">
      <c r="A1840" s="10" t="s">
        <v>24</v>
      </c>
      <c r="B1840" s="10" t="s">
        <v>117</v>
      </c>
      <c r="C1840" s="41">
        <f t="array" ref="C1840">IF(IFERROR(INDEX(CATALOG_POINTS,MATCH(A1840,CATALOG_TASK,0)),"")="",IF(MAX(IF(IFERROR(FIND(CATALOG_BASE,A1840),0)=1,CATALOG_POINTS,0))=0,DAILY_POST_POINTS,MAX(IF(IFERROR(FIND(CATALOG_BASE,A1840),0)=1,CATALOG_POINTS,0))),IFERROR(INDEX(CATALOG_POINTS,MATCH(A1840,CATALOG_TASK,0)),""))</f>
        <v>2</v>
      </c>
      <c r="D1840" s="10" t="s">
        <v>1201</v>
      </c>
      <c r="E1840" s="41" t="str">
        <f t="shared" si="1"/>
        <v>PROX3</v>
      </c>
    </row>
    <row r="1841" ht="15.75" customHeight="1">
      <c r="A1841" s="10" t="s">
        <v>168</v>
      </c>
      <c r="B1841" s="10" t="s">
        <v>119</v>
      </c>
      <c r="C1841" s="41">
        <f t="array" ref="C1841">IF(IFERROR(INDEX(CATALOG_POINTS,MATCH(A1841,CATALOG_TASK,0)),"")="",IF(MAX(IF(IFERROR(FIND(CATALOG_BASE,A1841),0)=1,CATALOG_POINTS,0))=0,DAILY_POST_POINTS,MAX(IF(IFERROR(FIND(CATALOG_BASE,A1841),0)=1,CATALOG_POINTS,0))),IFERROR(INDEX(CATALOG_POINTS,MATCH(A1841,CATALOG_TASK,0)),""))</f>
        <v>1</v>
      </c>
      <c r="D1841" s="10" t="s">
        <v>1202</v>
      </c>
      <c r="E1841" s="41" t="str">
        <f t="shared" si="1"/>
        <v/>
      </c>
    </row>
    <row r="1842" ht="15.75" customHeight="1">
      <c r="A1842" s="10" t="s">
        <v>168</v>
      </c>
      <c r="B1842" s="10" t="s">
        <v>121</v>
      </c>
      <c r="C1842" s="41">
        <f t="array" ref="C1842">IF(IFERROR(INDEX(CATALOG_POINTS,MATCH(A1842,CATALOG_TASK,0)),"")="",IF(MAX(IF(IFERROR(FIND(CATALOG_BASE,A1842),0)=1,CATALOG_POINTS,0))=0,DAILY_POST_POINTS,MAX(IF(IFERROR(FIND(CATALOG_BASE,A1842),0)=1,CATALOG_POINTS,0))),IFERROR(INDEX(CATALOG_POINTS,MATCH(A1842,CATALOG_TASK,0)),""))</f>
        <v>1</v>
      </c>
      <c r="D1842" s="10" t="s">
        <v>1202</v>
      </c>
      <c r="E1842" s="41" t="str">
        <f t="shared" si="1"/>
        <v/>
      </c>
    </row>
    <row r="1843" ht="15.75" customHeight="1">
      <c r="A1843" s="10" t="s">
        <v>890</v>
      </c>
      <c r="B1843" s="10" t="s">
        <v>119</v>
      </c>
      <c r="C1843" s="41">
        <f t="array" ref="C1843">IF(IFERROR(INDEX(CATALOG_POINTS,MATCH(A1843,CATALOG_TASK,0)),"")="",IF(MAX(IF(IFERROR(FIND(CATALOG_BASE,A1843),0)=1,CATALOG_POINTS,0))=0,DAILY_POST_POINTS,MAX(IF(IFERROR(FIND(CATALOG_BASE,A1843),0)=1,CATALOG_POINTS,0))),IFERROR(INDEX(CATALOG_POINTS,MATCH(A1843,CATALOG_TASK,0)),""))</f>
        <v>1</v>
      </c>
      <c r="D1843" s="10" t="s">
        <v>1202</v>
      </c>
      <c r="E1843" s="41" t="str">
        <f t="shared" si="1"/>
        <v/>
      </c>
    </row>
    <row r="1844" ht="15.75" customHeight="1">
      <c r="A1844" s="10" t="s">
        <v>34</v>
      </c>
      <c r="B1844" s="10" t="s">
        <v>121</v>
      </c>
      <c r="C1844" s="41">
        <f t="array" ref="C1844">IF(IFERROR(INDEX(CATALOG_POINTS,MATCH(A1844,CATALOG_TASK,0)),"")="",IF(MAX(IF(IFERROR(FIND(CATALOG_BASE,A1844),0)=1,CATALOG_POINTS,0))=0,DAILY_POST_POINTS,MAX(IF(IFERROR(FIND(CATALOG_BASE,A1844),0)=1,CATALOG_POINTS,0))),IFERROR(INDEX(CATALOG_POINTS,MATCH(A1844,CATALOG_TASK,0)),""))</f>
        <v>2</v>
      </c>
      <c r="D1844" s="10" t="s">
        <v>1202</v>
      </c>
      <c r="E1844" s="41" t="str">
        <f t="shared" si="1"/>
        <v/>
      </c>
    </row>
    <row r="1845" ht="15.75" customHeight="1">
      <c r="A1845" s="10" t="s">
        <v>1203</v>
      </c>
      <c r="B1845" s="10" t="s">
        <v>136</v>
      </c>
      <c r="C1845" s="41">
        <f t="array" ref="C1845">IF(IFERROR(INDEX(CATALOG_POINTS,MATCH(A1845,CATALOG_TASK,0)),"")="",IF(MAX(IF(IFERROR(FIND(CATALOG_BASE,A1845),0)=1,CATALOG_POINTS,0))=0,DAILY_POST_POINTS,MAX(IF(IFERROR(FIND(CATALOG_BASE,A1845),0)=1,CATALOG_POINTS,0))),IFERROR(INDEX(CATALOG_POINTS,MATCH(A1845,CATALOG_TASK,0)),""))</f>
        <v>1</v>
      </c>
      <c r="D1845" s="10" t="s">
        <v>1203</v>
      </c>
      <c r="E1845" s="41" t="str">
        <f t="shared" si="1"/>
        <v>PROX3</v>
      </c>
    </row>
    <row r="1846" ht="15.75" customHeight="1">
      <c r="A1846" s="10" t="s">
        <v>1204</v>
      </c>
      <c r="B1846" s="10" t="s">
        <v>121</v>
      </c>
      <c r="C1846" s="41">
        <f t="array" ref="C1846">IF(IFERROR(INDEX(CATALOG_POINTS,MATCH(A1846,CATALOG_TASK,0)),"")="",IF(MAX(IF(IFERROR(FIND(CATALOG_BASE,A1846),0)=1,CATALOG_POINTS,0))=0,DAILY_POST_POINTS,MAX(IF(IFERROR(FIND(CATALOG_BASE,A1846),0)=1,CATALOG_POINTS,0))),IFERROR(INDEX(CATALOG_POINTS,MATCH(A1846,CATALOG_TASK,0)),""))</f>
        <v>1</v>
      </c>
      <c r="D1846" s="10" t="s">
        <v>1204</v>
      </c>
      <c r="E1846" s="41" t="str">
        <f t="shared" si="1"/>
        <v>PROX3</v>
      </c>
    </row>
    <row r="1847" ht="15.75" customHeight="1">
      <c r="A1847" s="10" t="s">
        <v>1205</v>
      </c>
      <c r="B1847" s="10" t="s">
        <v>124</v>
      </c>
      <c r="C1847" s="41">
        <f t="array" ref="C1847">IF(IFERROR(INDEX(CATALOG_POINTS,MATCH(A1847,CATALOG_TASK,0)),"")="",IF(MAX(IF(IFERROR(FIND(CATALOG_BASE,A1847),0)=1,CATALOG_POINTS,0))=0,DAILY_POST_POINTS,MAX(IF(IFERROR(FIND(CATALOG_BASE,A1847),0)=1,CATALOG_POINTS,0))),IFERROR(INDEX(CATALOG_POINTS,MATCH(A1847,CATALOG_TASK,0)),""))</f>
        <v>1</v>
      </c>
      <c r="D1847" s="10" t="s">
        <v>1205</v>
      </c>
      <c r="E1847" s="41" t="str">
        <f t="shared" si="1"/>
        <v>PROX3</v>
      </c>
    </row>
    <row r="1848" ht="15.75" customHeight="1">
      <c r="A1848" s="10" t="s">
        <v>1206</v>
      </c>
      <c r="B1848" s="10" t="s">
        <v>136</v>
      </c>
      <c r="C1848" s="41">
        <f t="array" ref="C1848">IF(IFERROR(INDEX(CATALOG_POINTS,MATCH(A1848,CATALOG_TASK,0)),"")="",IF(MAX(IF(IFERROR(FIND(CATALOG_BASE,A1848),0)=1,CATALOG_POINTS,0))=0,DAILY_POST_POINTS,MAX(IF(IFERROR(FIND(CATALOG_BASE,A1848),0)=1,CATALOG_POINTS,0))),IFERROR(INDEX(CATALOG_POINTS,MATCH(A1848,CATALOG_TASK,0)),""))</f>
        <v>1</v>
      </c>
      <c r="D1848" s="10" t="s">
        <v>1206</v>
      </c>
      <c r="E1848" s="41" t="str">
        <f t="shared" si="1"/>
        <v>PROX3</v>
      </c>
    </row>
    <row r="1849" ht="15.75" customHeight="1">
      <c r="A1849" s="10" t="s">
        <v>178</v>
      </c>
      <c r="B1849" s="10" t="s">
        <v>128</v>
      </c>
      <c r="C1849" s="41">
        <f t="array" ref="C1849">IF(IFERROR(INDEX(CATALOG_POINTS,MATCH(A1849,CATALOG_TASK,0)),"")="",IF(MAX(IF(IFERROR(FIND(CATALOG_BASE,A1849),0)=1,CATALOG_POINTS,0))=0,DAILY_POST_POINTS,MAX(IF(IFERROR(FIND(CATALOG_BASE,A1849),0)=1,CATALOG_POINTS,0))),IFERROR(INDEX(CATALOG_POINTS,MATCH(A1849,CATALOG_TASK,0)),""))</f>
        <v>1</v>
      </c>
      <c r="D1849" s="10" t="s">
        <v>1207</v>
      </c>
      <c r="E1849" s="41" t="str">
        <f t="shared" si="1"/>
        <v/>
      </c>
    </row>
    <row r="1850" ht="15.75" customHeight="1">
      <c r="A1850" s="10" t="s">
        <v>37</v>
      </c>
      <c r="B1850" s="10" t="s">
        <v>117</v>
      </c>
      <c r="C1850" s="41">
        <f t="array" ref="C1850">IF(IFERROR(INDEX(CATALOG_POINTS,MATCH(A1850,CATALOG_TASK,0)),"")="",IF(MAX(IF(IFERROR(FIND(CATALOG_BASE,A1850),0)=1,CATALOG_POINTS,0))=0,DAILY_POST_POINTS,MAX(IF(IFERROR(FIND(CATALOG_BASE,A1850),0)=1,CATALOG_POINTS,0))),IFERROR(INDEX(CATALOG_POINTS,MATCH(A1850,CATALOG_TASK,0)),""))</f>
        <v>2</v>
      </c>
      <c r="D1850" s="10" t="s">
        <v>1208</v>
      </c>
      <c r="E1850" s="41" t="str">
        <f t="shared" si="1"/>
        <v>E0</v>
      </c>
    </row>
    <row r="1851" ht="15.75" customHeight="1">
      <c r="A1851" s="10" t="s">
        <v>37</v>
      </c>
      <c r="B1851" s="10" t="s">
        <v>122</v>
      </c>
      <c r="C1851" s="41">
        <f t="array" ref="C1851">IF(IFERROR(INDEX(CATALOG_POINTS,MATCH(A1851,CATALOG_TASK,0)),"")="",IF(MAX(IF(IFERROR(FIND(CATALOG_BASE,A1851),0)=1,CATALOG_POINTS,0))=0,DAILY_POST_POINTS,MAX(IF(IFERROR(FIND(CATALOG_BASE,A1851),0)=1,CATALOG_POINTS,0))),IFERROR(INDEX(CATALOG_POINTS,MATCH(A1851,CATALOG_TASK,0)),""))</f>
        <v>2</v>
      </c>
      <c r="D1851" s="10" t="s">
        <v>1208</v>
      </c>
      <c r="E1851" s="41" t="str">
        <f t="shared" si="1"/>
        <v>E0</v>
      </c>
    </row>
    <row r="1852" ht="15.75" customHeight="1">
      <c r="A1852" s="10" t="s">
        <v>1208</v>
      </c>
      <c r="B1852" s="10" t="s">
        <v>129</v>
      </c>
      <c r="C1852" s="41">
        <f t="array" ref="C1852">IF(IFERROR(INDEX(CATALOG_POINTS,MATCH(A1852,CATALOG_TASK,0)),"")="",IF(MAX(IF(IFERROR(FIND(CATALOG_BASE,A1852),0)=1,CATALOG_POINTS,0))=0,DAILY_POST_POINTS,MAX(IF(IFERROR(FIND(CATALOG_BASE,A1852),0)=1,CATALOG_POINTS,0))),IFERROR(INDEX(CATALOG_POINTS,MATCH(A1852,CATALOG_TASK,0)),""))</f>
        <v>1</v>
      </c>
      <c r="D1852" s="10" t="s">
        <v>1208</v>
      </c>
      <c r="E1852" s="41" t="str">
        <f t="shared" si="1"/>
        <v>E0</v>
      </c>
    </row>
    <row r="1853" ht="15.75" customHeight="1">
      <c r="A1853" s="10" t="s">
        <v>1209</v>
      </c>
      <c r="B1853" s="10" t="s">
        <v>135</v>
      </c>
      <c r="C1853" s="41">
        <f t="array" ref="C1853">IF(IFERROR(INDEX(CATALOG_POINTS,MATCH(A1853,CATALOG_TASK,0)),"")="",IF(MAX(IF(IFERROR(FIND(CATALOG_BASE,A1853),0)=1,CATALOG_POINTS,0))=0,DAILY_POST_POINTS,MAX(IF(IFERROR(FIND(CATALOG_BASE,A1853),0)=1,CATALOG_POINTS,0))),IFERROR(INDEX(CATALOG_POINTS,MATCH(A1853,CATALOG_TASK,0)),""))</f>
        <v>1</v>
      </c>
      <c r="D1853" s="10" t="s">
        <v>1209</v>
      </c>
      <c r="E1853" s="41" t="str">
        <f t="shared" si="1"/>
        <v>PROX3</v>
      </c>
    </row>
    <row r="1854" ht="15.75" customHeight="1">
      <c r="A1854" s="10" t="s">
        <v>1210</v>
      </c>
      <c r="B1854" s="10" t="s">
        <v>121</v>
      </c>
      <c r="C1854" s="41">
        <f t="array" ref="C1854">IF(IFERROR(INDEX(CATALOG_POINTS,MATCH(A1854,CATALOG_TASK,0)),"")="",IF(MAX(IF(IFERROR(FIND(CATALOG_BASE,A1854),0)=1,CATALOG_POINTS,0))=0,DAILY_POST_POINTS,MAX(IF(IFERROR(FIND(CATALOG_BASE,A1854),0)=1,CATALOG_POINTS,0))),IFERROR(INDEX(CATALOG_POINTS,MATCH(A1854,CATALOG_TASK,0)),""))</f>
        <v>1</v>
      </c>
      <c r="D1854" s="10" t="s">
        <v>1210</v>
      </c>
      <c r="E1854" s="41" t="str">
        <f t="shared" si="1"/>
        <v>PROX3</v>
      </c>
    </row>
    <row r="1855" ht="15.75" customHeight="1">
      <c r="A1855" s="10" t="s">
        <v>1211</v>
      </c>
      <c r="B1855" s="10" t="s">
        <v>125</v>
      </c>
      <c r="C1855" s="41">
        <f t="array" ref="C1855">IF(IFERROR(INDEX(CATALOG_POINTS,MATCH(A1855,CATALOG_TASK,0)),"")="",IF(MAX(IF(IFERROR(FIND(CATALOG_BASE,A1855),0)=1,CATALOG_POINTS,0))=0,DAILY_POST_POINTS,MAX(IF(IFERROR(FIND(CATALOG_BASE,A1855),0)=1,CATALOG_POINTS,0))),IFERROR(INDEX(CATALOG_POINTS,MATCH(A1855,CATALOG_TASK,0)),""))</f>
        <v>1</v>
      </c>
      <c r="D1855" s="10" t="s">
        <v>1211</v>
      </c>
      <c r="E1855" s="41" t="str">
        <f t="shared" si="1"/>
        <v>PROX3</v>
      </c>
    </row>
    <row r="1856" ht="15.75" customHeight="1">
      <c r="A1856" s="10" t="s">
        <v>1212</v>
      </c>
      <c r="B1856" s="10" t="s">
        <v>134</v>
      </c>
      <c r="C1856" s="41">
        <f t="array" ref="C1856">IF(IFERROR(INDEX(CATALOG_POINTS,MATCH(A1856,CATALOG_TASK,0)),"")="",IF(MAX(IF(IFERROR(FIND(CATALOG_BASE,A1856),0)=1,CATALOG_POINTS,0))=0,DAILY_POST_POINTS,MAX(IF(IFERROR(FIND(CATALOG_BASE,A1856),0)=1,CATALOG_POINTS,0))),IFERROR(INDEX(CATALOG_POINTS,MATCH(A1856,CATALOG_TASK,0)),""))</f>
        <v>1</v>
      </c>
      <c r="D1856" s="10" t="s">
        <v>1212</v>
      </c>
      <c r="E1856" s="41" t="str">
        <f t="shared" si="1"/>
        <v>PROX4</v>
      </c>
    </row>
    <row r="1857" ht="15.75" customHeight="1">
      <c r="A1857" s="10" t="s">
        <v>1213</v>
      </c>
      <c r="B1857" s="10" t="s">
        <v>117</v>
      </c>
      <c r="C1857" s="41">
        <f t="array" ref="C1857">IF(IFERROR(INDEX(CATALOG_POINTS,MATCH(A1857,CATALOG_TASK,0)),"")="",IF(MAX(IF(IFERROR(FIND(CATALOG_BASE,A1857),0)=1,CATALOG_POINTS,0))=0,DAILY_POST_POINTS,MAX(IF(IFERROR(FIND(CATALOG_BASE,A1857),0)=1,CATALOG_POINTS,0))),IFERROR(INDEX(CATALOG_POINTS,MATCH(A1857,CATALOG_TASK,0)),""))</f>
        <v>1</v>
      </c>
      <c r="D1857" s="10" t="s">
        <v>1213</v>
      </c>
      <c r="E1857" s="41" t="str">
        <f t="shared" si="1"/>
        <v>PROX3</v>
      </c>
    </row>
    <row r="1858" ht="15.75" customHeight="1">
      <c r="A1858" s="10" t="s">
        <v>1214</v>
      </c>
      <c r="B1858" s="10" t="s">
        <v>133</v>
      </c>
      <c r="C1858" s="41">
        <f t="array" ref="C1858">IF(IFERROR(INDEX(CATALOG_POINTS,MATCH(A1858,CATALOG_TASK,0)),"")="",IF(MAX(IF(IFERROR(FIND(CATALOG_BASE,A1858),0)=1,CATALOG_POINTS,0))=0,DAILY_POST_POINTS,MAX(IF(IFERROR(FIND(CATALOG_BASE,A1858),0)=1,CATALOG_POINTS,0))),IFERROR(INDEX(CATALOG_POINTS,MATCH(A1858,CATALOG_TASK,0)),""))</f>
        <v>1</v>
      </c>
      <c r="D1858" s="10" t="s">
        <v>1214</v>
      </c>
      <c r="E1858" s="41" t="str">
        <f t="shared" si="1"/>
        <v>PROX5</v>
      </c>
    </row>
    <row r="1859" ht="15.75" customHeight="1">
      <c r="A1859" s="10" t="s">
        <v>1215</v>
      </c>
      <c r="B1859" s="10" t="s">
        <v>121</v>
      </c>
      <c r="C1859" s="41">
        <f t="array" ref="C1859">IF(IFERROR(INDEX(CATALOG_POINTS,MATCH(A1859,CATALOG_TASK,0)),"")="",IF(MAX(IF(IFERROR(FIND(CATALOG_BASE,A1859),0)=1,CATALOG_POINTS,0))=0,DAILY_POST_POINTS,MAX(IF(IFERROR(FIND(CATALOG_BASE,A1859),0)=1,CATALOG_POINTS,0))),IFERROR(INDEX(CATALOG_POINTS,MATCH(A1859,CATALOG_TASK,0)),""))</f>
        <v>1</v>
      </c>
      <c r="D1859" s="10" t="s">
        <v>1215</v>
      </c>
      <c r="E1859" s="41" t="str">
        <f t="shared" si="1"/>
        <v>PROX4</v>
      </c>
    </row>
    <row r="1860" ht="15.75" customHeight="1">
      <c r="A1860" s="10" t="s">
        <v>37</v>
      </c>
      <c r="B1860" s="10" t="s">
        <v>122</v>
      </c>
      <c r="C1860" s="41">
        <f t="array" ref="C1860">IF(IFERROR(INDEX(CATALOG_POINTS,MATCH(A1860,CATALOG_TASK,0)),"")="",IF(MAX(IF(IFERROR(FIND(CATALOG_BASE,A1860),0)=1,CATALOG_POINTS,0))=0,DAILY_POST_POINTS,MAX(IF(IFERROR(FIND(CATALOG_BASE,A1860),0)=1,CATALOG_POINTS,0))),IFERROR(INDEX(CATALOG_POINTS,MATCH(A1860,CATALOG_TASK,0)),""))</f>
        <v>2</v>
      </c>
      <c r="D1860" s="10" t="s">
        <v>1215</v>
      </c>
      <c r="E1860" s="41" t="str">
        <f t="shared" si="1"/>
        <v>PROX4</v>
      </c>
    </row>
    <row r="1861" ht="15.75" customHeight="1">
      <c r="A1861" s="10" t="s">
        <v>1216</v>
      </c>
      <c r="B1861" s="10" t="s">
        <v>128</v>
      </c>
      <c r="C1861" s="41">
        <f t="array" ref="C1861">IF(IFERROR(INDEX(CATALOG_POINTS,MATCH(A1861,CATALOG_TASK,0)),"")="",IF(MAX(IF(IFERROR(FIND(CATALOG_BASE,A1861),0)=1,CATALOG_POINTS,0))=0,DAILY_POST_POINTS,MAX(IF(IFERROR(FIND(CATALOG_BASE,A1861),0)=1,CATALOG_POINTS,0))),IFERROR(INDEX(CATALOG_POINTS,MATCH(A1861,CATALOG_TASK,0)),""))</f>
        <v>1</v>
      </c>
      <c r="D1861" s="10" t="s">
        <v>1216</v>
      </c>
      <c r="E1861" s="41" t="str">
        <f t="shared" si="1"/>
        <v>PROX4</v>
      </c>
    </row>
    <row r="1862" ht="15.75" customHeight="1">
      <c r="A1862" s="10" t="s">
        <v>1217</v>
      </c>
      <c r="B1862" s="10" t="s">
        <v>133</v>
      </c>
      <c r="C1862" s="41">
        <f t="array" ref="C1862">IF(IFERROR(INDEX(CATALOG_POINTS,MATCH(A1862,CATALOG_TASK,0)),"")="",IF(MAX(IF(IFERROR(FIND(CATALOG_BASE,A1862),0)=1,CATALOG_POINTS,0))=0,DAILY_POST_POINTS,MAX(IF(IFERROR(FIND(CATALOG_BASE,A1862),0)=1,CATALOG_POINTS,0))),IFERROR(INDEX(CATALOG_POINTS,MATCH(A1862,CATALOG_TASK,0)),""))</f>
        <v>1</v>
      </c>
      <c r="D1862" s="10" t="s">
        <v>1217</v>
      </c>
      <c r="E1862" s="41" t="str">
        <f t="shared" si="1"/>
        <v>PROX3</v>
      </c>
    </row>
    <row r="1863" ht="15.75" customHeight="1">
      <c r="A1863" s="10" t="s">
        <v>1218</v>
      </c>
      <c r="B1863" s="10" t="s">
        <v>120</v>
      </c>
      <c r="C1863" s="41">
        <f t="array" ref="C1863">IF(IFERROR(INDEX(CATALOG_POINTS,MATCH(A1863,CATALOG_TASK,0)),"")="",IF(MAX(IF(IFERROR(FIND(CATALOG_BASE,A1863),0)=1,CATALOG_POINTS,0))=0,DAILY_POST_POINTS,MAX(IF(IFERROR(FIND(CATALOG_BASE,A1863),0)=1,CATALOG_POINTS,0))),IFERROR(INDEX(CATALOG_POINTS,MATCH(A1863,CATALOG_TASK,0)),""))</f>
        <v>1</v>
      </c>
      <c r="D1863" s="10" t="s">
        <v>1218</v>
      </c>
      <c r="E1863" s="41" t="str">
        <f t="shared" si="1"/>
        <v>PROX4</v>
      </c>
    </row>
    <row r="1864" ht="15.75" customHeight="1">
      <c r="A1864" s="10" t="s">
        <v>37</v>
      </c>
      <c r="B1864" s="10" t="s">
        <v>121</v>
      </c>
      <c r="C1864" s="41">
        <f t="array" ref="C1864">IF(IFERROR(INDEX(CATALOG_POINTS,MATCH(A1864,CATALOG_TASK,0)),"")="",IF(MAX(IF(IFERROR(FIND(CATALOG_BASE,A1864),0)=1,CATALOG_POINTS,0))=0,DAILY_POST_POINTS,MAX(IF(IFERROR(FIND(CATALOG_BASE,A1864),0)=1,CATALOG_POINTS,0))),IFERROR(INDEX(CATALOG_POINTS,MATCH(A1864,CATALOG_TASK,0)),""))</f>
        <v>2</v>
      </c>
      <c r="D1864" s="10" t="s">
        <v>1218</v>
      </c>
      <c r="E1864" s="41" t="str">
        <f t="shared" si="1"/>
        <v>PROX4</v>
      </c>
    </row>
    <row r="1865" ht="15.75" customHeight="1">
      <c r="A1865" s="10" t="s">
        <v>37</v>
      </c>
      <c r="B1865" s="10" t="s">
        <v>121</v>
      </c>
      <c r="C1865" s="41">
        <f t="array" ref="C1865">IF(IFERROR(INDEX(CATALOG_POINTS,MATCH(A1865,CATALOG_TASK,0)),"")="",IF(MAX(IF(IFERROR(FIND(CATALOG_BASE,A1865),0)=1,CATALOG_POINTS,0))=0,DAILY_POST_POINTS,MAX(IF(IFERROR(FIND(CATALOG_BASE,A1865),0)=1,CATALOG_POINTS,0))),IFERROR(INDEX(CATALOG_POINTS,MATCH(A1865,CATALOG_TASK,0)),""))</f>
        <v>2</v>
      </c>
      <c r="D1865" s="10" t="s">
        <v>1218</v>
      </c>
      <c r="E1865" s="41" t="str">
        <f t="shared" si="1"/>
        <v>PROX4</v>
      </c>
    </row>
    <row r="1866" ht="15.75" customHeight="1">
      <c r="A1866" s="10" t="s">
        <v>1219</v>
      </c>
      <c r="B1866" s="10" t="s">
        <v>122</v>
      </c>
      <c r="C1866" s="41">
        <f t="array" ref="C1866">IF(IFERROR(INDEX(CATALOG_POINTS,MATCH(A1866,CATALOG_TASK,0)),"")="",IF(MAX(IF(IFERROR(FIND(CATALOG_BASE,A1866),0)=1,CATALOG_POINTS,0))=0,DAILY_POST_POINTS,MAX(IF(IFERROR(FIND(CATALOG_BASE,A1866),0)=1,CATALOG_POINTS,0))),IFERROR(INDEX(CATALOG_POINTS,MATCH(A1866,CATALOG_TASK,0)),""))</f>
        <v>1</v>
      </c>
      <c r="D1866" s="10" t="s">
        <v>1219</v>
      </c>
      <c r="E1866" s="41" t="str">
        <f t="shared" si="1"/>
        <v/>
      </c>
    </row>
    <row r="1867" ht="15.75" customHeight="1">
      <c r="A1867" s="10" t="s">
        <v>1220</v>
      </c>
      <c r="B1867" s="10" t="s">
        <v>133</v>
      </c>
      <c r="C1867" s="41">
        <f t="array" ref="C1867">IF(IFERROR(INDEX(CATALOG_POINTS,MATCH(A1867,CATALOG_TASK,0)),"")="",IF(MAX(IF(IFERROR(FIND(CATALOG_BASE,A1867),0)=1,CATALOG_POINTS,0))=0,DAILY_POST_POINTS,MAX(IF(IFERROR(FIND(CATALOG_BASE,A1867),0)=1,CATALOG_POINTS,0))),IFERROR(INDEX(CATALOG_POINTS,MATCH(A1867,CATALOG_TASK,0)),""))</f>
        <v>1</v>
      </c>
      <c r="D1867" s="10" t="s">
        <v>1220</v>
      </c>
      <c r="E1867" s="41" t="str">
        <f t="shared" si="1"/>
        <v>PROX5</v>
      </c>
    </row>
    <row r="1868" ht="15.75" customHeight="1">
      <c r="A1868" s="10" t="s">
        <v>37</v>
      </c>
      <c r="B1868" s="10" t="s">
        <v>119</v>
      </c>
      <c r="C1868" s="41">
        <f t="array" ref="C1868">IF(IFERROR(INDEX(CATALOG_POINTS,MATCH(A1868,CATALOG_TASK,0)),"")="",IF(MAX(IF(IFERROR(FIND(CATALOG_BASE,A1868),0)=1,CATALOG_POINTS,0))=0,DAILY_POST_POINTS,MAX(IF(IFERROR(FIND(CATALOG_BASE,A1868),0)=1,CATALOG_POINTS,0))),IFERROR(INDEX(CATALOG_POINTS,MATCH(A1868,CATALOG_TASK,0)),""))</f>
        <v>2</v>
      </c>
      <c r="D1868" s="10" t="s">
        <v>1220</v>
      </c>
      <c r="E1868" s="41" t="str">
        <f t="shared" si="1"/>
        <v>PROX5</v>
      </c>
    </row>
    <row r="1869" ht="15.75" customHeight="1">
      <c r="A1869" s="10" t="s">
        <v>174</v>
      </c>
      <c r="B1869" s="10" t="s">
        <v>124</v>
      </c>
      <c r="C1869" s="41">
        <f t="array" ref="C1869">IF(IFERROR(INDEX(CATALOG_POINTS,MATCH(A1869,CATALOG_TASK,0)),"")="",IF(MAX(IF(IFERROR(FIND(CATALOG_BASE,A1869),0)=1,CATALOG_POINTS,0))=0,DAILY_POST_POINTS,MAX(IF(IFERROR(FIND(CATALOG_BASE,A1869),0)=1,CATALOG_POINTS,0))),IFERROR(INDEX(CATALOG_POINTS,MATCH(A1869,CATALOG_TASK,0)),""))</f>
        <v>1</v>
      </c>
      <c r="D1869" s="10" t="s">
        <v>1221</v>
      </c>
      <c r="E1869" s="41" t="str">
        <f t="shared" si="1"/>
        <v>PROX3</v>
      </c>
    </row>
    <row r="1870" ht="15.75" customHeight="1">
      <c r="A1870" s="10" t="s">
        <v>178</v>
      </c>
      <c r="B1870" s="10" t="s">
        <v>125</v>
      </c>
      <c r="C1870" s="41">
        <f t="array" ref="C1870">IF(IFERROR(INDEX(CATALOG_POINTS,MATCH(A1870,CATALOG_TASK,0)),"")="",IF(MAX(IF(IFERROR(FIND(CATALOG_BASE,A1870),0)=1,CATALOG_POINTS,0))=0,DAILY_POST_POINTS,MAX(IF(IFERROR(FIND(CATALOG_BASE,A1870),0)=1,CATALOG_POINTS,0))),IFERROR(INDEX(CATALOG_POINTS,MATCH(A1870,CATALOG_TASK,0)),""))</f>
        <v>1</v>
      </c>
      <c r="D1870" s="10" t="s">
        <v>1221</v>
      </c>
      <c r="E1870" s="41" t="str">
        <f t="shared" si="1"/>
        <v>PROX3</v>
      </c>
    </row>
    <row r="1871" ht="15.75" customHeight="1">
      <c r="A1871" s="10" t="s">
        <v>180</v>
      </c>
      <c r="B1871" s="10" t="s">
        <v>138</v>
      </c>
      <c r="C1871" s="41">
        <f t="array" ref="C1871">IF(IFERROR(INDEX(CATALOG_POINTS,MATCH(A1871,CATALOG_TASK,0)),"")="",IF(MAX(IF(IFERROR(FIND(CATALOG_BASE,A1871),0)=1,CATALOG_POINTS,0))=0,DAILY_POST_POINTS,MAX(IF(IFERROR(FIND(CATALOG_BASE,A1871),0)=1,CATALOG_POINTS,0))),IFERROR(INDEX(CATALOG_POINTS,MATCH(A1871,CATALOG_TASK,0)),""))</f>
        <v>1</v>
      </c>
      <c r="D1871" s="10" t="s">
        <v>1221</v>
      </c>
      <c r="E1871" s="41" t="str">
        <f t="shared" si="1"/>
        <v>PROX3</v>
      </c>
    </row>
    <row r="1872" ht="15.75" customHeight="1">
      <c r="A1872" s="10" t="s">
        <v>1222</v>
      </c>
      <c r="B1872" s="10" t="s">
        <v>120</v>
      </c>
      <c r="C1872" s="41">
        <f t="array" ref="C1872">IF(IFERROR(INDEX(CATALOG_POINTS,MATCH(A1872,CATALOG_TASK,0)),"")="",IF(MAX(IF(IFERROR(FIND(CATALOG_BASE,A1872),0)=1,CATALOG_POINTS,0))=0,DAILY_POST_POINTS,MAX(IF(IFERROR(FIND(CATALOG_BASE,A1872),0)=1,CATALOG_POINTS,0))),IFERROR(INDEX(CATALOG_POINTS,MATCH(A1872,CATALOG_TASK,0)),""))</f>
        <v>1</v>
      </c>
      <c r="D1872" s="10" t="s">
        <v>1222</v>
      </c>
      <c r="E1872" s="41" t="str">
        <f t="shared" si="1"/>
        <v>PROX3</v>
      </c>
    </row>
    <row r="1873" ht="15.75" customHeight="1">
      <c r="A1873" s="10" t="s">
        <v>168</v>
      </c>
      <c r="B1873" s="10" t="s">
        <v>127</v>
      </c>
      <c r="C1873" s="41">
        <f t="array" ref="C1873">IF(IFERROR(INDEX(CATALOG_POINTS,MATCH(A1873,CATALOG_TASK,0)),"")="",IF(MAX(IF(IFERROR(FIND(CATALOG_BASE,A1873),0)=1,CATALOG_POINTS,0))=0,DAILY_POST_POINTS,MAX(IF(IFERROR(FIND(CATALOG_BASE,A1873),0)=1,CATALOG_POINTS,0))),IFERROR(INDEX(CATALOG_POINTS,MATCH(A1873,CATALOG_TASK,0)),""))</f>
        <v>1</v>
      </c>
      <c r="D1873" s="10" t="s">
        <v>1222</v>
      </c>
      <c r="E1873" s="41" t="str">
        <f t="shared" si="1"/>
        <v>PROX3</v>
      </c>
    </row>
    <row r="1874" ht="15.75" customHeight="1">
      <c r="A1874" s="10" t="s">
        <v>37</v>
      </c>
      <c r="B1874" s="10" t="s">
        <v>127</v>
      </c>
      <c r="C1874" s="41">
        <f t="array" ref="C1874">IF(IFERROR(INDEX(CATALOG_POINTS,MATCH(A1874,CATALOG_TASK,0)),"")="",IF(MAX(IF(IFERROR(FIND(CATALOG_BASE,A1874),0)=1,CATALOG_POINTS,0))=0,DAILY_POST_POINTS,MAX(IF(IFERROR(FIND(CATALOG_BASE,A1874),0)=1,CATALOG_POINTS,0))),IFERROR(INDEX(CATALOG_POINTS,MATCH(A1874,CATALOG_TASK,0)),""))</f>
        <v>2</v>
      </c>
      <c r="D1874" s="10" t="s">
        <v>1222</v>
      </c>
      <c r="E1874" s="41" t="str">
        <f t="shared" si="1"/>
        <v>PROX3</v>
      </c>
    </row>
    <row r="1875" ht="15.75" customHeight="1">
      <c r="A1875" s="10" t="s">
        <v>1223</v>
      </c>
      <c r="B1875" s="10" t="s">
        <v>131</v>
      </c>
      <c r="C1875" s="41">
        <f t="array" ref="C1875">IF(IFERROR(INDEX(CATALOG_POINTS,MATCH(A1875,CATALOG_TASK,0)),"")="",IF(MAX(IF(IFERROR(FIND(CATALOG_BASE,A1875),0)=1,CATALOG_POINTS,0))=0,DAILY_POST_POINTS,MAX(IF(IFERROR(FIND(CATALOG_BASE,A1875),0)=1,CATALOG_POINTS,0))),IFERROR(INDEX(CATALOG_POINTS,MATCH(A1875,CATALOG_TASK,0)),""))</f>
        <v>1</v>
      </c>
      <c r="D1875" s="10" t="s">
        <v>1223</v>
      </c>
      <c r="E1875" s="41" t="str">
        <f t="shared" si="1"/>
        <v>PROX4</v>
      </c>
    </row>
    <row r="1876" ht="15.75" customHeight="1">
      <c r="A1876" s="10" t="s">
        <v>1224</v>
      </c>
      <c r="B1876" s="10" t="s">
        <v>125</v>
      </c>
      <c r="C1876" s="41">
        <f t="array" ref="C1876">IF(IFERROR(INDEX(CATALOG_POINTS,MATCH(A1876,CATALOG_TASK,0)),"")="",IF(MAX(IF(IFERROR(FIND(CATALOG_BASE,A1876),0)=1,CATALOG_POINTS,0))=0,DAILY_POST_POINTS,MAX(IF(IFERROR(FIND(CATALOG_BASE,A1876),0)=1,CATALOG_POINTS,0))),IFERROR(INDEX(CATALOG_POINTS,MATCH(A1876,CATALOG_TASK,0)),""))</f>
        <v>1</v>
      </c>
      <c r="D1876" s="10" t="s">
        <v>1224</v>
      </c>
      <c r="E1876" s="41" t="str">
        <f t="shared" si="1"/>
        <v>PROX3</v>
      </c>
    </row>
    <row r="1877" ht="15.75" customHeight="1">
      <c r="A1877" s="10" t="s">
        <v>1225</v>
      </c>
      <c r="B1877" s="10" t="s">
        <v>126</v>
      </c>
      <c r="C1877" s="41">
        <f t="array" ref="C1877">IF(IFERROR(INDEX(CATALOG_POINTS,MATCH(A1877,CATALOG_TASK,0)),"")="",IF(MAX(IF(IFERROR(FIND(CATALOG_BASE,A1877),0)=1,CATALOG_POINTS,0))=0,DAILY_POST_POINTS,MAX(IF(IFERROR(FIND(CATALOG_BASE,A1877),0)=1,CATALOG_POINTS,0))),IFERROR(INDEX(CATALOG_POINTS,MATCH(A1877,CATALOG_TASK,0)),""))</f>
        <v>1</v>
      </c>
      <c r="D1877" s="10" t="s">
        <v>1225</v>
      </c>
      <c r="E1877" s="41" t="str">
        <f t="shared" si="1"/>
        <v>PROX3</v>
      </c>
    </row>
    <row r="1878" ht="15.75" customHeight="1">
      <c r="A1878" s="10" t="s">
        <v>1226</v>
      </c>
      <c r="B1878" s="10" t="s">
        <v>132</v>
      </c>
      <c r="C1878" s="41">
        <f t="array" ref="C1878">IF(IFERROR(INDEX(CATALOG_POINTS,MATCH(A1878,CATALOG_TASK,0)),"")="",IF(MAX(IF(IFERROR(FIND(CATALOG_BASE,A1878),0)=1,CATALOG_POINTS,0))=0,DAILY_POST_POINTS,MAX(IF(IFERROR(FIND(CATALOG_BASE,A1878),0)=1,CATALOG_POINTS,0))),IFERROR(INDEX(CATALOG_POINTS,MATCH(A1878,CATALOG_TASK,0)),""))</f>
        <v>1</v>
      </c>
      <c r="D1878" s="10" t="s">
        <v>1226</v>
      </c>
      <c r="E1878" s="41" t="str">
        <f t="shared" si="1"/>
        <v>PROX4</v>
      </c>
    </row>
    <row r="1879" ht="15.75" customHeight="1">
      <c r="A1879" s="10" t="s">
        <v>1227</v>
      </c>
      <c r="B1879" s="10" t="s">
        <v>121</v>
      </c>
      <c r="C1879" s="41">
        <f t="array" ref="C1879">IF(IFERROR(INDEX(CATALOG_POINTS,MATCH(A1879,CATALOG_TASK,0)),"")="",IF(MAX(IF(IFERROR(FIND(CATALOG_BASE,A1879),0)=1,CATALOG_POINTS,0))=0,DAILY_POST_POINTS,MAX(IF(IFERROR(FIND(CATALOG_BASE,A1879),0)=1,CATALOG_POINTS,0))),IFERROR(INDEX(CATALOG_POINTS,MATCH(A1879,CATALOG_TASK,0)),""))</f>
        <v>1</v>
      </c>
      <c r="D1879" s="10" t="s">
        <v>1227</v>
      </c>
      <c r="E1879" s="41" t="str">
        <f t="shared" si="1"/>
        <v>PROX3</v>
      </c>
    </row>
    <row r="1880" ht="15.75" customHeight="1">
      <c r="A1880" s="10" t="s">
        <v>1228</v>
      </c>
      <c r="B1880" s="10" t="s">
        <v>133</v>
      </c>
      <c r="C1880" s="41">
        <f t="array" ref="C1880">IF(IFERROR(INDEX(CATALOG_POINTS,MATCH(A1880,CATALOG_TASK,0)),"")="",IF(MAX(IF(IFERROR(FIND(CATALOG_BASE,A1880),0)=1,CATALOG_POINTS,0))=0,DAILY_POST_POINTS,MAX(IF(IFERROR(FIND(CATALOG_BASE,A1880),0)=1,CATALOG_POINTS,0))),IFERROR(INDEX(CATALOG_POINTS,MATCH(A1880,CATALOG_TASK,0)),""))</f>
        <v>1</v>
      </c>
      <c r="D1880" s="10" t="s">
        <v>1228</v>
      </c>
      <c r="E1880" s="41" t="str">
        <f t="shared" si="1"/>
        <v>PROX5</v>
      </c>
    </row>
    <row r="1881" ht="15.75" customHeight="1">
      <c r="A1881" s="10" t="s">
        <v>168</v>
      </c>
      <c r="B1881" s="10" t="s">
        <v>120</v>
      </c>
      <c r="C1881" s="41">
        <f t="array" ref="C1881">IF(IFERROR(INDEX(CATALOG_POINTS,MATCH(A1881,CATALOG_TASK,0)),"")="",IF(MAX(IF(IFERROR(FIND(CATALOG_BASE,A1881),0)=1,CATALOG_POINTS,0))=0,DAILY_POST_POINTS,MAX(IF(IFERROR(FIND(CATALOG_BASE,A1881),0)=1,CATALOG_POINTS,0))),IFERROR(INDEX(CATALOG_POINTS,MATCH(A1881,CATALOG_TASK,0)),""))</f>
        <v>1</v>
      </c>
      <c r="D1881" s="10" t="s">
        <v>1229</v>
      </c>
      <c r="E1881" s="41" t="str">
        <f t="shared" si="1"/>
        <v>PROX3</v>
      </c>
    </row>
    <row r="1882" ht="15.75" customHeight="1">
      <c r="A1882" s="10" t="s">
        <v>37</v>
      </c>
      <c r="B1882" s="10" t="s">
        <v>120</v>
      </c>
      <c r="C1882" s="41">
        <f t="array" ref="C1882">IF(IFERROR(INDEX(CATALOG_POINTS,MATCH(A1882,CATALOG_TASK,0)),"")="",IF(MAX(IF(IFERROR(FIND(CATALOG_BASE,A1882),0)=1,CATALOG_POINTS,0))=0,DAILY_POST_POINTS,MAX(IF(IFERROR(FIND(CATALOG_BASE,A1882),0)=1,CATALOG_POINTS,0))),IFERROR(INDEX(CATALOG_POINTS,MATCH(A1882,CATALOG_TASK,0)),""))</f>
        <v>2</v>
      </c>
      <c r="D1882" s="10" t="s">
        <v>1229</v>
      </c>
      <c r="E1882" s="41" t="str">
        <f t="shared" si="1"/>
        <v>PROX3</v>
      </c>
    </row>
    <row r="1883" ht="15.75" customHeight="1">
      <c r="A1883" s="10" t="s">
        <v>168</v>
      </c>
      <c r="B1883" s="10" t="s">
        <v>123</v>
      </c>
      <c r="C1883" s="41">
        <f t="array" ref="C1883">IF(IFERROR(INDEX(CATALOG_POINTS,MATCH(A1883,CATALOG_TASK,0)),"")="",IF(MAX(IF(IFERROR(FIND(CATALOG_BASE,A1883),0)=1,CATALOG_POINTS,0))=0,DAILY_POST_POINTS,MAX(IF(IFERROR(FIND(CATALOG_BASE,A1883),0)=1,CATALOG_POINTS,0))),IFERROR(INDEX(CATALOG_POINTS,MATCH(A1883,CATALOG_TASK,0)),""))</f>
        <v>1</v>
      </c>
      <c r="D1883" s="10" t="s">
        <v>1229</v>
      </c>
      <c r="E1883" s="41" t="str">
        <f t="shared" si="1"/>
        <v>PROX3</v>
      </c>
    </row>
    <row r="1884" ht="15.75" customHeight="1">
      <c r="A1884" s="10" t="s">
        <v>37</v>
      </c>
      <c r="B1884" s="10" t="s">
        <v>120</v>
      </c>
      <c r="C1884" s="41">
        <f t="array" ref="C1884">IF(IFERROR(INDEX(CATALOG_POINTS,MATCH(A1884,CATALOG_TASK,0)),"")="",IF(MAX(IF(IFERROR(FIND(CATALOG_BASE,A1884),0)=1,CATALOG_POINTS,0))=0,DAILY_POST_POINTS,MAX(IF(IFERROR(FIND(CATALOG_BASE,A1884),0)=1,CATALOG_POINTS,0))),IFERROR(INDEX(CATALOG_POINTS,MATCH(A1884,CATALOG_TASK,0)),""))</f>
        <v>2</v>
      </c>
      <c r="D1884" s="10" t="s">
        <v>1229</v>
      </c>
      <c r="E1884" s="41" t="str">
        <f t="shared" si="1"/>
        <v>PROX3</v>
      </c>
    </row>
    <row r="1885" ht="15.75" customHeight="1">
      <c r="A1885" s="10" t="s">
        <v>178</v>
      </c>
      <c r="B1885" s="10" t="s">
        <v>127</v>
      </c>
      <c r="C1885" s="41">
        <f t="array" ref="C1885">IF(IFERROR(INDEX(CATALOG_POINTS,MATCH(A1885,CATALOG_TASK,0)),"")="",IF(MAX(IF(IFERROR(FIND(CATALOG_BASE,A1885),0)=1,CATALOG_POINTS,0))=0,DAILY_POST_POINTS,MAX(IF(IFERROR(FIND(CATALOG_BASE,A1885),0)=1,CATALOG_POINTS,0))),IFERROR(INDEX(CATALOG_POINTS,MATCH(A1885,CATALOG_TASK,0)),""))</f>
        <v>1</v>
      </c>
      <c r="D1885" s="10" t="s">
        <v>1229</v>
      </c>
      <c r="E1885" s="41" t="str">
        <f t="shared" si="1"/>
        <v>PROX3</v>
      </c>
    </row>
    <row r="1886" ht="15.75" customHeight="1">
      <c r="A1886" s="10" t="s">
        <v>168</v>
      </c>
      <c r="B1886" s="10" t="s">
        <v>125</v>
      </c>
      <c r="C1886" s="41">
        <f t="array" ref="C1886">IF(IFERROR(INDEX(CATALOG_POINTS,MATCH(A1886,CATALOG_TASK,0)),"")="",IF(MAX(IF(IFERROR(FIND(CATALOG_BASE,A1886),0)=1,CATALOG_POINTS,0))=0,DAILY_POST_POINTS,MAX(IF(IFERROR(FIND(CATALOG_BASE,A1886),0)=1,CATALOG_POINTS,0))),IFERROR(INDEX(CATALOG_POINTS,MATCH(A1886,CATALOG_TASK,0)),""))</f>
        <v>1</v>
      </c>
      <c r="D1886" s="10" t="s">
        <v>1229</v>
      </c>
      <c r="E1886" s="41" t="str">
        <f t="shared" si="1"/>
        <v>PROX3</v>
      </c>
    </row>
    <row r="1887" ht="15.75" customHeight="1">
      <c r="A1887" s="10" t="s">
        <v>168</v>
      </c>
      <c r="B1887" s="10" t="s">
        <v>125</v>
      </c>
      <c r="C1887" s="41">
        <f t="array" ref="C1887">IF(IFERROR(INDEX(CATALOG_POINTS,MATCH(A1887,CATALOG_TASK,0)),"")="",IF(MAX(IF(IFERROR(FIND(CATALOG_BASE,A1887),0)=1,CATALOG_POINTS,0))=0,DAILY_POST_POINTS,MAX(IF(IFERROR(FIND(CATALOG_BASE,A1887),0)=1,CATALOG_POINTS,0))),IFERROR(INDEX(CATALOG_POINTS,MATCH(A1887,CATALOG_TASK,0)),""))</f>
        <v>1</v>
      </c>
      <c r="D1887" s="10" t="s">
        <v>1229</v>
      </c>
      <c r="E1887" s="41" t="str">
        <f t="shared" si="1"/>
        <v>PROX3</v>
      </c>
    </row>
    <row r="1888" ht="15.75" customHeight="1">
      <c r="A1888" s="10" t="s">
        <v>37</v>
      </c>
      <c r="B1888" s="10" t="s">
        <v>123</v>
      </c>
      <c r="C1888" s="41">
        <f t="array" ref="C1888">IF(IFERROR(INDEX(CATALOG_POINTS,MATCH(A1888,CATALOG_TASK,0)),"")="",IF(MAX(IF(IFERROR(FIND(CATALOG_BASE,A1888),0)=1,CATALOG_POINTS,0))=0,DAILY_POST_POINTS,MAX(IF(IFERROR(FIND(CATALOG_BASE,A1888),0)=1,CATALOG_POINTS,0))),IFERROR(INDEX(CATALOG_POINTS,MATCH(A1888,CATALOG_TASK,0)),""))</f>
        <v>2</v>
      </c>
      <c r="D1888" s="10" t="s">
        <v>1229</v>
      </c>
      <c r="E1888" s="41" t="str">
        <f t="shared" si="1"/>
        <v>PROX3</v>
      </c>
    </row>
    <row r="1889" ht="15.75" customHeight="1">
      <c r="A1889" s="10" t="s">
        <v>37</v>
      </c>
      <c r="B1889" s="10" t="s">
        <v>120</v>
      </c>
      <c r="C1889" s="41">
        <f t="array" ref="C1889">IF(IFERROR(INDEX(CATALOG_POINTS,MATCH(A1889,CATALOG_TASK,0)),"")="",IF(MAX(IF(IFERROR(FIND(CATALOG_BASE,A1889),0)=1,CATALOG_POINTS,0))=0,DAILY_POST_POINTS,MAX(IF(IFERROR(FIND(CATALOG_BASE,A1889),0)=1,CATALOG_POINTS,0))),IFERROR(INDEX(CATALOG_POINTS,MATCH(A1889,CATALOG_TASK,0)),""))</f>
        <v>2</v>
      </c>
      <c r="D1889" s="10" t="s">
        <v>1229</v>
      </c>
      <c r="E1889" s="41" t="str">
        <f t="shared" si="1"/>
        <v>PROX3</v>
      </c>
    </row>
    <row r="1890" ht="15.75" customHeight="1">
      <c r="A1890" s="10" t="s">
        <v>37</v>
      </c>
      <c r="B1890" s="10" t="s">
        <v>123</v>
      </c>
      <c r="C1890" s="41">
        <f t="array" ref="C1890">IF(IFERROR(INDEX(CATALOG_POINTS,MATCH(A1890,CATALOG_TASK,0)),"")="",IF(MAX(IF(IFERROR(FIND(CATALOG_BASE,A1890),0)=1,CATALOG_POINTS,0))=0,DAILY_POST_POINTS,MAX(IF(IFERROR(FIND(CATALOG_BASE,A1890),0)=1,CATALOG_POINTS,0))),IFERROR(INDEX(CATALOG_POINTS,MATCH(A1890,CATALOG_TASK,0)),""))</f>
        <v>2</v>
      </c>
      <c r="D1890" s="10" t="s">
        <v>1229</v>
      </c>
      <c r="E1890" s="41" t="str">
        <f t="shared" si="1"/>
        <v>PROX3</v>
      </c>
    </row>
    <row r="1891" ht="15.75" customHeight="1">
      <c r="A1891" s="10" t="s">
        <v>37</v>
      </c>
      <c r="B1891" s="10" t="s">
        <v>123</v>
      </c>
      <c r="C1891" s="41">
        <f t="array" ref="C1891">IF(IFERROR(INDEX(CATALOG_POINTS,MATCH(A1891,CATALOG_TASK,0)),"")="",IF(MAX(IF(IFERROR(FIND(CATALOG_BASE,A1891),0)=1,CATALOG_POINTS,0))=0,DAILY_POST_POINTS,MAX(IF(IFERROR(FIND(CATALOG_BASE,A1891),0)=1,CATALOG_POINTS,0))),IFERROR(INDEX(CATALOG_POINTS,MATCH(A1891,CATALOG_TASK,0)),""))</f>
        <v>2</v>
      </c>
      <c r="D1891" s="10" t="s">
        <v>1229</v>
      </c>
      <c r="E1891" s="41" t="str">
        <f t="shared" si="1"/>
        <v>PROX3</v>
      </c>
    </row>
    <row r="1892" ht="15.75" customHeight="1">
      <c r="A1892" s="10" t="s">
        <v>1230</v>
      </c>
      <c r="B1892" s="10" t="s">
        <v>120</v>
      </c>
      <c r="C1892" s="41">
        <f t="array" ref="C1892">IF(IFERROR(INDEX(CATALOG_POINTS,MATCH(A1892,CATALOG_TASK,0)),"")="",IF(MAX(IF(IFERROR(FIND(CATALOG_BASE,A1892),0)=1,CATALOG_POINTS,0))=0,DAILY_POST_POINTS,MAX(IF(IFERROR(FIND(CATALOG_BASE,A1892),0)=1,CATALOG_POINTS,0))),IFERROR(INDEX(CATALOG_POINTS,MATCH(A1892,CATALOG_TASK,0)),""))</f>
        <v>1</v>
      </c>
      <c r="D1892" s="10" t="s">
        <v>1230</v>
      </c>
      <c r="E1892" s="41" t="str">
        <f t="shared" si="1"/>
        <v>PROX4</v>
      </c>
    </row>
    <row r="1893" ht="15.75" customHeight="1">
      <c r="A1893" s="10" t="s">
        <v>1231</v>
      </c>
      <c r="B1893" s="10" t="s">
        <v>126</v>
      </c>
      <c r="C1893" s="41">
        <f t="array" ref="C1893">IF(IFERROR(INDEX(CATALOG_POINTS,MATCH(A1893,CATALOG_TASK,0)),"")="",IF(MAX(IF(IFERROR(FIND(CATALOG_BASE,A1893),0)=1,CATALOG_POINTS,0))=0,DAILY_POST_POINTS,MAX(IF(IFERROR(FIND(CATALOG_BASE,A1893),0)=1,CATALOG_POINTS,0))),IFERROR(INDEX(CATALOG_POINTS,MATCH(A1893,CATALOG_TASK,0)),""))</f>
        <v>1</v>
      </c>
      <c r="D1893" s="10" t="s">
        <v>1231</v>
      </c>
      <c r="E1893" s="41" t="str">
        <f t="shared" si="1"/>
        <v/>
      </c>
    </row>
    <row r="1894" ht="15.75" customHeight="1">
      <c r="A1894" s="10" t="s">
        <v>24</v>
      </c>
      <c r="B1894" s="10" t="s">
        <v>117</v>
      </c>
      <c r="C1894" s="41">
        <f t="array" ref="C1894">IF(IFERROR(INDEX(CATALOG_POINTS,MATCH(A1894,CATALOG_TASK,0)),"")="",IF(MAX(IF(IFERROR(FIND(CATALOG_BASE,A1894),0)=1,CATALOG_POINTS,0))=0,DAILY_POST_POINTS,MAX(IF(IFERROR(FIND(CATALOG_BASE,A1894),0)=1,CATALOG_POINTS,0))),IFERROR(INDEX(CATALOG_POINTS,MATCH(A1894,CATALOG_TASK,0)),""))</f>
        <v>2</v>
      </c>
      <c r="D1894" s="10" t="s">
        <v>1232</v>
      </c>
      <c r="E1894" s="41" t="str">
        <f t="shared" si="1"/>
        <v>PROX3</v>
      </c>
    </row>
    <row r="1895" ht="15.75" customHeight="1">
      <c r="A1895" s="10" t="s">
        <v>180</v>
      </c>
      <c r="B1895" s="10" t="s">
        <v>120</v>
      </c>
      <c r="C1895" s="41">
        <f t="array" ref="C1895">IF(IFERROR(INDEX(CATALOG_POINTS,MATCH(A1895,CATALOG_TASK,0)),"")="",IF(MAX(IF(IFERROR(FIND(CATALOG_BASE,A1895),0)=1,CATALOG_POINTS,0))=0,DAILY_POST_POINTS,MAX(IF(IFERROR(FIND(CATALOG_BASE,A1895),0)=1,CATALOG_POINTS,0))),IFERROR(INDEX(CATALOG_POINTS,MATCH(A1895,CATALOG_TASK,0)),""))</f>
        <v>1</v>
      </c>
      <c r="D1895" s="10" t="s">
        <v>1232</v>
      </c>
      <c r="E1895" s="41" t="str">
        <f t="shared" si="1"/>
        <v>PROX3</v>
      </c>
    </row>
    <row r="1896" ht="15.75" customHeight="1">
      <c r="A1896" s="10" t="s">
        <v>174</v>
      </c>
      <c r="B1896" s="10" t="s">
        <v>125</v>
      </c>
      <c r="C1896" s="41">
        <f t="array" ref="C1896">IF(IFERROR(INDEX(CATALOG_POINTS,MATCH(A1896,CATALOG_TASK,0)),"")="",IF(MAX(IF(IFERROR(FIND(CATALOG_BASE,A1896),0)=1,CATALOG_POINTS,0))=0,DAILY_POST_POINTS,MAX(IF(IFERROR(FIND(CATALOG_BASE,A1896),0)=1,CATALOG_POINTS,0))),IFERROR(INDEX(CATALOG_POINTS,MATCH(A1896,CATALOG_TASK,0)),""))</f>
        <v>1</v>
      </c>
      <c r="D1896" s="10" t="s">
        <v>1232</v>
      </c>
      <c r="E1896" s="41" t="str">
        <f t="shared" si="1"/>
        <v>PROX3</v>
      </c>
    </row>
    <row r="1897" ht="15.75" customHeight="1">
      <c r="A1897" s="10" t="s">
        <v>1233</v>
      </c>
      <c r="B1897" s="10" t="s">
        <v>120</v>
      </c>
      <c r="C1897" s="41">
        <f t="array" ref="C1897">IF(IFERROR(INDEX(CATALOG_POINTS,MATCH(A1897,CATALOG_TASK,0)),"")="",IF(MAX(IF(IFERROR(FIND(CATALOG_BASE,A1897),0)=1,CATALOG_POINTS,0))=0,DAILY_POST_POINTS,MAX(IF(IFERROR(FIND(CATALOG_BASE,A1897),0)=1,CATALOG_POINTS,0))),IFERROR(INDEX(CATALOG_POINTS,MATCH(A1897,CATALOG_TASK,0)),""))</f>
        <v>1</v>
      </c>
      <c r="D1897" s="10" t="s">
        <v>1233</v>
      </c>
      <c r="E1897" s="41" t="str">
        <f t="shared" si="1"/>
        <v>E0</v>
      </c>
    </row>
    <row r="1898" ht="15.75" customHeight="1">
      <c r="A1898" s="10" t="s">
        <v>37</v>
      </c>
      <c r="B1898" s="10" t="s">
        <v>128</v>
      </c>
      <c r="C1898" s="41">
        <f t="array" ref="C1898">IF(IFERROR(INDEX(CATALOG_POINTS,MATCH(A1898,CATALOG_TASK,0)),"")="",IF(MAX(IF(IFERROR(FIND(CATALOG_BASE,A1898),0)=1,CATALOG_POINTS,0))=0,DAILY_POST_POINTS,MAX(IF(IFERROR(FIND(CATALOG_BASE,A1898),0)=1,CATALOG_POINTS,0))),IFERROR(INDEX(CATALOG_POINTS,MATCH(A1898,CATALOG_TASK,0)),""))</f>
        <v>2</v>
      </c>
      <c r="D1898" s="10" t="s">
        <v>1234</v>
      </c>
      <c r="E1898" s="41" t="str">
        <f t="shared" si="1"/>
        <v/>
      </c>
    </row>
    <row r="1899" ht="15.75" customHeight="1">
      <c r="A1899" s="10" t="s">
        <v>1234</v>
      </c>
      <c r="B1899" s="10" t="s">
        <v>134</v>
      </c>
      <c r="C1899" s="41">
        <f t="array" ref="C1899">IF(IFERROR(INDEX(CATALOG_POINTS,MATCH(A1899,CATALOG_TASK,0)),"")="",IF(MAX(IF(IFERROR(FIND(CATALOG_BASE,A1899),0)=1,CATALOG_POINTS,0))=0,DAILY_POST_POINTS,MAX(IF(IFERROR(FIND(CATALOG_BASE,A1899),0)=1,CATALOG_POINTS,0))),IFERROR(INDEX(CATALOG_POINTS,MATCH(A1899,CATALOG_TASK,0)),""))</f>
        <v>1</v>
      </c>
      <c r="D1899" s="10" t="s">
        <v>1234</v>
      </c>
      <c r="E1899" s="41" t="str">
        <f t="shared" si="1"/>
        <v/>
      </c>
    </row>
    <row r="1900" ht="15.75" customHeight="1">
      <c r="A1900" s="10" t="s">
        <v>37</v>
      </c>
      <c r="B1900" s="10" t="s">
        <v>120</v>
      </c>
      <c r="C1900" s="41">
        <f t="array" ref="C1900">IF(IFERROR(INDEX(CATALOG_POINTS,MATCH(A1900,CATALOG_TASK,0)),"")="",IF(MAX(IF(IFERROR(FIND(CATALOG_BASE,A1900),0)=1,CATALOG_POINTS,0))=0,DAILY_POST_POINTS,MAX(IF(IFERROR(FIND(CATALOG_BASE,A1900),0)=1,CATALOG_POINTS,0))),IFERROR(INDEX(CATALOG_POINTS,MATCH(A1900,CATALOG_TASK,0)),""))</f>
        <v>2</v>
      </c>
      <c r="D1900" s="10" t="s">
        <v>1235</v>
      </c>
      <c r="E1900" s="41" t="str">
        <f t="shared" si="1"/>
        <v>PROX3</v>
      </c>
    </row>
    <row r="1901" ht="15.75" customHeight="1">
      <c r="A1901" s="10" t="s">
        <v>1235</v>
      </c>
      <c r="B1901" s="10" t="s">
        <v>133</v>
      </c>
      <c r="C1901" s="41">
        <f t="array" ref="C1901">IF(IFERROR(INDEX(CATALOG_POINTS,MATCH(A1901,CATALOG_TASK,0)),"")="",IF(MAX(IF(IFERROR(FIND(CATALOG_BASE,A1901),0)=1,CATALOG_POINTS,0))=0,DAILY_POST_POINTS,MAX(IF(IFERROR(FIND(CATALOG_BASE,A1901),0)=1,CATALOG_POINTS,0))),IFERROR(INDEX(CATALOG_POINTS,MATCH(A1901,CATALOG_TASK,0)),""))</f>
        <v>1</v>
      </c>
      <c r="D1901" s="10" t="s">
        <v>1235</v>
      </c>
      <c r="E1901" s="41" t="str">
        <f t="shared" si="1"/>
        <v>PROX3</v>
      </c>
    </row>
    <row r="1902" ht="15.75" customHeight="1">
      <c r="A1902" s="10" t="s">
        <v>1236</v>
      </c>
      <c r="B1902" s="10" t="s">
        <v>124</v>
      </c>
      <c r="C1902" s="41">
        <f t="array" ref="C1902">IF(IFERROR(INDEX(CATALOG_POINTS,MATCH(A1902,CATALOG_TASK,0)),"")="",IF(MAX(IF(IFERROR(FIND(CATALOG_BASE,A1902),0)=1,CATALOG_POINTS,0))=0,DAILY_POST_POINTS,MAX(IF(IFERROR(FIND(CATALOG_BASE,A1902),0)=1,CATALOG_POINTS,0))),IFERROR(INDEX(CATALOG_POINTS,MATCH(A1902,CATALOG_TASK,0)),""))</f>
        <v>1</v>
      </c>
      <c r="D1902" s="10" t="s">
        <v>1236</v>
      </c>
      <c r="E1902" s="41" t="str">
        <f t="shared" si="1"/>
        <v>PROX3</v>
      </c>
    </row>
    <row r="1903" ht="15.75" customHeight="1">
      <c r="A1903" s="10" t="s">
        <v>37</v>
      </c>
      <c r="B1903" s="10" t="s">
        <v>124</v>
      </c>
      <c r="C1903" s="41">
        <f t="array" ref="C1903">IF(IFERROR(INDEX(CATALOG_POINTS,MATCH(A1903,CATALOG_TASK,0)),"")="",IF(MAX(IF(IFERROR(FIND(CATALOG_BASE,A1903),0)=1,CATALOG_POINTS,0))=0,DAILY_POST_POINTS,MAX(IF(IFERROR(FIND(CATALOG_BASE,A1903),0)=1,CATALOG_POINTS,0))),IFERROR(INDEX(CATALOG_POINTS,MATCH(A1903,CATALOG_TASK,0)),""))</f>
        <v>2</v>
      </c>
      <c r="D1903" s="10" t="s">
        <v>1236</v>
      </c>
      <c r="E1903" s="41" t="str">
        <f t="shared" si="1"/>
        <v>PROX3</v>
      </c>
    </row>
    <row r="1904" ht="15.75" customHeight="1">
      <c r="A1904" s="10" t="s">
        <v>37</v>
      </c>
      <c r="B1904" s="10" t="s">
        <v>119</v>
      </c>
      <c r="C1904" s="41">
        <f t="array" ref="C1904">IF(IFERROR(INDEX(CATALOG_POINTS,MATCH(A1904,CATALOG_TASK,0)),"")="",IF(MAX(IF(IFERROR(FIND(CATALOG_BASE,A1904),0)=1,CATALOG_POINTS,0))=0,DAILY_POST_POINTS,MAX(IF(IFERROR(FIND(CATALOG_BASE,A1904),0)=1,CATALOG_POINTS,0))),IFERROR(INDEX(CATALOG_POINTS,MATCH(A1904,CATALOG_TASK,0)),""))</f>
        <v>2</v>
      </c>
      <c r="D1904" s="10" t="s">
        <v>1236</v>
      </c>
      <c r="E1904" s="41" t="str">
        <f t="shared" si="1"/>
        <v>PROX3</v>
      </c>
    </row>
    <row r="1905" ht="15.75" customHeight="1">
      <c r="A1905" s="10" t="s">
        <v>168</v>
      </c>
      <c r="B1905" s="10" t="s">
        <v>126</v>
      </c>
      <c r="C1905" s="41">
        <f t="array" ref="C1905">IF(IFERROR(INDEX(CATALOG_POINTS,MATCH(A1905,CATALOG_TASK,0)),"")="",IF(MAX(IF(IFERROR(FIND(CATALOG_BASE,A1905),0)=1,CATALOG_POINTS,0))=0,DAILY_POST_POINTS,MAX(IF(IFERROR(FIND(CATALOG_BASE,A1905),0)=1,CATALOG_POINTS,0))),IFERROR(INDEX(CATALOG_POINTS,MATCH(A1905,CATALOG_TASK,0)),""))</f>
        <v>1</v>
      </c>
      <c r="D1905" s="10" t="s">
        <v>1237</v>
      </c>
      <c r="E1905" s="41" t="str">
        <f t="shared" si="1"/>
        <v/>
      </c>
    </row>
    <row r="1906" ht="15.75" customHeight="1">
      <c r="A1906" s="10" t="s">
        <v>1238</v>
      </c>
      <c r="B1906" s="10" t="s">
        <v>137</v>
      </c>
      <c r="C1906" s="41">
        <f t="array" ref="C1906">IF(IFERROR(INDEX(CATALOG_POINTS,MATCH(A1906,CATALOG_TASK,0)),"")="",IF(MAX(IF(IFERROR(FIND(CATALOG_BASE,A1906),0)=1,CATALOG_POINTS,0))=0,DAILY_POST_POINTS,MAX(IF(IFERROR(FIND(CATALOG_BASE,A1906),0)=1,CATALOG_POINTS,0))),IFERROR(INDEX(CATALOG_POINTS,MATCH(A1906,CATALOG_TASK,0)),""))</f>
        <v>1</v>
      </c>
      <c r="D1906" s="10" t="s">
        <v>1237</v>
      </c>
      <c r="E1906" s="41" t="str">
        <f t="shared" si="1"/>
        <v/>
      </c>
    </row>
    <row r="1907" ht="15.75" customHeight="1">
      <c r="A1907" s="10" t="s">
        <v>37</v>
      </c>
      <c r="B1907" s="10" t="s">
        <v>126</v>
      </c>
      <c r="C1907" s="41">
        <f t="array" ref="C1907">IF(IFERROR(INDEX(CATALOG_POINTS,MATCH(A1907,CATALOG_TASK,0)),"")="",IF(MAX(IF(IFERROR(FIND(CATALOG_BASE,A1907),0)=1,CATALOG_POINTS,0))=0,DAILY_POST_POINTS,MAX(IF(IFERROR(FIND(CATALOG_BASE,A1907),0)=1,CATALOG_POINTS,0))),IFERROR(INDEX(CATALOG_POINTS,MATCH(A1907,CATALOG_TASK,0)),""))</f>
        <v>2</v>
      </c>
      <c r="D1907" s="10" t="s">
        <v>1237</v>
      </c>
      <c r="E1907" s="41" t="str">
        <f t="shared" si="1"/>
        <v/>
      </c>
    </row>
    <row r="1908" ht="15.75" customHeight="1">
      <c r="A1908" s="10" t="s">
        <v>1239</v>
      </c>
      <c r="B1908" s="10" t="s">
        <v>121</v>
      </c>
      <c r="C1908" s="41">
        <f t="array" ref="C1908">IF(IFERROR(INDEX(CATALOG_POINTS,MATCH(A1908,CATALOG_TASK,0)),"")="",IF(MAX(IF(IFERROR(FIND(CATALOG_BASE,A1908),0)=1,CATALOG_POINTS,0))=0,DAILY_POST_POINTS,MAX(IF(IFERROR(FIND(CATALOG_BASE,A1908),0)=1,CATALOG_POINTS,0))),IFERROR(INDEX(CATALOG_POINTS,MATCH(A1908,CATALOG_TASK,0)),""))</f>
        <v>1</v>
      </c>
      <c r="D1908" s="10" t="s">
        <v>1239</v>
      </c>
      <c r="E1908" s="41" t="str">
        <f t="shared" si="1"/>
        <v>PROX3</v>
      </c>
    </row>
    <row r="1909" ht="15.75" customHeight="1">
      <c r="A1909" s="10" t="s">
        <v>1240</v>
      </c>
      <c r="B1909" s="10" t="s">
        <v>129</v>
      </c>
      <c r="C1909" s="41">
        <f t="array" ref="C1909">IF(IFERROR(INDEX(CATALOG_POINTS,MATCH(A1909,CATALOG_TASK,0)),"")="",IF(MAX(IF(IFERROR(FIND(CATALOG_BASE,A1909),0)=1,CATALOG_POINTS,0))=0,DAILY_POST_POINTS,MAX(IF(IFERROR(FIND(CATALOG_BASE,A1909),0)=1,CATALOG_POINTS,0))),IFERROR(INDEX(CATALOG_POINTS,MATCH(A1909,CATALOG_TASK,0)),""))</f>
        <v>1</v>
      </c>
      <c r="D1909" s="10" t="s">
        <v>1240</v>
      </c>
      <c r="E1909" s="41" t="str">
        <f t="shared" si="1"/>
        <v>PROX5</v>
      </c>
    </row>
    <row r="1910" ht="15.75" customHeight="1">
      <c r="A1910" s="10" t="s">
        <v>37</v>
      </c>
      <c r="B1910" s="10" t="s">
        <v>121</v>
      </c>
      <c r="C1910" s="41">
        <f t="array" ref="C1910">IF(IFERROR(INDEX(CATALOG_POINTS,MATCH(A1910,CATALOG_TASK,0)),"")="",IF(MAX(IF(IFERROR(FIND(CATALOG_BASE,A1910),0)=1,CATALOG_POINTS,0))=0,DAILY_POST_POINTS,MAX(IF(IFERROR(FIND(CATALOG_BASE,A1910),0)=1,CATALOG_POINTS,0))),IFERROR(INDEX(CATALOG_POINTS,MATCH(A1910,CATALOG_TASK,0)),""))</f>
        <v>2</v>
      </c>
      <c r="D1910" s="10" t="s">
        <v>1241</v>
      </c>
      <c r="E1910" s="41" t="str">
        <f t="shared" si="1"/>
        <v>PROX3</v>
      </c>
    </row>
    <row r="1911" ht="15.75" customHeight="1">
      <c r="A1911" s="10" t="s">
        <v>37</v>
      </c>
      <c r="B1911" s="10" t="s">
        <v>124</v>
      </c>
      <c r="C1911" s="41">
        <f t="array" ref="C1911">IF(IFERROR(INDEX(CATALOG_POINTS,MATCH(A1911,CATALOG_TASK,0)),"")="",IF(MAX(IF(IFERROR(FIND(CATALOG_BASE,A1911),0)=1,CATALOG_POINTS,0))=0,DAILY_POST_POINTS,MAX(IF(IFERROR(FIND(CATALOG_BASE,A1911),0)=1,CATALOG_POINTS,0))),IFERROR(INDEX(CATALOG_POINTS,MATCH(A1911,CATALOG_TASK,0)),""))</f>
        <v>2</v>
      </c>
      <c r="D1911" s="10" t="s">
        <v>1241</v>
      </c>
      <c r="E1911" s="41" t="str">
        <f t="shared" si="1"/>
        <v>PROX3</v>
      </c>
    </row>
    <row r="1912" ht="15.75" customHeight="1">
      <c r="A1912" s="10" t="s">
        <v>1241</v>
      </c>
      <c r="B1912" s="10" t="s">
        <v>137</v>
      </c>
      <c r="C1912" s="41">
        <f t="array" ref="C1912">IF(IFERROR(INDEX(CATALOG_POINTS,MATCH(A1912,CATALOG_TASK,0)),"")="",IF(MAX(IF(IFERROR(FIND(CATALOG_BASE,A1912),0)=1,CATALOG_POINTS,0))=0,DAILY_POST_POINTS,MAX(IF(IFERROR(FIND(CATALOG_BASE,A1912),0)=1,CATALOG_POINTS,0))),IFERROR(INDEX(CATALOG_POINTS,MATCH(A1912,CATALOG_TASK,0)),""))</f>
        <v>1</v>
      </c>
      <c r="D1912" s="10" t="s">
        <v>1241</v>
      </c>
      <c r="E1912" s="41" t="str">
        <f t="shared" si="1"/>
        <v>PROX3</v>
      </c>
    </row>
    <row r="1913" ht="15.75" customHeight="1">
      <c r="A1913" s="10" t="s">
        <v>1242</v>
      </c>
      <c r="B1913" s="10" t="s">
        <v>124</v>
      </c>
      <c r="C1913" s="41">
        <f t="array" ref="C1913">IF(IFERROR(INDEX(CATALOG_POINTS,MATCH(A1913,CATALOG_TASK,0)),"")="",IF(MAX(IF(IFERROR(FIND(CATALOG_BASE,A1913),0)=1,CATALOG_POINTS,0))=0,DAILY_POST_POINTS,MAX(IF(IFERROR(FIND(CATALOG_BASE,A1913),0)=1,CATALOG_POINTS,0))),IFERROR(INDEX(CATALOG_POINTS,MATCH(A1913,CATALOG_TASK,0)),""))</f>
        <v>1</v>
      </c>
      <c r="D1913" s="10" t="s">
        <v>1242</v>
      </c>
      <c r="E1913" s="41" t="str">
        <f t="shared" si="1"/>
        <v>E0</v>
      </c>
    </row>
    <row r="1914" ht="15.75" customHeight="1">
      <c r="A1914" s="10" t="s">
        <v>168</v>
      </c>
      <c r="B1914" s="10" t="s">
        <v>153</v>
      </c>
      <c r="C1914" s="41">
        <f t="array" ref="C1914">IF(IFERROR(INDEX(CATALOG_POINTS,MATCH(A1914,CATALOG_TASK,0)),"")="",IF(MAX(IF(IFERROR(FIND(CATALOG_BASE,A1914),0)=1,CATALOG_POINTS,0))=0,DAILY_POST_POINTS,MAX(IF(IFERROR(FIND(CATALOG_BASE,A1914),0)=1,CATALOG_POINTS,0))),IFERROR(INDEX(CATALOG_POINTS,MATCH(A1914,CATALOG_TASK,0)),""))</f>
        <v>1</v>
      </c>
      <c r="D1914" s="10" t="s">
        <v>1243</v>
      </c>
      <c r="E1914" s="41" t="str">
        <f t="shared" si="1"/>
        <v>PROX3</v>
      </c>
    </row>
    <row r="1915" ht="15.75" customHeight="1">
      <c r="A1915" s="10" t="s">
        <v>35</v>
      </c>
      <c r="B1915" s="10" t="s">
        <v>119</v>
      </c>
      <c r="C1915" s="41">
        <f t="array" ref="C1915">IF(IFERROR(INDEX(CATALOG_POINTS,MATCH(A1915,CATALOG_TASK,0)),"")="",IF(MAX(IF(IFERROR(FIND(CATALOG_BASE,A1915),0)=1,CATALOG_POINTS,0))=0,DAILY_POST_POINTS,MAX(IF(IFERROR(FIND(CATALOG_BASE,A1915),0)=1,CATALOG_POINTS,0))),IFERROR(INDEX(CATALOG_POINTS,MATCH(A1915,CATALOG_TASK,0)),""))</f>
        <v>2</v>
      </c>
      <c r="D1915" s="10" t="s">
        <v>1243</v>
      </c>
      <c r="E1915" s="41" t="str">
        <f t="shared" si="1"/>
        <v>PROX3</v>
      </c>
    </row>
    <row r="1916" ht="15.75" customHeight="1">
      <c r="A1916" s="10" t="s">
        <v>1243</v>
      </c>
      <c r="B1916" s="10" t="s">
        <v>120</v>
      </c>
      <c r="C1916" s="41">
        <f t="array" ref="C1916">IF(IFERROR(INDEX(CATALOG_POINTS,MATCH(A1916,CATALOG_TASK,0)),"")="",IF(MAX(IF(IFERROR(FIND(CATALOG_BASE,A1916),0)=1,CATALOG_POINTS,0))=0,DAILY_POST_POINTS,MAX(IF(IFERROR(FIND(CATALOG_BASE,A1916),0)=1,CATALOG_POINTS,0))),IFERROR(INDEX(CATALOG_POINTS,MATCH(A1916,CATALOG_TASK,0)),""))</f>
        <v>1</v>
      </c>
      <c r="D1916" s="10" t="s">
        <v>1243</v>
      </c>
      <c r="E1916" s="41" t="str">
        <f t="shared" si="1"/>
        <v>PROX3</v>
      </c>
    </row>
    <row r="1917" ht="15.75" customHeight="1">
      <c r="A1917" s="10" t="s">
        <v>37</v>
      </c>
      <c r="B1917" s="10" t="s">
        <v>117</v>
      </c>
      <c r="C1917" s="41">
        <f t="array" ref="C1917">IF(IFERROR(INDEX(CATALOG_POINTS,MATCH(A1917,CATALOG_TASK,0)),"")="",IF(MAX(IF(IFERROR(FIND(CATALOG_BASE,A1917),0)=1,CATALOG_POINTS,0))=0,DAILY_POST_POINTS,MAX(IF(IFERROR(FIND(CATALOG_BASE,A1917),0)=1,CATALOG_POINTS,0))),IFERROR(INDEX(CATALOG_POINTS,MATCH(A1917,CATALOG_TASK,0)),""))</f>
        <v>2</v>
      </c>
      <c r="D1917" s="10" t="s">
        <v>1243</v>
      </c>
      <c r="E1917" s="41" t="str">
        <f t="shared" si="1"/>
        <v>PROX3</v>
      </c>
    </row>
    <row r="1918" ht="15.75" customHeight="1">
      <c r="A1918" s="10" t="s">
        <v>1244</v>
      </c>
      <c r="B1918" s="10" t="s">
        <v>126</v>
      </c>
      <c r="C1918" s="41">
        <f t="array" ref="C1918">IF(IFERROR(INDEX(CATALOG_POINTS,MATCH(A1918,CATALOG_TASK,0)),"")="",IF(MAX(IF(IFERROR(FIND(CATALOG_BASE,A1918),0)=1,CATALOG_POINTS,0))=0,DAILY_POST_POINTS,MAX(IF(IFERROR(FIND(CATALOG_BASE,A1918),0)=1,CATALOG_POINTS,0))),IFERROR(INDEX(CATALOG_POINTS,MATCH(A1918,CATALOG_TASK,0)),""))</f>
        <v>1</v>
      </c>
      <c r="D1918" s="10" t="s">
        <v>1244</v>
      </c>
      <c r="E1918" s="41" t="str">
        <f t="shared" si="1"/>
        <v>PROX3</v>
      </c>
    </row>
    <row r="1919" ht="15.75" customHeight="1">
      <c r="A1919" s="10" t="s">
        <v>24</v>
      </c>
      <c r="B1919" s="10" t="s">
        <v>119</v>
      </c>
      <c r="C1919" s="41">
        <f t="array" ref="C1919">IF(IFERROR(INDEX(CATALOG_POINTS,MATCH(A1919,CATALOG_TASK,0)),"")="",IF(MAX(IF(IFERROR(FIND(CATALOG_BASE,A1919),0)=1,CATALOG_POINTS,0))=0,DAILY_POST_POINTS,MAX(IF(IFERROR(FIND(CATALOG_BASE,A1919),0)=1,CATALOG_POINTS,0))),IFERROR(INDEX(CATALOG_POINTS,MATCH(A1919,CATALOG_TASK,0)),""))</f>
        <v>2</v>
      </c>
      <c r="D1919" s="10" t="s">
        <v>1245</v>
      </c>
      <c r="E1919" s="41" t="str">
        <f t="shared" si="1"/>
        <v>PROX4</v>
      </c>
    </row>
    <row r="1920" ht="15.75" customHeight="1">
      <c r="A1920" s="10" t="s">
        <v>174</v>
      </c>
      <c r="B1920" s="10" t="s">
        <v>127</v>
      </c>
      <c r="C1920" s="41">
        <f t="array" ref="C1920">IF(IFERROR(INDEX(CATALOG_POINTS,MATCH(A1920,CATALOG_TASK,0)),"")="",IF(MAX(IF(IFERROR(FIND(CATALOG_BASE,A1920),0)=1,CATALOG_POINTS,0))=0,DAILY_POST_POINTS,MAX(IF(IFERROR(FIND(CATALOG_BASE,A1920),0)=1,CATALOG_POINTS,0))),IFERROR(INDEX(CATALOG_POINTS,MATCH(A1920,CATALOG_TASK,0)),""))</f>
        <v>1</v>
      </c>
      <c r="D1920" s="10" t="s">
        <v>1245</v>
      </c>
      <c r="E1920" s="41" t="str">
        <f t="shared" si="1"/>
        <v>PROX4</v>
      </c>
    </row>
    <row r="1921" ht="15.75" customHeight="1">
      <c r="A1921" s="10" t="s">
        <v>37</v>
      </c>
      <c r="B1921" s="10" t="s">
        <v>120</v>
      </c>
      <c r="C1921" s="41">
        <f t="array" ref="C1921">IF(IFERROR(INDEX(CATALOG_POINTS,MATCH(A1921,CATALOG_TASK,0)),"")="",IF(MAX(IF(IFERROR(FIND(CATALOG_BASE,A1921),0)=1,CATALOG_POINTS,0))=0,DAILY_POST_POINTS,MAX(IF(IFERROR(FIND(CATALOG_BASE,A1921),0)=1,CATALOG_POINTS,0))),IFERROR(INDEX(CATALOG_POINTS,MATCH(A1921,CATALOG_TASK,0)),""))</f>
        <v>2</v>
      </c>
      <c r="D1921" s="10" t="s">
        <v>1246</v>
      </c>
      <c r="E1921" s="41" t="str">
        <f t="shared" si="1"/>
        <v>PROX3</v>
      </c>
    </row>
    <row r="1922" ht="15.75" customHeight="1">
      <c r="A1922" s="10" t="s">
        <v>1246</v>
      </c>
      <c r="B1922" s="10" t="s">
        <v>127</v>
      </c>
      <c r="C1922" s="41">
        <f t="array" ref="C1922">IF(IFERROR(INDEX(CATALOG_POINTS,MATCH(A1922,CATALOG_TASK,0)),"")="",IF(MAX(IF(IFERROR(FIND(CATALOG_BASE,A1922),0)=1,CATALOG_POINTS,0))=0,DAILY_POST_POINTS,MAX(IF(IFERROR(FIND(CATALOG_BASE,A1922),0)=1,CATALOG_POINTS,0))),IFERROR(INDEX(CATALOG_POINTS,MATCH(A1922,CATALOG_TASK,0)),""))</f>
        <v>1</v>
      </c>
      <c r="D1922" s="10" t="s">
        <v>1246</v>
      </c>
      <c r="E1922" s="41" t="str">
        <f t="shared" si="1"/>
        <v>PROX3</v>
      </c>
    </row>
    <row r="1923" ht="15.75" customHeight="1">
      <c r="A1923" s="10" t="s">
        <v>1247</v>
      </c>
      <c r="B1923" s="10" t="s">
        <v>126</v>
      </c>
      <c r="C1923" s="41">
        <f t="array" ref="C1923">IF(IFERROR(INDEX(CATALOG_POINTS,MATCH(A1923,CATALOG_TASK,0)),"")="",IF(MAX(IF(IFERROR(FIND(CATALOG_BASE,A1923),0)=1,CATALOG_POINTS,0))=0,DAILY_POST_POINTS,MAX(IF(IFERROR(FIND(CATALOG_BASE,A1923),0)=1,CATALOG_POINTS,0))),IFERROR(INDEX(CATALOG_POINTS,MATCH(A1923,CATALOG_TASK,0)),""))</f>
        <v>1</v>
      </c>
      <c r="D1923" s="10" t="s">
        <v>1247</v>
      </c>
      <c r="E1923" s="41" t="str">
        <f t="shared" si="1"/>
        <v>PROX3</v>
      </c>
    </row>
    <row r="1924" ht="15.75" customHeight="1">
      <c r="A1924" s="10" t="s">
        <v>37</v>
      </c>
      <c r="B1924" s="10" t="s">
        <v>123</v>
      </c>
      <c r="C1924" s="41">
        <f t="array" ref="C1924">IF(IFERROR(INDEX(CATALOG_POINTS,MATCH(A1924,CATALOG_TASK,0)),"")="",IF(MAX(IF(IFERROR(FIND(CATALOG_BASE,A1924),0)=1,CATALOG_POINTS,0))=0,DAILY_POST_POINTS,MAX(IF(IFERROR(FIND(CATALOG_BASE,A1924),0)=1,CATALOG_POINTS,0))),IFERROR(INDEX(CATALOG_POINTS,MATCH(A1924,CATALOG_TASK,0)),""))</f>
        <v>2</v>
      </c>
      <c r="D1924" s="10" t="s">
        <v>1247</v>
      </c>
      <c r="E1924" s="41" t="str">
        <f t="shared" si="1"/>
        <v>PROX3</v>
      </c>
    </row>
    <row r="1925" ht="15.75" customHeight="1">
      <c r="A1925" s="10" t="s">
        <v>1248</v>
      </c>
      <c r="B1925" s="10" t="s">
        <v>126</v>
      </c>
      <c r="C1925" s="41">
        <f t="array" ref="C1925">IF(IFERROR(INDEX(CATALOG_POINTS,MATCH(A1925,CATALOG_TASK,0)),"")="",IF(MAX(IF(IFERROR(FIND(CATALOG_BASE,A1925),0)=1,CATALOG_POINTS,0))=0,DAILY_POST_POINTS,MAX(IF(IFERROR(FIND(CATALOG_BASE,A1925),0)=1,CATALOG_POINTS,0))),IFERROR(INDEX(CATALOG_POINTS,MATCH(A1925,CATALOG_TASK,0)),""))</f>
        <v>1</v>
      </c>
      <c r="D1925" s="10" t="s">
        <v>1248</v>
      </c>
      <c r="E1925" s="41" t="str">
        <f t="shared" si="1"/>
        <v>PROX3</v>
      </c>
    </row>
    <row r="1926" ht="15.75" customHeight="1">
      <c r="A1926" s="10" t="s">
        <v>1249</v>
      </c>
      <c r="B1926" s="10" t="s">
        <v>117</v>
      </c>
      <c r="C1926" s="41">
        <f t="array" ref="C1926">IF(IFERROR(INDEX(CATALOG_POINTS,MATCH(A1926,CATALOG_TASK,0)),"")="",IF(MAX(IF(IFERROR(FIND(CATALOG_BASE,A1926),0)=1,CATALOG_POINTS,0))=0,DAILY_POST_POINTS,MAX(IF(IFERROR(FIND(CATALOG_BASE,A1926),0)=1,CATALOG_POINTS,0))),IFERROR(INDEX(CATALOG_POINTS,MATCH(A1926,CATALOG_TASK,0)),""))</f>
        <v>1</v>
      </c>
      <c r="D1926" s="10" t="s">
        <v>1249</v>
      </c>
      <c r="E1926" s="41" t="str">
        <f t="shared" si="1"/>
        <v>PROX3</v>
      </c>
    </row>
    <row r="1927" ht="15.75" customHeight="1">
      <c r="A1927" s="10" t="s">
        <v>34</v>
      </c>
      <c r="B1927" s="10" t="s">
        <v>121</v>
      </c>
      <c r="C1927" s="41">
        <f t="array" ref="C1927">IF(IFERROR(INDEX(CATALOG_POINTS,MATCH(A1927,CATALOG_TASK,0)),"")="",IF(MAX(IF(IFERROR(FIND(CATALOG_BASE,A1927),0)=1,CATALOG_POINTS,0))=0,DAILY_POST_POINTS,MAX(IF(IFERROR(FIND(CATALOG_BASE,A1927),0)=1,CATALOG_POINTS,0))),IFERROR(INDEX(CATALOG_POINTS,MATCH(A1927,CATALOG_TASK,0)),""))</f>
        <v>2</v>
      </c>
      <c r="D1927" s="10" t="s">
        <v>1250</v>
      </c>
      <c r="E1927" s="41" t="str">
        <f t="shared" si="1"/>
        <v/>
      </c>
    </row>
    <row r="1928" ht="15.75" customHeight="1">
      <c r="A1928" s="10" t="s">
        <v>24</v>
      </c>
      <c r="B1928" s="10" t="s">
        <v>121</v>
      </c>
      <c r="C1928" s="41">
        <f t="array" ref="C1928">IF(IFERROR(INDEX(CATALOG_POINTS,MATCH(A1928,CATALOG_TASK,0)),"")="",IF(MAX(IF(IFERROR(FIND(CATALOG_BASE,A1928),0)=1,CATALOG_POINTS,0))=0,DAILY_POST_POINTS,MAX(IF(IFERROR(FIND(CATALOG_BASE,A1928),0)=1,CATALOG_POINTS,0))),IFERROR(INDEX(CATALOG_POINTS,MATCH(A1928,CATALOG_TASK,0)),""))</f>
        <v>2</v>
      </c>
      <c r="D1928" s="10" t="s">
        <v>1250</v>
      </c>
      <c r="E1928" s="41" t="str">
        <f t="shared" si="1"/>
        <v/>
      </c>
    </row>
    <row r="1929" ht="15.75" customHeight="1">
      <c r="A1929" s="10" t="s">
        <v>24</v>
      </c>
      <c r="B1929" s="10" t="s">
        <v>120</v>
      </c>
      <c r="C1929" s="41">
        <f t="array" ref="C1929">IF(IFERROR(INDEX(CATALOG_POINTS,MATCH(A1929,CATALOG_TASK,0)),"")="",IF(MAX(IF(IFERROR(FIND(CATALOG_BASE,A1929),0)=1,CATALOG_POINTS,0))=0,DAILY_POST_POINTS,MAX(IF(IFERROR(FIND(CATALOG_BASE,A1929),0)=1,CATALOG_POINTS,0))),IFERROR(INDEX(CATALOG_POINTS,MATCH(A1929,CATALOG_TASK,0)),""))</f>
        <v>2</v>
      </c>
      <c r="D1929" s="10" t="s">
        <v>1250</v>
      </c>
      <c r="E1929" s="41" t="str">
        <f t="shared" si="1"/>
        <v/>
      </c>
    </row>
    <row r="1930" ht="15.75" customHeight="1">
      <c r="A1930" s="10" t="s">
        <v>1251</v>
      </c>
      <c r="B1930" s="10" t="s">
        <v>131</v>
      </c>
      <c r="C1930" s="41">
        <f t="array" ref="C1930">IF(IFERROR(INDEX(CATALOG_POINTS,MATCH(A1930,CATALOG_TASK,0)),"")="",IF(MAX(IF(IFERROR(FIND(CATALOG_BASE,A1930),0)=1,CATALOG_POINTS,0))=0,DAILY_POST_POINTS,MAX(IF(IFERROR(FIND(CATALOG_BASE,A1930),0)=1,CATALOG_POINTS,0))),IFERROR(INDEX(CATALOG_POINTS,MATCH(A1930,CATALOG_TASK,0)),""))</f>
        <v>1</v>
      </c>
      <c r="D1930" s="10" t="s">
        <v>1251</v>
      </c>
      <c r="E1930" s="41" t="str">
        <f t="shared" si="1"/>
        <v>PROX3</v>
      </c>
    </row>
    <row r="1931" ht="15.75" customHeight="1">
      <c r="A1931" s="10" t="s">
        <v>1252</v>
      </c>
      <c r="B1931" s="10" t="s">
        <v>124</v>
      </c>
      <c r="C1931" s="41">
        <f t="array" ref="C1931">IF(IFERROR(INDEX(CATALOG_POINTS,MATCH(A1931,CATALOG_TASK,0)),"")="",IF(MAX(IF(IFERROR(FIND(CATALOG_BASE,A1931),0)=1,CATALOG_POINTS,0))=0,DAILY_POST_POINTS,MAX(IF(IFERROR(FIND(CATALOG_BASE,A1931),0)=1,CATALOG_POINTS,0))),IFERROR(INDEX(CATALOG_POINTS,MATCH(A1931,CATALOG_TASK,0)),""))</f>
        <v>1</v>
      </c>
      <c r="D1931" s="10" t="s">
        <v>1252</v>
      </c>
      <c r="E1931" s="41" t="str">
        <f t="shared" si="1"/>
        <v>SE1</v>
      </c>
    </row>
    <row r="1932" ht="15.75" customHeight="1">
      <c r="A1932" s="10" t="s">
        <v>1253</v>
      </c>
      <c r="B1932" s="10" t="s">
        <v>126</v>
      </c>
      <c r="C1932" s="41">
        <f t="array" ref="C1932">IF(IFERROR(INDEX(CATALOG_POINTS,MATCH(A1932,CATALOG_TASK,0)),"")="",IF(MAX(IF(IFERROR(FIND(CATALOG_BASE,A1932),0)=1,CATALOG_POINTS,0))=0,DAILY_POST_POINTS,MAX(IF(IFERROR(FIND(CATALOG_BASE,A1932),0)=1,CATALOG_POINTS,0))),IFERROR(INDEX(CATALOG_POINTS,MATCH(A1932,CATALOG_TASK,0)),""))</f>
        <v>1</v>
      </c>
      <c r="D1932" s="10" t="s">
        <v>1253</v>
      </c>
      <c r="E1932" s="41" t="str">
        <f t="shared" si="1"/>
        <v>SE1</v>
      </c>
    </row>
    <row r="1933" ht="15.75" customHeight="1">
      <c r="A1933" s="10" t="s">
        <v>1254</v>
      </c>
      <c r="B1933" s="10" t="s">
        <v>127</v>
      </c>
      <c r="C1933" s="41">
        <f t="array" ref="C1933">IF(IFERROR(INDEX(CATALOG_POINTS,MATCH(A1933,CATALOG_TASK,0)),"")="",IF(MAX(IF(IFERROR(FIND(CATALOG_BASE,A1933),0)=1,CATALOG_POINTS,0))=0,DAILY_POST_POINTS,MAX(IF(IFERROR(FIND(CATALOG_BASE,A1933),0)=1,CATALOG_POINTS,0))),IFERROR(INDEX(CATALOG_POINTS,MATCH(A1933,CATALOG_TASK,0)),""))</f>
        <v>1</v>
      </c>
      <c r="D1933" s="10" t="s">
        <v>1254</v>
      </c>
      <c r="E1933" s="41" t="str">
        <f t="shared" si="1"/>
        <v>PROX3</v>
      </c>
    </row>
    <row r="1934" ht="15.75" customHeight="1">
      <c r="A1934" s="10" t="s">
        <v>1255</v>
      </c>
      <c r="B1934" s="10" t="s">
        <v>122</v>
      </c>
      <c r="C1934" s="41">
        <f t="array" ref="C1934">IF(IFERROR(INDEX(CATALOG_POINTS,MATCH(A1934,CATALOG_TASK,0)),"")="",IF(MAX(IF(IFERROR(FIND(CATALOG_BASE,A1934),0)=1,CATALOG_POINTS,0))=0,DAILY_POST_POINTS,MAX(IF(IFERROR(FIND(CATALOG_BASE,A1934),0)=1,CATALOG_POINTS,0))),IFERROR(INDEX(CATALOG_POINTS,MATCH(A1934,CATALOG_TASK,0)),""))</f>
        <v>1</v>
      </c>
      <c r="D1934" s="10" t="s">
        <v>1255</v>
      </c>
      <c r="E1934" s="41" t="str">
        <f t="shared" si="1"/>
        <v>SEM</v>
      </c>
    </row>
    <row r="1935" ht="15.75" customHeight="1">
      <c r="A1935" s="10" t="s">
        <v>37</v>
      </c>
      <c r="B1935" s="10" t="s">
        <v>122</v>
      </c>
      <c r="C1935" s="41">
        <f t="array" ref="C1935">IF(IFERROR(INDEX(CATALOG_POINTS,MATCH(A1935,CATALOG_TASK,0)),"")="",IF(MAX(IF(IFERROR(FIND(CATALOG_BASE,A1935),0)=1,CATALOG_POINTS,0))=0,DAILY_POST_POINTS,MAX(IF(IFERROR(FIND(CATALOG_BASE,A1935),0)=1,CATALOG_POINTS,0))),IFERROR(INDEX(CATALOG_POINTS,MATCH(A1935,CATALOG_TASK,0)),""))</f>
        <v>2</v>
      </c>
      <c r="D1935" s="10" t="s">
        <v>1255</v>
      </c>
      <c r="E1935" s="41" t="str">
        <f t="shared" si="1"/>
        <v>SEM</v>
      </c>
    </row>
    <row r="1936" ht="15.75" customHeight="1">
      <c r="A1936" s="10" t="s">
        <v>37</v>
      </c>
      <c r="B1936" s="10" t="s">
        <v>128</v>
      </c>
      <c r="C1936" s="41">
        <f t="array" ref="C1936">IF(IFERROR(INDEX(CATALOG_POINTS,MATCH(A1936,CATALOG_TASK,0)),"")="",IF(MAX(IF(IFERROR(FIND(CATALOG_BASE,A1936),0)=1,CATALOG_POINTS,0))=0,DAILY_POST_POINTS,MAX(IF(IFERROR(FIND(CATALOG_BASE,A1936),0)=1,CATALOG_POINTS,0))),IFERROR(INDEX(CATALOG_POINTS,MATCH(A1936,CATALOG_TASK,0)),""))</f>
        <v>2</v>
      </c>
      <c r="D1936" s="10" t="s">
        <v>1255</v>
      </c>
      <c r="E1936" s="41" t="str">
        <f t="shared" si="1"/>
        <v>SEM</v>
      </c>
    </row>
    <row r="1937" ht="15.75" customHeight="1">
      <c r="A1937" s="10" t="s">
        <v>1256</v>
      </c>
      <c r="B1937" s="10" t="s">
        <v>135</v>
      </c>
      <c r="C1937" s="41">
        <f t="array" ref="C1937">IF(IFERROR(INDEX(CATALOG_POINTS,MATCH(A1937,CATALOG_TASK,0)),"")="",IF(MAX(IF(IFERROR(FIND(CATALOG_BASE,A1937),0)=1,CATALOG_POINTS,0))=0,DAILY_POST_POINTS,MAX(IF(IFERROR(FIND(CATALOG_BASE,A1937),0)=1,CATALOG_POINTS,0))),IFERROR(INDEX(CATALOG_POINTS,MATCH(A1937,CATALOG_TASK,0)),""))</f>
        <v>1</v>
      </c>
      <c r="D1937" s="10" t="s">
        <v>1256</v>
      </c>
      <c r="E1937" s="41" t="str">
        <f t="shared" si="1"/>
        <v>PROX3</v>
      </c>
    </row>
    <row r="1938" ht="15.75" customHeight="1">
      <c r="A1938" s="10" t="s">
        <v>1257</v>
      </c>
      <c r="B1938" s="10" t="s">
        <v>126</v>
      </c>
      <c r="C1938" s="41">
        <f t="array" ref="C1938">IF(IFERROR(INDEX(CATALOG_POINTS,MATCH(A1938,CATALOG_TASK,0)),"")="",IF(MAX(IF(IFERROR(FIND(CATALOG_BASE,A1938),0)=1,CATALOG_POINTS,0))=0,DAILY_POST_POINTS,MAX(IF(IFERROR(FIND(CATALOG_BASE,A1938),0)=1,CATALOG_POINTS,0))),IFERROR(INDEX(CATALOG_POINTS,MATCH(A1938,CATALOG_TASK,0)),""))</f>
        <v>1</v>
      </c>
      <c r="D1938" s="10" t="s">
        <v>1257</v>
      </c>
      <c r="E1938" s="41" t="str">
        <f t="shared" si="1"/>
        <v>PROX3</v>
      </c>
    </row>
    <row r="1939" ht="15.75" customHeight="1">
      <c r="A1939" s="10" t="s">
        <v>1258</v>
      </c>
      <c r="B1939" s="10" t="s">
        <v>137</v>
      </c>
      <c r="C1939" s="41">
        <f t="array" ref="C1939">IF(IFERROR(INDEX(CATALOG_POINTS,MATCH(A1939,CATALOG_TASK,0)),"")="",IF(MAX(IF(IFERROR(FIND(CATALOG_BASE,A1939),0)=1,CATALOG_POINTS,0))=0,DAILY_POST_POINTS,MAX(IF(IFERROR(FIND(CATALOG_BASE,A1939),0)=1,CATALOG_POINTS,0))),IFERROR(INDEX(CATALOG_POINTS,MATCH(A1939,CATALOG_TASK,0)),""))</f>
        <v>1</v>
      </c>
      <c r="D1939" s="10" t="s">
        <v>1258</v>
      </c>
      <c r="E1939" s="41" t="str">
        <f t="shared" si="1"/>
        <v>SE1</v>
      </c>
    </row>
    <row r="1940" ht="15.75" customHeight="1">
      <c r="A1940" s="10" t="s">
        <v>1259</v>
      </c>
      <c r="B1940" s="10" t="s">
        <v>119</v>
      </c>
      <c r="C1940" s="41">
        <f t="array" ref="C1940">IF(IFERROR(INDEX(CATALOG_POINTS,MATCH(A1940,CATALOG_TASK,0)),"")="",IF(MAX(IF(IFERROR(FIND(CATALOG_BASE,A1940),0)=1,CATALOG_POINTS,0))=0,DAILY_POST_POINTS,MAX(IF(IFERROR(FIND(CATALOG_BASE,A1940),0)=1,CATALOG_POINTS,0))),IFERROR(INDEX(CATALOG_POINTS,MATCH(A1940,CATALOG_TASK,0)),""))</f>
        <v>1</v>
      </c>
      <c r="D1940" s="10" t="s">
        <v>1259</v>
      </c>
      <c r="E1940" s="41" t="str">
        <f t="shared" si="1"/>
        <v>PROX3</v>
      </c>
    </row>
    <row r="1941" ht="15.75" customHeight="1">
      <c r="A1941" s="10" t="s">
        <v>170</v>
      </c>
      <c r="B1941" s="10" t="s">
        <v>124</v>
      </c>
      <c r="C1941" s="41">
        <f t="array" ref="C1941">IF(IFERROR(INDEX(CATALOG_POINTS,MATCH(A1941,CATALOG_TASK,0)),"")="",IF(MAX(IF(IFERROR(FIND(CATALOG_BASE,A1941),0)=1,CATALOG_POINTS,0))=0,DAILY_POST_POINTS,MAX(IF(IFERROR(FIND(CATALOG_BASE,A1941),0)=1,CATALOG_POINTS,0))),IFERROR(INDEX(CATALOG_POINTS,MATCH(A1941,CATALOG_TASK,0)),""))</f>
        <v>1</v>
      </c>
      <c r="D1941" s="10" t="s">
        <v>1259</v>
      </c>
      <c r="E1941" s="41" t="str">
        <f t="shared" si="1"/>
        <v>PROX3</v>
      </c>
    </row>
    <row r="1942" ht="15.75" customHeight="1">
      <c r="A1942" s="10" t="s">
        <v>1260</v>
      </c>
      <c r="B1942" s="10" t="s">
        <v>132</v>
      </c>
      <c r="C1942" s="41">
        <f t="array" ref="C1942">IF(IFERROR(INDEX(CATALOG_POINTS,MATCH(A1942,CATALOG_TASK,0)),"")="",IF(MAX(IF(IFERROR(FIND(CATALOG_BASE,A1942),0)=1,CATALOG_POINTS,0))=0,DAILY_POST_POINTS,MAX(IF(IFERROR(FIND(CATALOG_BASE,A1942),0)=1,CATALOG_POINTS,0))),IFERROR(INDEX(CATALOG_POINTS,MATCH(A1942,CATALOG_TASK,0)),""))</f>
        <v>1</v>
      </c>
      <c r="D1942" s="10" t="s">
        <v>1260</v>
      </c>
      <c r="E1942" s="41" t="str">
        <f t="shared" si="1"/>
        <v>SEM</v>
      </c>
    </row>
    <row r="1943" ht="15.75" customHeight="1">
      <c r="A1943" s="10" t="s">
        <v>1261</v>
      </c>
      <c r="B1943" s="10" t="s">
        <v>134</v>
      </c>
      <c r="C1943" s="41">
        <f t="array" ref="C1943">IF(IFERROR(INDEX(CATALOG_POINTS,MATCH(A1943,CATALOG_TASK,0)),"")="",IF(MAX(IF(IFERROR(FIND(CATALOG_BASE,A1943),0)=1,CATALOG_POINTS,0))=0,DAILY_POST_POINTS,MAX(IF(IFERROR(FIND(CATALOG_BASE,A1943),0)=1,CATALOG_POINTS,0))),IFERROR(INDEX(CATALOG_POINTS,MATCH(A1943,CATALOG_TASK,0)),""))</f>
        <v>1</v>
      </c>
      <c r="D1943" s="10" t="s">
        <v>1261</v>
      </c>
      <c r="E1943" s="41" t="str">
        <f t="shared" si="1"/>
        <v>PROX3</v>
      </c>
    </row>
    <row r="1944" ht="15.75" customHeight="1">
      <c r="A1944" s="10" t="s">
        <v>1262</v>
      </c>
      <c r="B1944" s="10" t="s">
        <v>135</v>
      </c>
      <c r="C1944" s="41">
        <f t="array" ref="C1944">IF(IFERROR(INDEX(CATALOG_POINTS,MATCH(A1944,CATALOG_TASK,0)),"")="",IF(MAX(IF(IFERROR(FIND(CATALOG_BASE,A1944),0)=1,CATALOG_POINTS,0))=0,DAILY_POST_POINTS,MAX(IF(IFERROR(FIND(CATALOG_BASE,A1944),0)=1,CATALOG_POINTS,0))),IFERROR(INDEX(CATALOG_POINTS,MATCH(A1944,CATALOG_TASK,0)),""))</f>
        <v>1</v>
      </c>
      <c r="D1944" s="10" t="s">
        <v>1262</v>
      </c>
      <c r="E1944" s="41" t="str">
        <f t="shared" si="1"/>
        <v>PROX3</v>
      </c>
    </row>
    <row r="1945" ht="15.75" customHeight="1">
      <c r="A1945" s="10" t="s">
        <v>37</v>
      </c>
      <c r="B1945" s="10" t="s">
        <v>117</v>
      </c>
      <c r="C1945" s="41">
        <f t="array" ref="C1945">IF(IFERROR(INDEX(CATALOG_POINTS,MATCH(A1945,CATALOG_TASK,0)),"")="",IF(MAX(IF(IFERROR(FIND(CATALOG_BASE,A1945),0)=1,CATALOG_POINTS,0))=0,DAILY_POST_POINTS,MAX(IF(IFERROR(FIND(CATALOG_BASE,A1945),0)=1,CATALOG_POINTS,0))),IFERROR(INDEX(CATALOG_POINTS,MATCH(A1945,CATALOG_TASK,0)),""))</f>
        <v>2</v>
      </c>
      <c r="D1945" s="10" t="s">
        <v>1262</v>
      </c>
      <c r="E1945" s="41" t="str">
        <f t="shared" si="1"/>
        <v>PROX3</v>
      </c>
    </row>
    <row r="1946" ht="15.75" customHeight="1">
      <c r="A1946" s="10" t="s">
        <v>259</v>
      </c>
      <c r="B1946" s="10" t="s">
        <v>119</v>
      </c>
      <c r="C1946" s="41">
        <f t="array" ref="C1946">IF(IFERROR(INDEX(CATALOG_POINTS,MATCH(A1946,CATALOG_TASK,0)),"")="",IF(MAX(IF(IFERROR(FIND(CATALOG_BASE,A1946),0)=1,CATALOG_POINTS,0))=0,DAILY_POST_POINTS,MAX(IF(IFERROR(FIND(CATALOG_BASE,A1946),0)=1,CATALOG_POINTS,0))),IFERROR(INDEX(CATALOG_POINTS,MATCH(A1946,CATALOG_TASK,0)),""))</f>
        <v>1</v>
      </c>
      <c r="D1946" s="10" t="s">
        <v>1263</v>
      </c>
      <c r="E1946" s="41" t="str">
        <f t="shared" si="1"/>
        <v>PROX4</v>
      </c>
    </row>
    <row r="1947" ht="15.75" customHeight="1">
      <c r="A1947" s="10" t="s">
        <v>37</v>
      </c>
      <c r="B1947" s="10" t="s">
        <v>128</v>
      </c>
      <c r="C1947" s="41">
        <f t="array" ref="C1947">IF(IFERROR(INDEX(CATALOG_POINTS,MATCH(A1947,CATALOG_TASK,0)),"")="",IF(MAX(IF(IFERROR(FIND(CATALOG_BASE,A1947),0)=1,CATALOG_POINTS,0))=0,DAILY_POST_POINTS,MAX(IF(IFERROR(FIND(CATALOG_BASE,A1947),0)=1,CATALOG_POINTS,0))),IFERROR(INDEX(CATALOG_POINTS,MATCH(A1947,CATALOG_TASK,0)),""))</f>
        <v>2</v>
      </c>
      <c r="D1947" s="10" t="s">
        <v>1263</v>
      </c>
      <c r="E1947" s="41" t="str">
        <f t="shared" si="1"/>
        <v>PROX4</v>
      </c>
    </row>
    <row r="1948" ht="15.75" customHeight="1">
      <c r="A1948" s="10" t="s">
        <v>1263</v>
      </c>
      <c r="B1948" s="10" t="s">
        <v>125</v>
      </c>
      <c r="C1948" s="41">
        <f t="array" ref="C1948">IF(IFERROR(INDEX(CATALOG_POINTS,MATCH(A1948,CATALOG_TASK,0)),"")="",IF(MAX(IF(IFERROR(FIND(CATALOG_BASE,A1948),0)=1,CATALOG_POINTS,0))=0,DAILY_POST_POINTS,MAX(IF(IFERROR(FIND(CATALOG_BASE,A1948),0)=1,CATALOG_POINTS,0))),IFERROR(INDEX(CATALOG_POINTS,MATCH(A1948,CATALOG_TASK,0)),""))</f>
        <v>1</v>
      </c>
      <c r="D1948" s="10" t="s">
        <v>1263</v>
      </c>
      <c r="E1948" s="41" t="str">
        <f t="shared" si="1"/>
        <v>PROX4</v>
      </c>
    </row>
    <row r="1949" ht="15.75" customHeight="1">
      <c r="A1949" s="10" t="s">
        <v>37</v>
      </c>
      <c r="B1949" s="10" t="s">
        <v>127</v>
      </c>
      <c r="C1949" s="41">
        <f t="array" ref="C1949">IF(IFERROR(INDEX(CATALOG_POINTS,MATCH(A1949,CATALOG_TASK,0)),"")="",IF(MAX(IF(IFERROR(FIND(CATALOG_BASE,A1949),0)=1,CATALOG_POINTS,0))=0,DAILY_POST_POINTS,MAX(IF(IFERROR(FIND(CATALOG_BASE,A1949),0)=1,CATALOG_POINTS,0))),IFERROR(INDEX(CATALOG_POINTS,MATCH(A1949,CATALOG_TASK,0)),""))</f>
        <v>2</v>
      </c>
      <c r="D1949" s="10" t="s">
        <v>1263</v>
      </c>
      <c r="E1949" s="41" t="str">
        <f t="shared" si="1"/>
        <v>PROX4</v>
      </c>
    </row>
    <row r="1950" ht="15.75" customHeight="1">
      <c r="A1950" s="10" t="s">
        <v>174</v>
      </c>
      <c r="B1950" s="10" t="s">
        <v>128</v>
      </c>
      <c r="C1950" s="41">
        <f t="array" ref="C1950">IF(IFERROR(INDEX(CATALOG_POINTS,MATCH(A1950,CATALOG_TASK,0)),"")="",IF(MAX(IF(IFERROR(FIND(CATALOG_BASE,A1950),0)=1,CATALOG_POINTS,0))=0,DAILY_POST_POINTS,MAX(IF(IFERROR(FIND(CATALOG_BASE,A1950),0)=1,CATALOG_POINTS,0))),IFERROR(INDEX(CATALOG_POINTS,MATCH(A1950,CATALOG_TASK,0)),""))</f>
        <v>1</v>
      </c>
      <c r="D1950" s="10" t="s">
        <v>1264</v>
      </c>
      <c r="E1950" s="41" t="str">
        <f t="shared" si="1"/>
        <v>PROX3</v>
      </c>
    </row>
    <row r="1951" ht="15.75" customHeight="1">
      <c r="A1951" s="10" t="s">
        <v>180</v>
      </c>
      <c r="B1951" s="10" t="s">
        <v>138</v>
      </c>
      <c r="C1951" s="41">
        <f t="array" ref="C1951">IF(IFERROR(INDEX(CATALOG_POINTS,MATCH(A1951,CATALOG_TASK,0)),"")="",IF(MAX(IF(IFERROR(FIND(CATALOG_BASE,A1951),0)=1,CATALOG_POINTS,0))=0,DAILY_POST_POINTS,MAX(IF(IFERROR(FIND(CATALOG_BASE,A1951),0)=1,CATALOG_POINTS,0))),IFERROR(INDEX(CATALOG_POINTS,MATCH(A1951,CATALOG_TASK,0)),""))</f>
        <v>1</v>
      </c>
      <c r="D1951" s="10" t="s">
        <v>1264</v>
      </c>
      <c r="E1951" s="41" t="str">
        <f t="shared" si="1"/>
        <v>PROX3</v>
      </c>
    </row>
    <row r="1952" ht="15.75" customHeight="1">
      <c r="A1952" s="10" t="s">
        <v>178</v>
      </c>
      <c r="B1952" s="10" t="s">
        <v>121</v>
      </c>
      <c r="C1952" s="41">
        <f t="array" ref="C1952">IF(IFERROR(INDEX(CATALOG_POINTS,MATCH(A1952,CATALOG_TASK,0)),"")="",IF(MAX(IF(IFERROR(FIND(CATALOG_BASE,A1952),0)=1,CATALOG_POINTS,0))=0,DAILY_POST_POINTS,MAX(IF(IFERROR(FIND(CATALOG_BASE,A1952),0)=1,CATALOG_POINTS,0))),IFERROR(INDEX(CATALOG_POINTS,MATCH(A1952,CATALOG_TASK,0)),""))</f>
        <v>1</v>
      </c>
      <c r="D1952" s="10" t="s">
        <v>1264</v>
      </c>
      <c r="E1952" s="41" t="str">
        <f t="shared" si="1"/>
        <v>PROX3</v>
      </c>
    </row>
    <row r="1953" ht="15.75" customHeight="1">
      <c r="A1953" s="10" t="s">
        <v>37</v>
      </c>
      <c r="B1953" s="10" t="s">
        <v>119</v>
      </c>
      <c r="C1953" s="41">
        <f t="array" ref="C1953">IF(IFERROR(INDEX(CATALOG_POINTS,MATCH(A1953,CATALOG_TASK,0)),"")="",IF(MAX(IF(IFERROR(FIND(CATALOG_BASE,A1953),0)=1,CATALOG_POINTS,0))=0,DAILY_POST_POINTS,MAX(IF(IFERROR(FIND(CATALOG_BASE,A1953),0)=1,CATALOG_POINTS,0))),IFERROR(INDEX(CATALOG_POINTS,MATCH(A1953,CATALOG_TASK,0)),""))</f>
        <v>2</v>
      </c>
      <c r="D1953" s="10" t="s">
        <v>1264</v>
      </c>
      <c r="E1953" s="41" t="str">
        <f t="shared" si="1"/>
        <v>PROX3</v>
      </c>
    </row>
    <row r="1954" ht="15.75" customHeight="1">
      <c r="A1954" s="10" t="s">
        <v>37</v>
      </c>
      <c r="B1954" s="10" t="s">
        <v>119</v>
      </c>
      <c r="C1954" s="41">
        <f t="array" ref="C1954">IF(IFERROR(INDEX(CATALOG_POINTS,MATCH(A1954,CATALOG_TASK,0)),"")="",IF(MAX(IF(IFERROR(FIND(CATALOG_BASE,A1954),0)=1,CATALOG_POINTS,0))=0,DAILY_POST_POINTS,MAX(IF(IFERROR(FIND(CATALOG_BASE,A1954),0)=1,CATALOG_POINTS,0))),IFERROR(INDEX(CATALOG_POINTS,MATCH(A1954,CATALOG_TASK,0)),""))</f>
        <v>2</v>
      </c>
      <c r="D1954" s="10" t="s">
        <v>1265</v>
      </c>
      <c r="E1954" s="41" t="str">
        <f t="shared" si="1"/>
        <v>PROX3</v>
      </c>
    </row>
    <row r="1955" ht="15.75" customHeight="1">
      <c r="A1955" s="10" t="s">
        <v>1265</v>
      </c>
      <c r="B1955" s="10" t="s">
        <v>136</v>
      </c>
      <c r="C1955" s="41">
        <f t="array" ref="C1955">IF(IFERROR(INDEX(CATALOG_POINTS,MATCH(A1955,CATALOG_TASK,0)),"")="",IF(MAX(IF(IFERROR(FIND(CATALOG_BASE,A1955),0)=1,CATALOG_POINTS,0))=0,DAILY_POST_POINTS,MAX(IF(IFERROR(FIND(CATALOG_BASE,A1955),0)=1,CATALOG_POINTS,0))),IFERROR(INDEX(CATALOG_POINTS,MATCH(A1955,CATALOG_TASK,0)),""))</f>
        <v>1</v>
      </c>
      <c r="D1955" s="10" t="s">
        <v>1265</v>
      </c>
      <c r="E1955" s="41" t="str">
        <f t="shared" si="1"/>
        <v>PROX3</v>
      </c>
    </row>
    <row r="1956" ht="15.75" customHeight="1">
      <c r="A1956" s="10" t="s">
        <v>37</v>
      </c>
      <c r="B1956" s="10" t="s">
        <v>126</v>
      </c>
      <c r="C1956" s="41">
        <f t="array" ref="C1956">IF(IFERROR(INDEX(CATALOG_POINTS,MATCH(A1956,CATALOG_TASK,0)),"")="",IF(MAX(IF(IFERROR(FIND(CATALOG_BASE,A1956),0)=1,CATALOG_POINTS,0))=0,DAILY_POST_POINTS,MAX(IF(IFERROR(FIND(CATALOG_BASE,A1956),0)=1,CATALOG_POINTS,0))),IFERROR(INDEX(CATALOG_POINTS,MATCH(A1956,CATALOG_TASK,0)),""))</f>
        <v>2</v>
      </c>
      <c r="D1956" s="10" t="s">
        <v>1265</v>
      </c>
      <c r="E1956" s="41" t="str">
        <f t="shared" si="1"/>
        <v>PROX3</v>
      </c>
    </row>
    <row r="1957" ht="15.75" customHeight="1">
      <c r="A1957" s="10" t="s">
        <v>37</v>
      </c>
      <c r="B1957" s="10" t="s">
        <v>125</v>
      </c>
      <c r="C1957" s="41">
        <f t="array" ref="C1957">IF(IFERROR(INDEX(CATALOG_POINTS,MATCH(A1957,CATALOG_TASK,0)),"")="",IF(MAX(IF(IFERROR(FIND(CATALOG_BASE,A1957),0)=1,CATALOG_POINTS,0))=0,DAILY_POST_POINTS,MAX(IF(IFERROR(FIND(CATALOG_BASE,A1957),0)=1,CATALOG_POINTS,0))),IFERROR(INDEX(CATALOG_POINTS,MATCH(A1957,CATALOG_TASK,0)),""))</f>
        <v>2</v>
      </c>
      <c r="D1957" s="10" t="s">
        <v>1265</v>
      </c>
      <c r="E1957" s="41" t="str">
        <f t="shared" si="1"/>
        <v>PROX3</v>
      </c>
    </row>
    <row r="1958" ht="15.75" customHeight="1">
      <c r="A1958" s="10" t="s">
        <v>37</v>
      </c>
      <c r="B1958" s="10" t="s">
        <v>128</v>
      </c>
      <c r="C1958" s="41">
        <f t="array" ref="C1958">IF(IFERROR(INDEX(CATALOG_POINTS,MATCH(A1958,CATALOG_TASK,0)),"")="",IF(MAX(IF(IFERROR(FIND(CATALOG_BASE,A1958),0)=1,CATALOG_POINTS,0))=0,DAILY_POST_POINTS,MAX(IF(IFERROR(FIND(CATALOG_BASE,A1958),0)=1,CATALOG_POINTS,0))),IFERROR(INDEX(CATALOG_POINTS,MATCH(A1958,CATALOG_TASK,0)),""))</f>
        <v>2</v>
      </c>
      <c r="D1958" s="10" t="s">
        <v>1265</v>
      </c>
      <c r="E1958" s="41" t="str">
        <f t="shared" si="1"/>
        <v>PROX3</v>
      </c>
    </row>
    <row r="1959" ht="15.75" customHeight="1">
      <c r="A1959" s="10" t="s">
        <v>37</v>
      </c>
      <c r="B1959" s="10" t="s">
        <v>126</v>
      </c>
      <c r="C1959" s="41">
        <f t="array" ref="C1959">IF(IFERROR(INDEX(CATALOG_POINTS,MATCH(A1959,CATALOG_TASK,0)),"")="",IF(MAX(IF(IFERROR(FIND(CATALOG_BASE,A1959),0)=1,CATALOG_POINTS,0))=0,DAILY_POST_POINTS,MAX(IF(IFERROR(FIND(CATALOG_BASE,A1959),0)=1,CATALOG_POINTS,0))),IFERROR(INDEX(CATALOG_POINTS,MATCH(A1959,CATALOG_TASK,0)),""))</f>
        <v>2</v>
      </c>
      <c r="D1959" s="10" t="s">
        <v>1265</v>
      </c>
      <c r="E1959" s="41" t="str">
        <f t="shared" si="1"/>
        <v>PROX3</v>
      </c>
    </row>
    <row r="1960" ht="15.75" customHeight="1">
      <c r="A1960" s="10" t="s">
        <v>1266</v>
      </c>
      <c r="B1960" s="10" t="s">
        <v>127</v>
      </c>
      <c r="C1960" s="41">
        <f t="array" ref="C1960">IF(IFERROR(INDEX(CATALOG_POINTS,MATCH(A1960,CATALOG_TASK,0)),"")="",IF(MAX(IF(IFERROR(FIND(CATALOG_BASE,A1960),0)=1,CATALOG_POINTS,0))=0,DAILY_POST_POINTS,MAX(IF(IFERROR(FIND(CATALOG_BASE,A1960),0)=1,CATALOG_POINTS,0))),IFERROR(INDEX(CATALOG_POINTS,MATCH(A1960,CATALOG_TASK,0)),""))</f>
        <v>1</v>
      </c>
      <c r="D1960" s="10" t="s">
        <v>1266</v>
      </c>
      <c r="E1960" s="41" t="str">
        <f t="shared" si="1"/>
        <v>PROX3</v>
      </c>
    </row>
    <row r="1961" ht="15.75" customHeight="1">
      <c r="A1961" s="10" t="s">
        <v>1267</v>
      </c>
      <c r="B1961" s="10" t="s">
        <v>133</v>
      </c>
      <c r="C1961" s="41">
        <f t="array" ref="C1961">IF(IFERROR(INDEX(CATALOG_POINTS,MATCH(A1961,CATALOG_TASK,0)),"")="",IF(MAX(IF(IFERROR(FIND(CATALOG_BASE,A1961),0)=1,CATALOG_POINTS,0))=0,DAILY_POST_POINTS,MAX(IF(IFERROR(FIND(CATALOG_BASE,A1961),0)=1,CATALOG_POINTS,0))),IFERROR(INDEX(CATALOG_POINTS,MATCH(A1961,CATALOG_TASK,0)),""))</f>
        <v>1</v>
      </c>
      <c r="D1961" s="10" t="s">
        <v>1267</v>
      </c>
      <c r="E1961" s="41" t="str">
        <f t="shared" si="1"/>
        <v>PROX3</v>
      </c>
    </row>
    <row r="1962" ht="15.75" customHeight="1">
      <c r="A1962" s="10" t="s">
        <v>37</v>
      </c>
      <c r="B1962" s="10" t="s">
        <v>120</v>
      </c>
      <c r="C1962" s="41">
        <f t="array" ref="C1962">IF(IFERROR(INDEX(CATALOG_POINTS,MATCH(A1962,CATALOG_TASK,0)),"")="",IF(MAX(IF(IFERROR(FIND(CATALOG_BASE,A1962),0)=1,CATALOG_POINTS,0))=0,DAILY_POST_POINTS,MAX(IF(IFERROR(FIND(CATALOG_BASE,A1962),0)=1,CATALOG_POINTS,0))),IFERROR(INDEX(CATALOG_POINTS,MATCH(A1962,CATALOG_TASK,0)),""))</f>
        <v>2</v>
      </c>
      <c r="D1962" s="10" t="s">
        <v>1267</v>
      </c>
      <c r="E1962" s="41" t="str">
        <f t="shared" si="1"/>
        <v>PROX3</v>
      </c>
    </row>
    <row r="1963" ht="15.75" customHeight="1">
      <c r="A1963" s="10" t="s">
        <v>1268</v>
      </c>
      <c r="B1963" s="10" t="s">
        <v>124</v>
      </c>
      <c r="C1963" s="41">
        <f t="array" ref="C1963">IF(IFERROR(INDEX(CATALOG_POINTS,MATCH(A1963,CATALOG_TASK,0)),"")="",IF(MAX(IF(IFERROR(FIND(CATALOG_BASE,A1963),0)=1,CATALOG_POINTS,0))=0,DAILY_POST_POINTS,MAX(IF(IFERROR(FIND(CATALOG_BASE,A1963),0)=1,CATALOG_POINTS,0))),IFERROR(INDEX(CATALOG_POINTS,MATCH(A1963,CATALOG_TASK,0)),""))</f>
        <v>1</v>
      </c>
      <c r="D1963" s="10" t="s">
        <v>1268</v>
      </c>
      <c r="E1963" s="41" t="str">
        <f t="shared" si="1"/>
        <v>PROX3</v>
      </c>
    </row>
    <row r="1964" ht="15.75" customHeight="1">
      <c r="A1964" s="10" t="s">
        <v>1269</v>
      </c>
      <c r="B1964" s="10" t="s">
        <v>132</v>
      </c>
      <c r="C1964" s="41">
        <f t="array" ref="C1964">IF(IFERROR(INDEX(CATALOG_POINTS,MATCH(A1964,CATALOG_TASK,0)),"")="",IF(MAX(IF(IFERROR(FIND(CATALOG_BASE,A1964),0)=1,CATALOG_POINTS,0))=0,DAILY_POST_POINTS,MAX(IF(IFERROR(FIND(CATALOG_BASE,A1964),0)=1,CATALOG_POINTS,0))),IFERROR(INDEX(CATALOG_POINTS,MATCH(A1964,CATALOG_TASK,0)),""))</f>
        <v>1</v>
      </c>
      <c r="D1964" s="10" t="s">
        <v>1269</v>
      </c>
      <c r="E1964" s="41" t="str">
        <f t="shared" si="1"/>
        <v>SEM</v>
      </c>
    </row>
    <row r="1965" ht="15.75" customHeight="1">
      <c r="A1965" s="10" t="s">
        <v>1270</v>
      </c>
      <c r="B1965" s="10" t="s">
        <v>135</v>
      </c>
      <c r="C1965" s="41">
        <f t="array" ref="C1965">IF(IFERROR(INDEX(CATALOG_POINTS,MATCH(A1965,CATALOG_TASK,0)),"")="",IF(MAX(IF(IFERROR(FIND(CATALOG_BASE,A1965),0)=1,CATALOG_POINTS,0))=0,DAILY_POST_POINTS,MAX(IF(IFERROR(FIND(CATALOG_BASE,A1965),0)=1,CATALOG_POINTS,0))),IFERROR(INDEX(CATALOG_POINTS,MATCH(A1965,CATALOG_TASK,0)),""))</f>
        <v>1</v>
      </c>
      <c r="D1965" s="10" t="s">
        <v>1270</v>
      </c>
      <c r="E1965" s="41" t="str">
        <f t="shared" si="1"/>
        <v>PROX3</v>
      </c>
    </row>
    <row r="1966" ht="15.75" customHeight="1">
      <c r="A1966" s="10" t="s">
        <v>1271</v>
      </c>
      <c r="B1966" s="10" t="s">
        <v>134</v>
      </c>
      <c r="C1966" s="41">
        <f t="array" ref="C1966">IF(IFERROR(INDEX(CATALOG_POINTS,MATCH(A1966,CATALOG_TASK,0)),"")="",IF(MAX(IF(IFERROR(FIND(CATALOG_BASE,A1966),0)=1,CATALOG_POINTS,0))=0,DAILY_POST_POINTS,MAX(IF(IFERROR(FIND(CATALOG_BASE,A1966),0)=1,CATALOG_POINTS,0))),IFERROR(INDEX(CATALOG_POINTS,MATCH(A1966,CATALOG_TASK,0)),""))</f>
        <v>1</v>
      </c>
      <c r="D1966" s="10" t="s">
        <v>1271</v>
      </c>
      <c r="E1966" s="41" t="str">
        <f t="shared" si="1"/>
        <v>PROX4</v>
      </c>
    </row>
    <row r="1967" ht="15.75" customHeight="1">
      <c r="A1967" s="10" t="s">
        <v>1272</v>
      </c>
      <c r="B1967" s="10" t="s">
        <v>131</v>
      </c>
      <c r="C1967" s="41">
        <f t="array" ref="C1967">IF(IFERROR(INDEX(CATALOG_POINTS,MATCH(A1967,CATALOG_TASK,0)),"")="",IF(MAX(IF(IFERROR(FIND(CATALOG_BASE,A1967),0)=1,CATALOG_POINTS,0))=0,DAILY_POST_POINTS,MAX(IF(IFERROR(FIND(CATALOG_BASE,A1967),0)=1,CATALOG_POINTS,0))),IFERROR(INDEX(CATALOG_POINTS,MATCH(A1967,CATALOG_TASK,0)),""))</f>
        <v>1</v>
      </c>
      <c r="D1967" s="10" t="s">
        <v>1272</v>
      </c>
      <c r="E1967" s="41" t="str">
        <f t="shared" si="1"/>
        <v>PROX3</v>
      </c>
    </row>
    <row r="1968" ht="15.75" customHeight="1">
      <c r="A1968" s="10" t="s">
        <v>37</v>
      </c>
      <c r="B1968" s="10" t="s">
        <v>121</v>
      </c>
      <c r="C1968" s="41">
        <f t="array" ref="C1968">IF(IFERROR(INDEX(CATALOG_POINTS,MATCH(A1968,CATALOG_TASK,0)),"")="",IF(MAX(IF(IFERROR(FIND(CATALOG_BASE,A1968),0)=1,CATALOG_POINTS,0))=0,DAILY_POST_POINTS,MAX(IF(IFERROR(FIND(CATALOG_BASE,A1968),0)=1,CATALOG_POINTS,0))),IFERROR(INDEX(CATALOG_POINTS,MATCH(A1968,CATALOG_TASK,0)),""))</f>
        <v>2</v>
      </c>
      <c r="D1968" s="10" t="s">
        <v>1272</v>
      </c>
      <c r="E1968" s="41" t="str">
        <f t="shared" si="1"/>
        <v>PROX3</v>
      </c>
    </row>
    <row r="1969" ht="15.75" customHeight="1">
      <c r="A1969" s="10" t="s">
        <v>37</v>
      </c>
      <c r="B1969" s="10" t="s">
        <v>122</v>
      </c>
      <c r="C1969" s="41">
        <f t="array" ref="C1969">IF(IFERROR(INDEX(CATALOG_POINTS,MATCH(A1969,CATALOG_TASK,0)),"")="",IF(MAX(IF(IFERROR(FIND(CATALOG_BASE,A1969),0)=1,CATALOG_POINTS,0))=0,DAILY_POST_POINTS,MAX(IF(IFERROR(FIND(CATALOG_BASE,A1969),0)=1,CATALOG_POINTS,0))),IFERROR(INDEX(CATALOG_POINTS,MATCH(A1969,CATALOG_TASK,0)),""))</f>
        <v>2</v>
      </c>
      <c r="D1969" s="10" t="s">
        <v>1272</v>
      </c>
      <c r="E1969" s="41" t="str">
        <f t="shared" si="1"/>
        <v>PROX3</v>
      </c>
    </row>
    <row r="1970" ht="15.75" customHeight="1">
      <c r="A1970" s="10" t="s">
        <v>1273</v>
      </c>
      <c r="B1970" s="10" t="s">
        <v>135</v>
      </c>
      <c r="C1970" s="41">
        <f t="array" ref="C1970">IF(IFERROR(INDEX(CATALOG_POINTS,MATCH(A1970,CATALOG_TASK,0)),"")="",IF(MAX(IF(IFERROR(FIND(CATALOG_BASE,A1970),0)=1,CATALOG_POINTS,0))=0,DAILY_POST_POINTS,MAX(IF(IFERROR(FIND(CATALOG_BASE,A1970),0)=1,CATALOG_POINTS,0))),IFERROR(INDEX(CATALOG_POINTS,MATCH(A1970,CATALOG_TASK,0)),""))</f>
        <v>1</v>
      </c>
      <c r="D1970" s="10" t="s">
        <v>1273</v>
      </c>
      <c r="E1970" s="41" t="str">
        <f t="shared" si="1"/>
        <v>PROX3</v>
      </c>
    </row>
    <row r="1971" ht="15.75" customHeight="1">
      <c r="A1971" s="10" t="s">
        <v>1274</v>
      </c>
      <c r="B1971" s="10" t="s">
        <v>124</v>
      </c>
      <c r="C1971" s="41">
        <f t="array" ref="C1971">IF(IFERROR(INDEX(CATALOG_POINTS,MATCH(A1971,CATALOG_TASK,0)),"")="",IF(MAX(IF(IFERROR(FIND(CATALOG_BASE,A1971),0)=1,CATALOG_POINTS,0))=0,DAILY_POST_POINTS,MAX(IF(IFERROR(FIND(CATALOG_BASE,A1971),0)=1,CATALOG_POINTS,0))),IFERROR(INDEX(CATALOG_POINTS,MATCH(A1971,CATALOG_TASK,0)),""))</f>
        <v>1</v>
      </c>
      <c r="D1971" s="10" t="s">
        <v>1274</v>
      </c>
      <c r="E1971" s="41" t="str">
        <f t="shared" si="1"/>
        <v>E0</v>
      </c>
    </row>
    <row r="1972" ht="15.75" customHeight="1">
      <c r="A1972" s="10" t="s">
        <v>37</v>
      </c>
      <c r="B1972" s="10" t="s">
        <v>124</v>
      </c>
      <c r="C1972" s="41">
        <f t="array" ref="C1972">IF(IFERROR(INDEX(CATALOG_POINTS,MATCH(A1972,CATALOG_TASK,0)),"")="",IF(MAX(IF(IFERROR(FIND(CATALOG_BASE,A1972),0)=1,CATALOG_POINTS,0))=0,DAILY_POST_POINTS,MAX(IF(IFERROR(FIND(CATALOG_BASE,A1972),0)=1,CATALOG_POINTS,0))),IFERROR(INDEX(CATALOG_POINTS,MATCH(A1972,CATALOG_TASK,0)),""))</f>
        <v>2</v>
      </c>
      <c r="D1972" s="10" t="s">
        <v>1275</v>
      </c>
      <c r="E1972" s="41" t="str">
        <f t="shared" si="1"/>
        <v>PROX3</v>
      </c>
    </row>
    <row r="1973" ht="15.75" customHeight="1">
      <c r="A1973" s="10" t="s">
        <v>168</v>
      </c>
      <c r="B1973" s="10" t="s">
        <v>124</v>
      </c>
      <c r="C1973" s="41">
        <f t="array" ref="C1973">IF(IFERROR(INDEX(CATALOG_POINTS,MATCH(A1973,CATALOG_TASK,0)),"")="",IF(MAX(IF(IFERROR(FIND(CATALOG_BASE,A1973),0)=1,CATALOG_POINTS,0))=0,DAILY_POST_POINTS,MAX(IF(IFERROR(FIND(CATALOG_BASE,A1973),0)=1,CATALOG_POINTS,0))),IFERROR(INDEX(CATALOG_POINTS,MATCH(A1973,CATALOG_TASK,0)),""))</f>
        <v>1</v>
      </c>
      <c r="D1973" s="10" t="s">
        <v>1275</v>
      </c>
      <c r="E1973" s="41" t="str">
        <f t="shared" si="1"/>
        <v>PROX3</v>
      </c>
    </row>
    <row r="1974" ht="15.75" customHeight="1">
      <c r="A1974" s="10" t="s">
        <v>37</v>
      </c>
      <c r="B1974" s="10" t="s">
        <v>120</v>
      </c>
      <c r="C1974" s="41">
        <f t="array" ref="C1974">IF(IFERROR(INDEX(CATALOG_POINTS,MATCH(A1974,CATALOG_TASK,0)),"")="",IF(MAX(IF(IFERROR(FIND(CATALOG_BASE,A1974),0)=1,CATALOG_POINTS,0))=0,DAILY_POST_POINTS,MAX(IF(IFERROR(FIND(CATALOG_BASE,A1974),0)=1,CATALOG_POINTS,0))),IFERROR(INDEX(CATALOG_POINTS,MATCH(A1974,CATALOG_TASK,0)),""))</f>
        <v>2</v>
      </c>
      <c r="D1974" s="10" t="s">
        <v>1275</v>
      </c>
      <c r="E1974" s="41" t="str">
        <f t="shared" si="1"/>
        <v>PROX3</v>
      </c>
    </row>
    <row r="1975" ht="15.75" customHeight="1">
      <c r="A1975" s="10" t="s">
        <v>1275</v>
      </c>
      <c r="B1975" s="10" t="s">
        <v>119</v>
      </c>
      <c r="C1975" s="41">
        <f t="array" ref="C1975">IF(IFERROR(INDEX(CATALOG_POINTS,MATCH(A1975,CATALOG_TASK,0)),"")="",IF(MAX(IF(IFERROR(FIND(CATALOG_BASE,A1975),0)=1,CATALOG_POINTS,0))=0,DAILY_POST_POINTS,MAX(IF(IFERROR(FIND(CATALOG_BASE,A1975),0)=1,CATALOG_POINTS,0))),IFERROR(INDEX(CATALOG_POINTS,MATCH(A1975,CATALOG_TASK,0)),""))</f>
        <v>1</v>
      </c>
      <c r="D1975" s="10" t="s">
        <v>1275</v>
      </c>
      <c r="E1975" s="41" t="str">
        <f t="shared" si="1"/>
        <v>PROX3</v>
      </c>
    </row>
    <row r="1976" ht="15.75" customHeight="1">
      <c r="A1976" s="10" t="s">
        <v>34</v>
      </c>
      <c r="B1976" s="10" t="s">
        <v>128</v>
      </c>
      <c r="C1976" s="41">
        <f t="array" ref="C1976">IF(IFERROR(INDEX(CATALOG_POINTS,MATCH(A1976,CATALOG_TASK,0)),"")="",IF(MAX(IF(IFERROR(FIND(CATALOG_BASE,A1976),0)=1,CATALOG_POINTS,0))=0,DAILY_POST_POINTS,MAX(IF(IFERROR(FIND(CATALOG_BASE,A1976),0)=1,CATALOG_POINTS,0))),IFERROR(INDEX(CATALOG_POINTS,MATCH(A1976,CATALOG_TASK,0)),""))</f>
        <v>2</v>
      </c>
      <c r="D1976" s="10" t="s">
        <v>1276</v>
      </c>
      <c r="E1976" s="41" t="str">
        <f t="shared" si="1"/>
        <v>PROX4</v>
      </c>
    </row>
    <row r="1977" ht="15.75" customHeight="1">
      <c r="A1977" s="10" t="s">
        <v>1276</v>
      </c>
      <c r="B1977" s="10" t="s">
        <v>125</v>
      </c>
      <c r="C1977" s="41">
        <f t="array" ref="C1977">IF(IFERROR(INDEX(CATALOG_POINTS,MATCH(A1977,CATALOG_TASK,0)),"")="",IF(MAX(IF(IFERROR(FIND(CATALOG_BASE,A1977),0)=1,CATALOG_POINTS,0))=0,DAILY_POST_POINTS,MAX(IF(IFERROR(FIND(CATALOG_BASE,A1977),0)=1,CATALOG_POINTS,0))),IFERROR(INDEX(CATALOG_POINTS,MATCH(A1977,CATALOG_TASK,0)),""))</f>
        <v>1</v>
      </c>
      <c r="D1977" s="10" t="s">
        <v>1276</v>
      </c>
      <c r="E1977" s="41" t="str">
        <f t="shared" si="1"/>
        <v>PROX4</v>
      </c>
    </row>
    <row r="1978" ht="15.75" customHeight="1">
      <c r="A1978" s="10" t="s">
        <v>1277</v>
      </c>
      <c r="B1978" s="10" t="s">
        <v>136</v>
      </c>
      <c r="C1978" s="41">
        <f t="array" ref="C1978">IF(IFERROR(INDEX(CATALOG_POINTS,MATCH(A1978,CATALOG_TASK,0)),"")="",IF(MAX(IF(IFERROR(FIND(CATALOG_BASE,A1978),0)=1,CATALOG_POINTS,0))=0,DAILY_POST_POINTS,MAX(IF(IFERROR(FIND(CATALOG_BASE,A1978),0)=1,CATALOG_POINTS,0))),IFERROR(INDEX(CATALOG_POINTS,MATCH(A1978,CATALOG_TASK,0)),""))</f>
        <v>1</v>
      </c>
      <c r="D1978" s="10" t="s">
        <v>1277</v>
      </c>
      <c r="E1978" s="41" t="str">
        <f t="shared" si="1"/>
        <v>PROX3</v>
      </c>
    </row>
    <row r="1979" ht="15.75" customHeight="1">
      <c r="A1979" s="10" t="s">
        <v>1278</v>
      </c>
      <c r="B1979" s="10" t="s">
        <v>124</v>
      </c>
      <c r="C1979" s="41">
        <f t="array" ref="C1979">IF(IFERROR(INDEX(CATALOG_POINTS,MATCH(A1979,CATALOG_TASK,0)),"")="",IF(MAX(IF(IFERROR(FIND(CATALOG_BASE,A1979),0)=1,CATALOG_POINTS,0))=0,DAILY_POST_POINTS,MAX(IF(IFERROR(FIND(CATALOG_BASE,A1979),0)=1,CATALOG_POINTS,0))),IFERROR(INDEX(CATALOG_POINTS,MATCH(A1979,CATALOG_TASK,0)),""))</f>
        <v>1</v>
      </c>
      <c r="D1979" s="10" t="s">
        <v>1278</v>
      </c>
      <c r="E1979" s="41" t="str">
        <f t="shared" si="1"/>
        <v>PROX3</v>
      </c>
    </row>
    <row r="1980" ht="15.75" customHeight="1">
      <c r="A1980" s="10" t="s">
        <v>1279</v>
      </c>
      <c r="B1980" s="10" t="s">
        <v>127</v>
      </c>
      <c r="C1980" s="41">
        <f t="array" ref="C1980">IF(IFERROR(INDEX(CATALOG_POINTS,MATCH(A1980,CATALOG_TASK,0)),"")="",IF(MAX(IF(IFERROR(FIND(CATALOG_BASE,A1980),0)=1,CATALOG_POINTS,0))=0,DAILY_POST_POINTS,MAX(IF(IFERROR(FIND(CATALOG_BASE,A1980),0)=1,CATALOG_POINTS,0))),IFERROR(INDEX(CATALOG_POINTS,MATCH(A1980,CATALOG_TASK,0)),""))</f>
        <v>1</v>
      </c>
      <c r="D1980" s="10" t="s">
        <v>1279</v>
      </c>
      <c r="E1980" s="41" t="str">
        <f t="shared" si="1"/>
        <v>PROX3</v>
      </c>
    </row>
    <row r="1981" ht="15.75" customHeight="1">
      <c r="A1981" s="10" t="s">
        <v>1280</v>
      </c>
      <c r="B1981" s="10" t="s">
        <v>129</v>
      </c>
      <c r="C1981" s="41">
        <f t="array" ref="C1981">IF(IFERROR(INDEX(CATALOG_POINTS,MATCH(A1981,CATALOG_TASK,0)),"")="",IF(MAX(IF(IFERROR(FIND(CATALOG_BASE,A1981),0)=1,CATALOG_POINTS,0))=0,DAILY_POST_POINTS,MAX(IF(IFERROR(FIND(CATALOG_BASE,A1981),0)=1,CATALOG_POINTS,0))),IFERROR(INDEX(CATALOG_POINTS,MATCH(A1981,CATALOG_TASK,0)),""))</f>
        <v>1</v>
      </c>
      <c r="D1981" s="10" t="s">
        <v>1280</v>
      </c>
      <c r="E1981" s="41" t="str">
        <f t="shared" si="1"/>
        <v/>
      </c>
    </row>
    <row r="1982" ht="15.75" customHeight="1">
      <c r="A1982" s="10" t="s">
        <v>1281</v>
      </c>
      <c r="B1982" s="10" t="s">
        <v>132</v>
      </c>
      <c r="C1982" s="41">
        <f t="array" ref="C1982">IF(IFERROR(INDEX(CATALOG_POINTS,MATCH(A1982,CATALOG_TASK,0)),"")="",IF(MAX(IF(IFERROR(FIND(CATALOG_BASE,A1982),0)=1,CATALOG_POINTS,0))=0,DAILY_POST_POINTS,MAX(IF(IFERROR(FIND(CATALOG_BASE,A1982),0)=1,CATALOG_POINTS,0))),IFERROR(INDEX(CATALOG_POINTS,MATCH(A1982,CATALOG_TASK,0)),""))</f>
        <v>1</v>
      </c>
      <c r="D1982" s="10" t="s">
        <v>1281</v>
      </c>
      <c r="E1982" s="41" t="str">
        <f t="shared" si="1"/>
        <v>PROX3</v>
      </c>
    </row>
    <row r="1983" ht="15.75" customHeight="1">
      <c r="A1983" s="10" t="s">
        <v>1282</v>
      </c>
      <c r="B1983" s="10" t="s">
        <v>129</v>
      </c>
      <c r="C1983" s="41">
        <f t="array" ref="C1983">IF(IFERROR(INDEX(CATALOG_POINTS,MATCH(A1983,CATALOG_TASK,0)),"")="",IF(MAX(IF(IFERROR(FIND(CATALOG_BASE,A1983),0)=1,CATALOG_POINTS,0))=0,DAILY_POST_POINTS,MAX(IF(IFERROR(FIND(CATALOG_BASE,A1983),0)=1,CATALOG_POINTS,0))),IFERROR(INDEX(CATALOG_POINTS,MATCH(A1983,CATALOG_TASK,0)),""))</f>
        <v>1</v>
      </c>
      <c r="D1983" s="10" t="s">
        <v>1282</v>
      </c>
      <c r="E1983" s="41" t="str">
        <f t="shared" si="1"/>
        <v>PROX3</v>
      </c>
    </row>
    <row r="1984" ht="15.75" customHeight="1">
      <c r="A1984" s="10" t="s">
        <v>1283</v>
      </c>
      <c r="B1984" s="10" t="s">
        <v>129</v>
      </c>
      <c r="C1984" s="41">
        <f t="array" ref="C1984">IF(IFERROR(INDEX(CATALOG_POINTS,MATCH(A1984,CATALOG_TASK,0)),"")="",IF(MAX(IF(IFERROR(FIND(CATALOG_BASE,A1984),0)=1,CATALOG_POINTS,0))=0,DAILY_POST_POINTS,MAX(IF(IFERROR(FIND(CATALOG_BASE,A1984),0)=1,CATALOG_POINTS,0))),IFERROR(INDEX(CATALOG_POINTS,MATCH(A1984,CATALOG_TASK,0)),""))</f>
        <v>1</v>
      </c>
      <c r="D1984" s="10" t="s">
        <v>1283</v>
      </c>
      <c r="E1984" s="41" t="str">
        <f t="shared" si="1"/>
        <v>PROX4</v>
      </c>
    </row>
    <row r="1985" ht="15.75" customHeight="1">
      <c r="A1985" s="10" t="s">
        <v>1284</v>
      </c>
      <c r="B1985" s="10" t="s">
        <v>125</v>
      </c>
      <c r="C1985" s="41">
        <f t="array" ref="C1985">IF(IFERROR(INDEX(CATALOG_POINTS,MATCH(A1985,CATALOG_TASK,0)),"")="",IF(MAX(IF(IFERROR(FIND(CATALOG_BASE,A1985),0)=1,CATALOG_POINTS,0))=0,DAILY_POST_POINTS,MAX(IF(IFERROR(FIND(CATALOG_BASE,A1985),0)=1,CATALOG_POINTS,0))),IFERROR(INDEX(CATALOG_POINTS,MATCH(A1985,CATALOG_TASK,0)),""))</f>
        <v>1</v>
      </c>
      <c r="D1985" s="10" t="s">
        <v>1284</v>
      </c>
      <c r="E1985" s="41" t="str">
        <f t="shared" si="1"/>
        <v>PROX4</v>
      </c>
    </row>
    <row r="1986" ht="15.75" customHeight="1">
      <c r="A1986" s="10" t="s">
        <v>1285</v>
      </c>
      <c r="B1986" s="10" t="s">
        <v>128</v>
      </c>
      <c r="C1986" s="41">
        <f t="array" ref="C1986">IF(IFERROR(INDEX(CATALOG_POINTS,MATCH(A1986,CATALOG_TASK,0)),"")="",IF(MAX(IF(IFERROR(FIND(CATALOG_BASE,A1986),0)=1,CATALOG_POINTS,0))=0,DAILY_POST_POINTS,MAX(IF(IFERROR(FIND(CATALOG_BASE,A1986),0)=1,CATALOG_POINTS,0))),IFERROR(INDEX(CATALOG_POINTS,MATCH(A1986,CATALOG_TASK,0)),""))</f>
        <v>1</v>
      </c>
      <c r="D1986" s="10" t="s">
        <v>1285</v>
      </c>
      <c r="E1986" s="41" t="str">
        <f t="shared" si="1"/>
        <v>PROX3</v>
      </c>
    </row>
    <row r="1987" ht="15.75" customHeight="1">
      <c r="A1987" s="10" t="s">
        <v>1286</v>
      </c>
      <c r="B1987" s="10" t="s">
        <v>121</v>
      </c>
      <c r="C1987" s="41">
        <f t="array" ref="C1987">IF(IFERROR(INDEX(CATALOG_POINTS,MATCH(A1987,CATALOG_TASK,0)),"")="",IF(MAX(IF(IFERROR(FIND(CATALOG_BASE,A1987),0)=1,CATALOG_POINTS,0))=0,DAILY_POST_POINTS,MAX(IF(IFERROR(FIND(CATALOG_BASE,A1987),0)=1,CATALOG_POINTS,0))),IFERROR(INDEX(CATALOG_POINTS,MATCH(A1987,CATALOG_TASK,0)),""))</f>
        <v>1</v>
      </c>
      <c r="D1987" s="10" t="s">
        <v>1286</v>
      </c>
      <c r="E1987" s="41" t="str">
        <f t="shared" si="1"/>
        <v>PROX3</v>
      </c>
    </row>
    <row r="1988" ht="15.75" customHeight="1">
      <c r="A1988" s="10" t="s">
        <v>1287</v>
      </c>
      <c r="B1988" s="10" t="s">
        <v>129</v>
      </c>
      <c r="C1988" s="41">
        <f t="array" ref="C1988">IF(IFERROR(INDEX(CATALOG_POINTS,MATCH(A1988,CATALOG_TASK,0)),"")="",IF(MAX(IF(IFERROR(FIND(CATALOG_BASE,A1988),0)=1,CATALOG_POINTS,0))=0,DAILY_POST_POINTS,MAX(IF(IFERROR(FIND(CATALOG_BASE,A1988),0)=1,CATALOG_POINTS,0))),IFERROR(INDEX(CATALOG_POINTS,MATCH(A1988,CATALOG_TASK,0)),""))</f>
        <v>1</v>
      </c>
      <c r="D1988" s="10" t="s">
        <v>1287</v>
      </c>
      <c r="E1988" s="41" t="str">
        <f t="shared" si="1"/>
        <v>PROX3</v>
      </c>
    </row>
    <row r="1989" ht="15.75" customHeight="1">
      <c r="A1989" s="10" t="s">
        <v>1288</v>
      </c>
      <c r="B1989" s="10" t="s">
        <v>129</v>
      </c>
      <c r="C1989" s="41">
        <f t="array" ref="C1989">IF(IFERROR(INDEX(CATALOG_POINTS,MATCH(A1989,CATALOG_TASK,0)),"")="",IF(MAX(IF(IFERROR(FIND(CATALOG_BASE,A1989),0)=1,CATALOG_POINTS,0))=0,DAILY_POST_POINTS,MAX(IF(IFERROR(FIND(CATALOG_BASE,A1989),0)=1,CATALOG_POINTS,0))),IFERROR(INDEX(CATALOG_POINTS,MATCH(A1989,CATALOG_TASK,0)),""))</f>
        <v>1</v>
      </c>
      <c r="D1989" s="10" t="s">
        <v>1288</v>
      </c>
      <c r="E1989" s="41" t="str">
        <f t="shared" si="1"/>
        <v>PROX4</v>
      </c>
    </row>
    <row r="1990" ht="15.75" customHeight="1">
      <c r="A1990" s="10" t="s">
        <v>1289</v>
      </c>
      <c r="B1990" s="10" t="s">
        <v>119</v>
      </c>
      <c r="C1990" s="41">
        <f t="array" ref="C1990">IF(IFERROR(INDEX(CATALOG_POINTS,MATCH(A1990,CATALOG_TASK,0)),"")="",IF(MAX(IF(IFERROR(FIND(CATALOG_BASE,A1990),0)=1,CATALOG_POINTS,0))=0,DAILY_POST_POINTS,MAX(IF(IFERROR(FIND(CATALOG_BASE,A1990),0)=1,CATALOG_POINTS,0))),IFERROR(INDEX(CATALOG_POINTS,MATCH(A1990,CATALOG_TASK,0)),""))</f>
        <v>1</v>
      </c>
      <c r="D1990" s="10" t="s">
        <v>1289</v>
      </c>
      <c r="E1990" s="41" t="str">
        <f t="shared" si="1"/>
        <v>PROX3</v>
      </c>
    </row>
    <row r="1991" ht="15.75" customHeight="1">
      <c r="A1991" s="10" t="s">
        <v>1290</v>
      </c>
      <c r="B1991" s="10" t="s">
        <v>122</v>
      </c>
      <c r="C1991" s="41">
        <f t="array" ref="C1991">IF(IFERROR(INDEX(CATALOG_POINTS,MATCH(A1991,CATALOG_TASK,0)),"")="",IF(MAX(IF(IFERROR(FIND(CATALOG_BASE,A1991),0)=1,CATALOG_POINTS,0))=0,DAILY_POST_POINTS,MAX(IF(IFERROR(FIND(CATALOG_BASE,A1991),0)=1,CATALOG_POINTS,0))),IFERROR(INDEX(CATALOG_POINTS,MATCH(A1991,CATALOG_TASK,0)),""))</f>
        <v>1</v>
      </c>
      <c r="D1991" s="10" t="s">
        <v>1290</v>
      </c>
      <c r="E1991" s="41" t="str">
        <f t="shared" si="1"/>
        <v>PROX3</v>
      </c>
    </row>
    <row r="1992" ht="15.75" customHeight="1">
      <c r="A1992" s="10" t="s">
        <v>1291</v>
      </c>
      <c r="B1992" s="10" t="s">
        <v>123</v>
      </c>
      <c r="C1992" s="41">
        <f t="array" ref="C1992">IF(IFERROR(INDEX(CATALOG_POINTS,MATCH(A1992,CATALOG_TASK,0)),"")="",IF(MAX(IF(IFERROR(FIND(CATALOG_BASE,A1992),0)=1,CATALOG_POINTS,0))=0,DAILY_POST_POINTS,MAX(IF(IFERROR(FIND(CATALOG_BASE,A1992),0)=1,CATALOG_POINTS,0))),IFERROR(INDEX(CATALOG_POINTS,MATCH(A1992,CATALOG_TASK,0)),""))</f>
        <v>1</v>
      </c>
      <c r="D1992" s="10" t="s">
        <v>1291</v>
      </c>
      <c r="E1992" s="41" t="str">
        <f t="shared" si="1"/>
        <v>PROX3</v>
      </c>
    </row>
    <row r="1993" ht="15.75" customHeight="1">
      <c r="A1993" s="10" t="s">
        <v>37</v>
      </c>
      <c r="B1993" s="10" t="s">
        <v>123</v>
      </c>
      <c r="C1993" s="41">
        <f t="array" ref="C1993">IF(IFERROR(INDEX(CATALOG_POINTS,MATCH(A1993,CATALOG_TASK,0)),"")="",IF(MAX(IF(IFERROR(FIND(CATALOG_BASE,A1993),0)=1,CATALOG_POINTS,0))=0,DAILY_POST_POINTS,MAX(IF(IFERROR(FIND(CATALOG_BASE,A1993),0)=1,CATALOG_POINTS,0))),IFERROR(INDEX(CATALOG_POINTS,MATCH(A1993,CATALOG_TASK,0)),""))</f>
        <v>2</v>
      </c>
      <c r="D1993" s="10" t="s">
        <v>1291</v>
      </c>
      <c r="E1993" s="41" t="str">
        <f t="shared" si="1"/>
        <v>PROX3</v>
      </c>
    </row>
    <row r="1994" ht="15.75" customHeight="1">
      <c r="A1994" s="10" t="s">
        <v>1292</v>
      </c>
      <c r="B1994" s="10" t="s">
        <v>127</v>
      </c>
      <c r="C1994" s="41">
        <f t="array" ref="C1994">IF(IFERROR(INDEX(CATALOG_POINTS,MATCH(A1994,CATALOG_TASK,0)),"")="",IF(MAX(IF(IFERROR(FIND(CATALOG_BASE,A1994),0)=1,CATALOG_POINTS,0))=0,DAILY_POST_POINTS,MAX(IF(IFERROR(FIND(CATALOG_BASE,A1994),0)=1,CATALOG_POINTS,0))),IFERROR(INDEX(CATALOG_POINTS,MATCH(A1994,CATALOG_TASK,0)),""))</f>
        <v>1</v>
      </c>
      <c r="D1994" s="10" t="s">
        <v>1292</v>
      </c>
      <c r="E1994" s="41" t="str">
        <f t="shared" si="1"/>
        <v>PROX4</v>
      </c>
    </row>
    <row r="1995" ht="15.75" customHeight="1">
      <c r="A1995" s="10" t="s">
        <v>37</v>
      </c>
      <c r="B1995" s="10" t="s">
        <v>126</v>
      </c>
      <c r="C1995" s="41">
        <f t="array" ref="C1995">IF(IFERROR(INDEX(CATALOG_POINTS,MATCH(A1995,CATALOG_TASK,0)),"")="",IF(MAX(IF(IFERROR(FIND(CATALOG_BASE,A1995),0)=1,CATALOG_POINTS,0))=0,DAILY_POST_POINTS,MAX(IF(IFERROR(FIND(CATALOG_BASE,A1995),0)=1,CATALOG_POINTS,0))),IFERROR(INDEX(CATALOG_POINTS,MATCH(A1995,CATALOG_TASK,0)),""))</f>
        <v>2</v>
      </c>
      <c r="D1995" s="10" t="s">
        <v>1292</v>
      </c>
      <c r="E1995" s="41" t="str">
        <f t="shared" si="1"/>
        <v>PROX4</v>
      </c>
    </row>
    <row r="1996" ht="15.75" customHeight="1">
      <c r="A1996" s="10" t="s">
        <v>37</v>
      </c>
      <c r="B1996" s="10" t="s">
        <v>123</v>
      </c>
      <c r="C1996" s="41">
        <f t="array" ref="C1996">IF(IFERROR(INDEX(CATALOG_POINTS,MATCH(A1996,CATALOG_TASK,0)),"")="",IF(MAX(IF(IFERROR(FIND(CATALOG_BASE,A1996),0)=1,CATALOG_POINTS,0))=0,DAILY_POST_POINTS,MAX(IF(IFERROR(FIND(CATALOG_BASE,A1996),0)=1,CATALOG_POINTS,0))),IFERROR(INDEX(CATALOG_POINTS,MATCH(A1996,CATALOG_TASK,0)),""))</f>
        <v>2</v>
      </c>
      <c r="D1996" s="10" t="s">
        <v>1292</v>
      </c>
      <c r="E1996" s="41" t="str">
        <f t="shared" si="1"/>
        <v>PROX4</v>
      </c>
    </row>
    <row r="1997" ht="15.75" customHeight="1">
      <c r="A1997" s="10" t="s">
        <v>37</v>
      </c>
      <c r="B1997" s="10" t="s">
        <v>117</v>
      </c>
      <c r="C1997" s="41">
        <f t="array" ref="C1997">IF(IFERROR(INDEX(CATALOG_POINTS,MATCH(A1997,CATALOG_TASK,0)),"")="",IF(MAX(IF(IFERROR(FIND(CATALOG_BASE,A1997),0)=1,CATALOG_POINTS,0))=0,DAILY_POST_POINTS,MAX(IF(IFERROR(FIND(CATALOG_BASE,A1997),0)=1,CATALOG_POINTS,0))),IFERROR(INDEX(CATALOG_POINTS,MATCH(A1997,CATALOG_TASK,0)),""))</f>
        <v>2</v>
      </c>
      <c r="D1997" s="10" t="s">
        <v>1292</v>
      </c>
      <c r="E1997" s="41" t="str">
        <f t="shared" si="1"/>
        <v>PROX4</v>
      </c>
    </row>
    <row r="1998" ht="15.75" customHeight="1">
      <c r="A1998" s="10" t="s">
        <v>1293</v>
      </c>
      <c r="B1998" s="10" t="s">
        <v>132</v>
      </c>
      <c r="C1998" s="41">
        <f t="array" ref="C1998">IF(IFERROR(INDEX(CATALOG_POINTS,MATCH(A1998,CATALOG_TASK,0)),"")="",IF(MAX(IF(IFERROR(FIND(CATALOG_BASE,A1998),0)=1,CATALOG_POINTS,0))=0,DAILY_POST_POINTS,MAX(IF(IFERROR(FIND(CATALOG_BASE,A1998),0)=1,CATALOG_POINTS,0))),IFERROR(INDEX(CATALOG_POINTS,MATCH(A1998,CATALOG_TASK,0)),""))</f>
        <v>1</v>
      </c>
      <c r="D1998" s="10" t="s">
        <v>1293</v>
      </c>
      <c r="E1998" s="41" t="str">
        <f t="shared" si="1"/>
        <v>E0</v>
      </c>
    </row>
    <row r="1999" ht="15.75" customHeight="1">
      <c r="A1999" s="10" t="s">
        <v>1294</v>
      </c>
      <c r="B1999" s="10" t="s">
        <v>135</v>
      </c>
      <c r="C1999" s="41">
        <f t="array" ref="C1999">IF(IFERROR(INDEX(CATALOG_POINTS,MATCH(A1999,CATALOG_TASK,0)),"")="",IF(MAX(IF(IFERROR(FIND(CATALOG_BASE,A1999),0)=1,CATALOG_POINTS,0))=0,DAILY_POST_POINTS,MAX(IF(IFERROR(FIND(CATALOG_BASE,A1999),0)=1,CATALOG_POINTS,0))),IFERROR(INDEX(CATALOG_POINTS,MATCH(A1999,CATALOG_TASK,0)),""))</f>
        <v>1</v>
      </c>
      <c r="D1999" s="10" t="s">
        <v>1294</v>
      </c>
      <c r="E1999" s="41" t="str">
        <f t="shared" si="1"/>
        <v>PROX3</v>
      </c>
    </row>
    <row r="2000" ht="15.75" customHeight="1">
      <c r="A2000" s="10" t="s">
        <v>37</v>
      </c>
      <c r="B2000" s="10" t="s">
        <v>120</v>
      </c>
      <c r="C2000" s="41">
        <f t="array" ref="C2000">IF(IFERROR(INDEX(CATALOG_POINTS,MATCH(A2000,CATALOG_TASK,0)),"")="",IF(MAX(IF(IFERROR(FIND(CATALOG_BASE,A2000),0)=1,CATALOG_POINTS,0))=0,DAILY_POST_POINTS,MAX(IF(IFERROR(FIND(CATALOG_BASE,A2000),0)=1,CATALOG_POINTS,0))),IFERROR(INDEX(CATALOG_POINTS,MATCH(A2000,CATALOG_TASK,0)),""))</f>
        <v>2</v>
      </c>
      <c r="D2000" s="10" t="s">
        <v>1295</v>
      </c>
      <c r="E2000" s="41" t="str">
        <f t="shared" si="1"/>
        <v>PROX4</v>
      </c>
    </row>
    <row r="2001" ht="15.75" customHeight="1">
      <c r="A2001" s="10" t="s">
        <v>1295</v>
      </c>
      <c r="B2001" s="10" t="s">
        <v>117</v>
      </c>
      <c r="C2001" s="41">
        <f t="array" ref="C2001">IF(IFERROR(INDEX(CATALOG_POINTS,MATCH(A2001,CATALOG_TASK,0)),"")="",IF(MAX(IF(IFERROR(FIND(CATALOG_BASE,A2001),0)=1,CATALOG_POINTS,0))=0,DAILY_POST_POINTS,MAX(IF(IFERROR(FIND(CATALOG_BASE,A2001),0)=1,CATALOG_POINTS,0))),IFERROR(INDEX(CATALOG_POINTS,MATCH(A2001,CATALOG_TASK,0)),""))</f>
        <v>1</v>
      </c>
      <c r="D2001" s="10" t="s">
        <v>1295</v>
      </c>
      <c r="E2001" s="41" t="str">
        <f t="shared" si="1"/>
        <v>PROX4</v>
      </c>
    </row>
    <row r="2002" ht="15.75" customHeight="1">
      <c r="A2002" s="10" t="s">
        <v>24</v>
      </c>
      <c r="B2002" s="10" t="s">
        <v>117</v>
      </c>
      <c r="C2002" s="41">
        <f t="array" ref="C2002">IF(IFERROR(INDEX(CATALOG_POINTS,MATCH(A2002,CATALOG_TASK,0)),"")="",IF(MAX(IF(IFERROR(FIND(CATALOG_BASE,A2002),0)=1,CATALOG_POINTS,0))=0,DAILY_POST_POINTS,MAX(IF(IFERROR(FIND(CATALOG_BASE,A2002),0)=1,CATALOG_POINTS,0))),IFERROR(INDEX(CATALOG_POINTS,MATCH(A2002,CATALOG_TASK,0)),""))</f>
        <v>2</v>
      </c>
      <c r="D2002" s="10" t="s">
        <v>1296</v>
      </c>
      <c r="E2002" s="41" t="str">
        <f t="shared" si="1"/>
        <v>PROX3</v>
      </c>
    </row>
    <row r="2003" ht="15.75" customHeight="1">
      <c r="A2003" s="10" t="s">
        <v>174</v>
      </c>
      <c r="B2003" s="10" t="s">
        <v>117</v>
      </c>
      <c r="C2003" s="41">
        <f t="array" ref="C2003">IF(IFERROR(INDEX(CATALOG_POINTS,MATCH(A2003,CATALOG_TASK,0)),"")="",IF(MAX(IF(IFERROR(FIND(CATALOG_BASE,A2003),0)=1,CATALOG_POINTS,0))=0,DAILY_POST_POINTS,MAX(IF(IFERROR(FIND(CATALOG_BASE,A2003),0)=1,CATALOG_POINTS,0))),IFERROR(INDEX(CATALOG_POINTS,MATCH(A2003,CATALOG_TASK,0)),""))</f>
        <v>1</v>
      </c>
      <c r="D2003" s="10" t="s">
        <v>1296</v>
      </c>
      <c r="E2003" s="41" t="str">
        <f t="shared" si="1"/>
        <v>PROX3</v>
      </c>
    </row>
    <row r="2004" ht="15.75" customHeight="1">
      <c r="A2004" s="10" t="s">
        <v>178</v>
      </c>
      <c r="B2004" s="10" t="s">
        <v>127</v>
      </c>
      <c r="C2004" s="41">
        <f t="array" ref="C2004">IF(IFERROR(INDEX(CATALOG_POINTS,MATCH(A2004,CATALOG_TASK,0)),"")="",IF(MAX(IF(IFERROR(FIND(CATALOG_BASE,A2004),0)=1,CATALOG_POINTS,0))=0,DAILY_POST_POINTS,MAX(IF(IFERROR(FIND(CATALOG_BASE,A2004),0)=1,CATALOG_POINTS,0))),IFERROR(INDEX(CATALOG_POINTS,MATCH(A2004,CATALOG_TASK,0)),""))</f>
        <v>1</v>
      </c>
      <c r="D2004" s="10" t="s">
        <v>1296</v>
      </c>
      <c r="E2004" s="41" t="str">
        <f t="shared" si="1"/>
        <v>PROX3</v>
      </c>
    </row>
    <row r="2005" ht="15.75" customHeight="1">
      <c r="A2005" s="10" t="s">
        <v>178</v>
      </c>
      <c r="B2005" s="10" t="s">
        <v>128</v>
      </c>
      <c r="C2005" s="41">
        <f t="array" ref="C2005">IF(IFERROR(INDEX(CATALOG_POINTS,MATCH(A2005,CATALOG_TASK,0)),"")="",IF(MAX(IF(IFERROR(FIND(CATALOG_BASE,A2005),0)=1,CATALOG_POINTS,0))=0,DAILY_POST_POINTS,MAX(IF(IFERROR(FIND(CATALOG_BASE,A2005),0)=1,CATALOG_POINTS,0))),IFERROR(INDEX(CATALOG_POINTS,MATCH(A2005,CATALOG_TASK,0)),""))</f>
        <v>1</v>
      </c>
      <c r="D2005" s="10" t="s">
        <v>1296</v>
      </c>
      <c r="E2005" s="41" t="str">
        <f t="shared" si="1"/>
        <v>PROX3</v>
      </c>
    </row>
    <row r="2006" ht="15.75" customHeight="1">
      <c r="A2006" s="10" t="s">
        <v>168</v>
      </c>
      <c r="B2006" s="10" t="s">
        <v>120</v>
      </c>
      <c r="C2006" s="41">
        <f t="array" ref="C2006">IF(IFERROR(INDEX(CATALOG_POINTS,MATCH(A2006,CATALOG_TASK,0)),"")="",IF(MAX(IF(IFERROR(FIND(CATALOG_BASE,A2006),0)=1,CATALOG_POINTS,0))=0,DAILY_POST_POINTS,MAX(IF(IFERROR(FIND(CATALOG_BASE,A2006),0)=1,CATALOG_POINTS,0))),IFERROR(INDEX(CATALOG_POINTS,MATCH(A2006,CATALOG_TASK,0)),""))</f>
        <v>1</v>
      </c>
      <c r="D2006" s="10" t="s">
        <v>1296</v>
      </c>
      <c r="E2006" s="41" t="str">
        <f t="shared" si="1"/>
        <v>PROX3</v>
      </c>
    </row>
    <row r="2007" ht="15.75" customHeight="1">
      <c r="A2007" s="10" t="s">
        <v>24</v>
      </c>
      <c r="B2007" s="10" t="s">
        <v>120</v>
      </c>
      <c r="C2007" s="41">
        <f t="array" ref="C2007">IF(IFERROR(INDEX(CATALOG_POINTS,MATCH(A2007,CATALOG_TASK,0)),"")="",IF(MAX(IF(IFERROR(FIND(CATALOG_BASE,A2007),0)=1,CATALOG_POINTS,0))=0,DAILY_POST_POINTS,MAX(IF(IFERROR(FIND(CATALOG_BASE,A2007),0)=1,CATALOG_POINTS,0))),IFERROR(INDEX(CATALOG_POINTS,MATCH(A2007,CATALOG_TASK,0)),""))</f>
        <v>2</v>
      </c>
      <c r="D2007" s="10" t="s">
        <v>1296</v>
      </c>
      <c r="E2007" s="41" t="str">
        <f t="shared" si="1"/>
        <v>PROX3</v>
      </c>
    </row>
    <row r="2008" ht="15.75" customHeight="1">
      <c r="A2008" s="10" t="s">
        <v>168</v>
      </c>
      <c r="B2008" s="10" t="s">
        <v>117</v>
      </c>
      <c r="C2008" s="41">
        <f t="array" ref="C2008">IF(IFERROR(INDEX(CATALOG_POINTS,MATCH(A2008,CATALOG_TASK,0)),"")="",IF(MAX(IF(IFERROR(FIND(CATALOG_BASE,A2008),0)=1,CATALOG_POINTS,0))=0,DAILY_POST_POINTS,MAX(IF(IFERROR(FIND(CATALOG_BASE,A2008),0)=1,CATALOG_POINTS,0))),IFERROR(INDEX(CATALOG_POINTS,MATCH(A2008,CATALOG_TASK,0)),""))</f>
        <v>1</v>
      </c>
      <c r="D2008" s="10" t="s">
        <v>1296</v>
      </c>
      <c r="E2008" s="41" t="str">
        <f t="shared" si="1"/>
        <v>PROX3</v>
      </c>
    </row>
    <row r="2009" ht="15.75" customHeight="1">
      <c r="A2009" s="10" t="s">
        <v>1297</v>
      </c>
      <c r="B2009" s="10" t="s">
        <v>136</v>
      </c>
      <c r="C2009" s="41">
        <f t="array" ref="C2009">IF(IFERROR(INDEX(CATALOG_POINTS,MATCH(A2009,CATALOG_TASK,0)),"")="",IF(MAX(IF(IFERROR(FIND(CATALOG_BASE,A2009),0)=1,CATALOG_POINTS,0))=0,DAILY_POST_POINTS,MAX(IF(IFERROR(FIND(CATALOG_BASE,A2009),0)=1,CATALOG_POINTS,0))),IFERROR(INDEX(CATALOG_POINTS,MATCH(A2009,CATALOG_TASK,0)),""))</f>
        <v>1</v>
      </c>
      <c r="D2009" s="10" t="s">
        <v>1297</v>
      </c>
      <c r="E2009" s="41" t="str">
        <f t="shared" si="1"/>
        <v>PROX3</v>
      </c>
    </row>
    <row r="2010" ht="15.75" customHeight="1">
      <c r="A2010" s="10" t="s">
        <v>1298</v>
      </c>
      <c r="B2010" s="10" t="s">
        <v>134</v>
      </c>
      <c r="C2010" s="41">
        <f t="array" ref="C2010">IF(IFERROR(INDEX(CATALOG_POINTS,MATCH(A2010,CATALOG_TASK,0)),"")="",IF(MAX(IF(IFERROR(FIND(CATALOG_BASE,A2010),0)=1,CATALOG_POINTS,0))=0,DAILY_POST_POINTS,MAX(IF(IFERROR(FIND(CATALOG_BASE,A2010),0)=1,CATALOG_POINTS,0))),IFERROR(INDEX(CATALOG_POINTS,MATCH(A2010,CATALOG_TASK,0)),""))</f>
        <v>1</v>
      </c>
      <c r="D2010" s="10" t="s">
        <v>1298</v>
      </c>
      <c r="E2010" s="41" t="str">
        <f t="shared" si="1"/>
        <v>PROX3</v>
      </c>
    </row>
    <row r="2011" ht="15.75" customHeight="1">
      <c r="A2011" s="10" t="s">
        <v>1299</v>
      </c>
      <c r="B2011" s="10" t="s">
        <v>125</v>
      </c>
      <c r="C2011" s="41">
        <f t="array" ref="C2011">IF(IFERROR(INDEX(CATALOG_POINTS,MATCH(A2011,CATALOG_TASK,0)),"")="",IF(MAX(IF(IFERROR(FIND(CATALOG_BASE,A2011),0)=1,CATALOG_POINTS,0))=0,DAILY_POST_POINTS,MAX(IF(IFERROR(FIND(CATALOG_BASE,A2011),0)=1,CATALOG_POINTS,0))),IFERROR(INDEX(CATALOG_POINTS,MATCH(A2011,CATALOG_TASK,0)),""))</f>
        <v>1</v>
      </c>
      <c r="D2011" s="10" t="s">
        <v>1299</v>
      </c>
      <c r="E2011" s="41" t="str">
        <f t="shared" si="1"/>
        <v>PROX3</v>
      </c>
    </row>
    <row r="2012" ht="15.75" customHeight="1">
      <c r="A2012" s="10" t="s">
        <v>37</v>
      </c>
      <c r="B2012" s="10" t="s">
        <v>126</v>
      </c>
      <c r="C2012" s="41">
        <f t="array" ref="C2012">IF(IFERROR(INDEX(CATALOG_POINTS,MATCH(A2012,CATALOG_TASK,0)),"")="",IF(MAX(IF(IFERROR(FIND(CATALOG_BASE,A2012),0)=1,CATALOG_POINTS,0))=0,DAILY_POST_POINTS,MAX(IF(IFERROR(FIND(CATALOG_BASE,A2012),0)=1,CATALOG_POINTS,0))),IFERROR(INDEX(CATALOG_POINTS,MATCH(A2012,CATALOG_TASK,0)),""))</f>
        <v>2</v>
      </c>
      <c r="D2012" s="10" t="s">
        <v>1300</v>
      </c>
      <c r="E2012" s="41" t="str">
        <f t="shared" si="1"/>
        <v>PROX3</v>
      </c>
    </row>
    <row r="2013" ht="15.75" customHeight="1">
      <c r="A2013" s="10" t="s">
        <v>1300</v>
      </c>
      <c r="B2013" s="10" t="s">
        <v>124</v>
      </c>
      <c r="C2013" s="41">
        <f t="array" ref="C2013">IF(IFERROR(INDEX(CATALOG_POINTS,MATCH(A2013,CATALOG_TASK,0)),"")="",IF(MAX(IF(IFERROR(FIND(CATALOG_BASE,A2013),0)=1,CATALOG_POINTS,0))=0,DAILY_POST_POINTS,MAX(IF(IFERROR(FIND(CATALOG_BASE,A2013),0)=1,CATALOG_POINTS,0))),IFERROR(INDEX(CATALOG_POINTS,MATCH(A2013,CATALOG_TASK,0)),""))</f>
        <v>1</v>
      </c>
      <c r="D2013" s="10" t="s">
        <v>1300</v>
      </c>
      <c r="E2013" s="41" t="str">
        <f t="shared" si="1"/>
        <v>PROX3</v>
      </c>
    </row>
    <row r="2014" ht="15.75" customHeight="1">
      <c r="A2014" s="10" t="s">
        <v>37</v>
      </c>
      <c r="B2014" s="10" t="s">
        <v>125</v>
      </c>
      <c r="C2014" s="41">
        <f t="array" ref="C2014">IF(IFERROR(INDEX(CATALOG_POINTS,MATCH(A2014,CATALOG_TASK,0)),"")="",IF(MAX(IF(IFERROR(FIND(CATALOG_BASE,A2014),0)=1,CATALOG_POINTS,0))=0,DAILY_POST_POINTS,MAX(IF(IFERROR(FIND(CATALOG_BASE,A2014),0)=1,CATALOG_POINTS,0))),IFERROR(INDEX(CATALOG_POINTS,MATCH(A2014,CATALOG_TASK,0)),""))</f>
        <v>2</v>
      </c>
      <c r="D2014" s="10" t="s">
        <v>1300</v>
      </c>
      <c r="E2014" s="41" t="str">
        <f t="shared" si="1"/>
        <v>PROX3</v>
      </c>
    </row>
    <row r="2015" ht="15.75" customHeight="1">
      <c r="A2015" s="10" t="s">
        <v>1301</v>
      </c>
      <c r="B2015" s="10" t="s">
        <v>119</v>
      </c>
      <c r="C2015" s="41">
        <f t="array" ref="C2015">IF(IFERROR(INDEX(CATALOG_POINTS,MATCH(A2015,CATALOG_TASK,0)),"")="",IF(MAX(IF(IFERROR(FIND(CATALOG_BASE,A2015),0)=1,CATALOG_POINTS,0))=0,DAILY_POST_POINTS,MAX(IF(IFERROR(FIND(CATALOG_BASE,A2015),0)=1,CATALOG_POINTS,0))),IFERROR(INDEX(CATALOG_POINTS,MATCH(A2015,CATALOG_TASK,0)),""))</f>
        <v>1</v>
      </c>
      <c r="D2015" s="10" t="s">
        <v>1301</v>
      </c>
      <c r="E2015" s="41" t="str">
        <f t="shared" si="1"/>
        <v>PROX4</v>
      </c>
    </row>
    <row r="2016" ht="15.75" customHeight="1">
      <c r="A2016" s="10" t="s">
        <v>1302</v>
      </c>
      <c r="B2016" s="10" t="s">
        <v>126</v>
      </c>
      <c r="C2016" s="41">
        <f t="array" ref="C2016">IF(IFERROR(INDEX(CATALOG_POINTS,MATCH(A2016,CATALOG_TASK,0)),"")="",IF(MAX(IF(IFERROR(FIND(CATALOG_BASE,A2016),0)=1,CATALOG_POINTS,0))=0,DAILY_POST_POINTS,MAX(IF(IFERROR(FIND(CATALOG_BASE,A2016),0)=1,CATALOG_POINTS,0))),IFERROR(INDEX(CATALOG_POINTS,MATCH(A2016,CATALOG_TASK,0)),""))</f>
        <v>1</v>
      </c>
      <c r="D2016" s="10" t="s">
        <v>1302</v>
      </c>
      <c r="E2016" s="41" t="str">
        <f t="shared" si="1"/>
        <v>PROX3</v>
      </c>
    </row>
    <row r="2017" ht="15.75" customHeight="1">
      <c r="A2017" s="10" t="s">
        <v>1303</v>
      </c>
      <c r="B2017" s="10" t="s">
        <v>129</v>
      </c>
      <c r="C2017" s="41">
        <f t="array" ref="C2017">IF(IFERROR(INDEX(CATALOG_POINTS,MATCH(A2017,CATALOG_TASK,0)),"")="",IF(MAX(IF(IFERROR(FIND(CATALOG_BASE,A2017),0)=1,CATALOG_POINTS,0))=0,DAILY_POST_POINTS,MAX(IF(IFERROR(FIND(CATALOG_BASE,A2017),0)=1,CATALOG_POINTS,0))),IFERROR(INDEX(CATALOG_POINTS,MATCH(A2017,CATALOG_TASK,0)),""))</f>
        <v>1</v>
      </c>
      <c r="D2017" s="10" t="s">
        <v>1303</v>
      </c>
      <c r="E2017" s="41" t="str">
        <f t="shared" si="1"/>
        <v>PROX3</v>
      </c>
    </row>
    <row r="2018" ht="15.75" customHeight="1">
      <c r="A2018" s="10" t="s">
        <v>37</v>
      </c>
      <c r="B2018" s="10" t="s">
        <v>119</v>
      </c>
      <c r="C2018" s="41">
        <f t="array" ref="C2018">IF(IFERROR(INDEX(CATALOG_POINTS,MATCH(A2018,CATALOG_TASK,0)),"")="",IF(MAX(IF(IFERROR(FIND(CATALOG_BASE,A2018),0)=1,CATALOG_POINTS,0))=0,DAILY_POST_POINTS,MAX(IF(IFERROR(FIND(CATALOG_BASE,A2018),0)=1,CATALOG_POINTS,0))),IFERROR(INDEX(CATALOG_POINTS,MATCH(A2018,CATALOG_TASK,0)),""))</f>
        <v>2</v>
      </c>
      <c r="D2018" s="10" t="s">
        <v>1303</v>
      </c>
      <c r="E2018" s="41" t="str">
        <f t="shared" si="1"/>
        <v>PROX3</v>
      </c>
    </row>
    <row r="2019" ht="15.75" customHeight="1">
      <c r="A2019" s="10" t="s">
        <v>37</v>
      </c>
      <c r="B2019" s="10" t="s">
        <v>125</v>
      </c>
      <c r="C2019" s="41">
        <f t="array" ref="C2019">IF(IFERROR(INDEX(CATALOG_POINTS,MATCH(A2019,CATALOG_TASK,0)),"")="",IF(MAX(IF(IFERROR(FIND(CATALOG_BASE,A2019),0)=1,CATALOG_POINTS,0))=0,DAILY_POST_POINTS,MAX(IF(IFERROR(FIND(CATALOG_BASE,A2019),0)=1,CATALOG_POINTS,0))),IFERROR(INDEX(CATALOG_POINTS,MATCH(A2019,CATALOG_TASK,0)),""))</f>
        <v>2</v>
      </c>
      <c r="D2019" s="10" t="s">
        <v>1304</v>
      </c>
      <c r="E2019" s="41" t="str">
        <f t="shared" si="1"/>
        <v>PROX3</v>
      </c>
    </row>
    <row r="2020" ht="15.75" customHeight="1">
      <c r="A2020" s="10" t="s">
        <v>37</v>
      </c>
      <c r="B2020" s="10" t="s">
        <v>117</v>
      </c>
      <c r="C2020" s="41">
        <f t="array" ref="C2020">IF(IFERROR(INDEX(CATALOG_POINTS,MATCH(A2020,CATALOG_TASK,0)),"")="",IF(MAX(IF(IFERROR(FIND(CATALOG_BASE,A2020),0)=1,CATALOG_POINTS,0))=0,DAILY_POST_POINTS,MAX(IF(IFERROR(FIND(CATALOG_BASE,A2020),0)=1,CATALOG_POINTS,0))),IFERROR(INDEX(CATALOG_POINTS,MATCH(A2020,CATALOG_TASK,0)),""))</f>
        <v>2</v>
      </c>
      <c r="D2020" s="10" t="s">
        <v>1304</v>
      </c>
      <c r="E2020" s="41" t="str">
        <f t="shared" si="1"/>
        <v>PROX3</v>
      </c>
    </row>
    <row r="2021" ht="15.75" customHeight="1">
      <c r="A2021" s="10" t="s">
        <v>1305</v>
      </c>
      <c r="B2021" s="10" t="s">
        <v>135</v>
      </c>
      <c r="C2021" s="41">
        <f t="array" ref="C2021">IF(IFERROR(INDEX(CATALOG_POINTS,MATCH(A2021,CATALOG_TASK,0)),"")="",IF(MAX(IF(IFERROR(FIND(CATALOG_BASE,A2021),0)=1,CATALOG_POINTS,0))=0,DAILY_POST_POINTS,MAX(IF(IFERROR(FIND(CATALOG_BASE,A2021),0)=1,CATALOG_POINTS,0))),IFERROR(INDEX(CATALOG_POINTS,MATCH(A2021,CATALOG_TASK,0)),""))</f>
        <v>1</v>
      </c>
      <c r="D2021" s="10" t="s">
        <v>1305</v>
      </c>
      <c r="E2021" s="41" t="str">
        <f t="shared" si="1"/>
        <v>PROX3</v>
      </c>
    </row>
    <row r="2022" ht="15.75" customHeight="1">
      <c r="A2022" s="10" t="s">
        <v>1306</v>
      </c>
      <c r="B2022" s="10" t="s">
        <v>126</v>
      </c>
      <c r="C2022" s="41">
        <f t="array" ref="C2022">IF(IFERROR(INDEX(CATALOG_POINTS,MATCH(A2022,CATALOG_TASK,0)),"")="",IF(MAX(IF(IFERROR(FIND(CATALOG_BASE,A2022),0)=1,CATALOG_POINTS,0))=0,DAILY_POST_POINTS,MAX(IF(IFERROR(FIND(CATALOG_BASE,A2022),0)=1,CATALOG_POINTS,0))),IFERROR(INDEX(CATALOG_POINTS,MATCH(A2022,CATALOG_TASK,0)),""))</f>
        <v>1</v>
      </c>
      <c r="D2022" s="10" t="s">
        <v>1306</v>
      </c>
      <c r="E2022" s="41" t="str">
        <f t="shared" si="1"/>
        <v>PROX3</v>
      </c>
    </row>
    <row r="2023" ht="15.75" customHeight="1">
      <c r="A2023" s="10" t="s">
        <v>1307</v>
      </c>
      <c r="B2023" s="10" t="s">
        <v>128</v>
      </c>
      <c r="C2023" s="41">
        <f t="array" ref="C2023">IF(IFERROR(INDEX(CATALOG_POINTS,MATCH(A2023,CATALOG_TASK,0)),"")="",IF(MAX(IF(IFERROR(FIND(CATALOG_BASE,A2023),0)=1,CATALOG_POINTS,0))=0,DAILY_POST_POINTS,MAX(IF(IFERROR(FIND(CATALOG_BASE,A2023),0)=1,CATALOG_POINTS,0))),IFERROR(INDEX(CATALOG_POINTS,MATCH(A2023,CATALOG_TASK,0)),""))</f>
        <v>1</v>
      </c>
      <c r="D2023" s="10" t="s">
        <v>1307</v>
      </c>
      <c r="E2023" s="41" t="str">
        <f t="shared" si="1"/>
        <v>PROX3</v>
      </c>
    </row>
    <row r="2024" ht="15.75" customHeight="1">
      <c r="A2024" s="10" t="s">
        <v>174</v>
      </c>
      <c r="B2024" s="10" t="s">
        <v>117</v>
      </c>
      <c r="C2024" s="41">
        <f t="array" ref="C2024">IF(IFERROR(INDEX(CATALOG_POINTS,MATCH(A2024,CATALOG_TASK,0)),"")="",IF(MAX(IF(IFERROR(FIND(CATALOG_BASE,A2024),0)=1,CATALOG_POINTS,0))=0,DAILY_POST_POINTS,MAX(IF(IFERROR(FIND(CATALOG_BASE,A2024),0)=1,CATALOG_POINTS,0))),IFERROR(INDEX(CATALOG_POINTS,MATCH(A2024,CATALOG_TASK,0)),""))</f>
        <v>1</v>
      </c>
      <c r="D2024" s="10" t="s">
        <v>1308</v>
      </c>
      <c r="E2024" s="41" t="str">
        <f t="shared" si="1"/>
        <v>PROX3</v>
      </c>
    </row>
    <row r="2025" ht="15.75" customHeight="1">
      <c r="A2025" s="10" t="s">
        <v>1309</v>
      </c>
      <c r="B2025" s="10" t="s">
        <v>124</v>
      </c>
      <c r="C2025" s="41">
        <f t="array" ref="C2025">IF(IFERROR(INDEX(CATALOG_POINTS,MATCH(A2025,CATALOG_TASK,0)),"")="",IF(MAX(IF(IFERROR(FIND(CATALOG_BASE,A2025),0)=1,CATALOG_POINTS,0))=0,DAILY_POST_POINTS,MAX(IF(IFERROR(FIND(CATALOG_BASE,A2025),0)=1,CATALOG_POINTS,0))),IFERROR(INDEX(CATALOG_POINTS,MATCH(A2025,CATALOG_TASK,0)),""))</f>
        <v>1</v>
      </c>
      <c r="D2025" s="10" t="s">
        <v>1309</v>
      </c>
      <c r="E2025" s="41" t="str">
        <f t="shared" si="1"/>
        <v>PROX3</v>
      </c>
    </row>
    <row r="2026" ht="15.75" customHeight="1">
      <c r="A2026" s="10" t="s">
        <v>1310</v>
      </c>
      <c r="B2026" s="10" t="s">
        <v>125</v>
      </c>
      <c r="C2026" s="41">
        <f t="array" ref="C2026">IF(IFERROR(INDEX(CATALOG_POINTS,MATCH(A2026,CATALOG_TASK,0)),"")="",IF(MAX(IF(IFERROR(FIND(CATALOG_BASE,A2026),0)=1,CATALOG_POINTS,0))=0,DAILY_POST_POINTS,MAX(IF(IFERROR(FIND(CATALOG_BASE,A2026),0)=1,CATALOG_POINTS,0))),IFERROR(INDEX(CATALOG_POINTS,MATCH(A2026,CATALOG_TASK,0)),""))</f>
        <v>1</v>
      </c>
      <c r="D2026" s="10" t="s">
        <v>1310</v>
      </c>
      <c r="E2026" s="41" t="str">
        <f t="shared" si="1"/>
        <v>PROX3</v>
      </c>
    </row>
    <row r="2027" ht="15.75" customHeight="1">
      <c r="A2027" s="10" t="s">
        <v>1311</v>
      </c>
      <c r="B2027" s="10" t="s">
        <v>123</v>
      </c>
      <c r="C2027" s="41">
        <f t="array" ref="C2027">IF(IFERROR(INDEX(CATALOG_POINTS,MATCH(A2027,CATALOG_TASK,0)),"")="",IF(MAX(IF(IFERROR(FIND(CATALOG_BASE,A2027),0)=1,CATALOG_POINTS,0))=0,DAILY_POST_POINTS,MAX(IF(IFERROR(FIND(CATALOG_BASE,A2027),0)=1,CATALOG_POINTS,0))),IFERROR(INDEX(CATALOG_POINTS,MATCH(A2027,CATALOG_TASK,0)),""))</f>
        <v>1</v>
      </c>
      <c r="D2027" s="10" t="s">
        <v>1311</v>
      </c>
      <c r="E2027" s="41" t="str">
        <f t="shared" si="1"/>
        <v>E0</v>
      </c>
    </row>
    <row r="2028" ht="15.75" customHeight="1">
      <c r="A2028" s="10" t="s">
        <v>1312</v>
      </c>
      <c r="B2028" s="10" t="s">
        <v>128</v>
      </c>
      <c r="C2028" s="41">
        <f t="array" ref="C2028">IF(IFERROR(INDEX(CATALOG_POINTS,MATCH(A2028,CATALOG_TASK,0)),"")="",IF(MAX(IF(IFERROR(FIND(CATALOG_BASE,A2028),0)=1,CATALOG_POINTS,0))=0,DAILY_POST_POINTS,MAX(IF(IFERROR(FIND(CATALOG_BASE,A2028),0)=1,CATALOG_POINTS,0))),IFERROR(INDEX(CATALOG_POINTS,MATCH(A2028,CATALOG_TASK,0)),""))</f>
        <v>1</v>
      </c>
      <c r="D2028" s="10" t="s">
        <v>1312</v>
      </c>
      <c r="E2028" s="41" t="str">
        <f t="shared" si="1"/>
        <v>PROX3</v>
      </c>
    </row>
    <row r="2029" ht="15.75" customHeight="1">
      <c r="A2029" s="10" t="s">
        <v>37</v>
      </c>
      <c r="B2029" s="10" t="s">
        <v>117</v>
      </c>
      <c r="C2029" s="41">
        <f t="array" ref="C2029">IF(IFERROR(INDEX(CATALOG_POINTS,MATCH(A2029,CATALOG_TASK,0)),"")="",IF(MAX(IF(IFERROR(FIND(CATALOG_BASE,A2029),0)=1,CATALOG_POINTS,0))=0,DAILY_POST_POINTS,MAX(IF(IFERROR(FIND(CATALOG_BASE,A2029),0)=1,CATALOG_POINTS,0))),IFERROR(INDEX(CATALOG_POINTS,MATCH(A2029,CATALOG_TASK,0)),""))</f>
        <v>2</v>
      </c>
      <c r="D2029" s="10" t="s">
        <v>1313</v>
      </c>
      <c r="E2029" s="41" t="str">
        <f t="shared" si="1"/>
        <v>PROX3</v>
      </c>
    </row>
    <row r="2030" ht="15.75" customHeight="1">
      <c r="A2030" s="10" t="s">
        <v>1313</v>
      </c>
      <c r="B2030" s="10" t="s">
        <v>126</v>
      </c>
      <c r="C2030" s="41">
        <f t="array" ref="C2030">IF(IFERROR(INDEX(CATALOG_POINTS,MATCH(A2030,CATALOG_TASK,0)),"")="",IF(MAX(IF(IFERROR(FIND(CATALOG_BASE,A2030),0)=1,CATALOG_POINTS,0))=0,DAILY_POST_POINTS,MAX(IF(IFERROR(FIND(CATALOG_BASE,A2030),0)=1,CATALOG_POINTS,0))),IFERROR(INDEX(CATALOG_POINTS,MATCH(A2030,CATALOG_TASK,0)),""))</f>
        <v>1</v>
      </c>
      <c r="D2030" s="10" t="s">
        <v>1313</v>
      </c>
      <c r="E2030" s="41" t="str">
        <f t="shared" si="1"/>
        <v>PROX3</v>
      </c>
    </row>
    <row r="2031" ht="15.75" customHeight="1">
      <c r="A2031" s="10" t="s">
        <v>1314</v>
      </c>
      <c r="B2031" s="10" t="s">
        <v>128</v>
      </c>
      <c r="C2031" s="41">
        <f t="array" ref="C2031">IF(IFERROR(INDEX(CATALOG_POINTS,MATCH(A2031,CATALOG_TASK,0)),"")="",IF(MAX(IF(IFERROR(FIND(CATALOG_BASE,A2031),0)=1,CATALOG_POINTS,0))=0,DAILY_POST_POINTS,MAX(IF(IFERROR(FIND(CATALOG_BASE,A2031),0)=1,CATALOG_POINTS,0))),IFERROR(INDEX(CATALOG_POINTS,MATCH(A2031,CATALOG_TASK,0)),""))</f>
        <v>1</v>
      </c>
      <c r="D2031" s="10" t="s">
        <v>1314</v>
      </c>
      <c r="E2031" s="41" t="str">
        <f t="shared" si="1"/>
        <v>PROX3</v>
      </c>
    </row>
    <row r="2032" ht="15.75" customHeight="1">
      <c r="A2032" s="10" t="s">
        <v>1315</v>
      </c>
      <c r="B2032" s="10" t="s">
        <v>134</v>
      </c>
      <c r="C2032" s="41">
        <f t="array" ref="C2032">IF(IFERROR(INDEX(CATALOG_POINTS,MATCH(A2032,CATALOG_TASK,0)),"")="",IF(MAX(IF(IFERROR(FIND(CATALOG_BASE,A2032),0)=1,CATALOG_POINTS,0))=0,DAILY_POST_POINTS,MAX(IF(IFERROR(FIND(CATALOG_BASE,A2032),0)=1,CATALOG_POINTS,0))),IFERROR(INDEX(CATALOG_POINTS,MATCH(A2032,CATALOG_TASK,0)),""))</f>
        <v>1</v>
      </c>
      <c r="D2032" s="10" t="s">
        <v>1315</v>
      </c>
      <c r="E2032" s="41" t="str">
        <f t="shared" si="1"/>
        <v/>
      </c>
    </row>
    <row r="2033" ht="15.75" customHeight="1">
      <c r="A2033" s="10" t="s">
        <v>1316</v>
      </c>
      <c r="B2033" s="10" t="s">
        <v>137</v>
      </c>
      <c r="C2033" s="41">
        <f t="array" ref="C2033">IF(IFERROR(INDEX(CATALOG_POINTS,MATCH(A2033,CATALOG_TASK,0)),"")="",IF(MAX(IF(IFERROR(FIND(CATALOG_BASE,A2033),0)=1,CATALOG_POINTS,0))=0,DAILY_POST_POINTS,MAX(IF(IFERROR(FIND(CATALOG_BASE,A2033),0)=1,CATALOG_POINTS,0))),IFERROR(INDEX(CATALOG_POINTS,MATCH(A2033,CATALOG_TASK,0)),""))</f>
        <v>1</v>
      </c>
      <c r="D2033" s="10" t="s">
        <v>1316</v>
      </c>
      <c r="E2033" s="41" t="str">
        <f t="shared" si="1"/>
        <v>PROX3</v>
      </c>
    </row>
    <row r="2034" ht="15.75" customHeight="1">
      <c r="A2034" s="10" t="s">
        <v>37</v>
      </c>
      <c r="B2034" s="10" t="s">
        <v>120</v>
      </c>
      <c r="C2034" s="41">
        <f t="array" ref="C2034">IF(IFERROR(INDEX(CATALOG_POINTS,MATCH(A2034,CATALOG_TASK,0)),"")="",IF(MAX(IF(IFERROR(FIND(CATALOG_BASE,A2034),0)=1,CATALOG_POINTS,0))=0,DAILY_POST_POINTS,MAX(IF(IFERROR(FIND(CATALOG_BASE,A2034),0)=1,CATALOG_POINTS,0))),IFERROR(INDEX(CATALOG_POINTS,MATCH(A2034,CATALOG_TASK,0)),""))</f>
        <v>2</v>
      </c>
      <c r="D2034" s="10" t="s">
        <v>1316</v>
      </c>
      <c r="E2034" s="41" t="str">
        <f t="shared" si="1"/>
        <v>PROX3</v>
      </c>
    </row>
    <row r="2035" ht="15.75" customHeight="1">
      <c r="A2035" s="10" t="s">
        <v>1317</v>
      </c>
      <c r="B2035" s="10" t="s">
        <v>132</v>
      </c>
      <c r="C2035" s="41">
        <f t="array" ref="C2035">IF(IFERROR(INDEX(CATALOG_POINTS,MATCH(A2035,CATALOG_TASK,0)),"")="",IF(MAX(IF(IFERROR(FIND(CATALOG_BASE,A2035),0)=1,CATALOG_POINTS,0))=0,DAILY_POST_POINTS,MAX(IF(IFERROR(FIND(CATALOG_BASE,A2035),0)=1,CATALOG_POINTS,0))),IFERROR(INDEX(CATALOG_POINTS,MATCH(A2035,CATALOG_TASK,0)),""))</f>
        <v>1</v>
      </c>
      <c r="D2035" s="10" t="s">
        <v>1317</v>
      </c>
      <c r="E2035" s="41" t="str">
        <f t="shared" si="1"/>
        <v/>
      </c>
    </row>
    <row r="2036" ht="15.75" customHeight="1">
      <c r="A2036" s="10" t="s">
        <v>1318</v>
      </c>
      <c r="B2036" s="10" t="s">
        <v>120</v>
      </c>
      <c r="C2036" s="41">
        <f t="array" ref="C2036">IF(IFERROR(INDEX(CATALOG_POINTS,MATCH(A2036,CATALOG_TASK,0)),"")="",IF(MAX(IF(IFERROR(FIND(CATALOG_BASE,A2036),0)=1,CATALOG_POINTS,0))=0,DAILY_POST_POINTS,MAX(IF(IFERROR(FIND(CATALOG_BASE,A2036),0)=1,CATALOG_POINTS,0))),IFERROR(INDEX(CATALOG_POINTS,MATCH(A2036,CATALOG_TASK,0)),""))</f>
        <v>1</v>
      </c>
      <c r="D2036" s="10" t="s">
        <v>1318</v>
      </c>
      <c r="E2036" s="41" t="str">
        <f t="shared" si="1"/>
        <v>PROX3</v>
      </c>
    </row>
    <row r="2037" ht="15.75" customHeight="1">
      <c r="A2037" s="10" t="s">
        <v>1319</v>
      </c>
      <c r="B2037" s="10" t="s">
        <v>117</v>
      </c>
      <c r="C2037" s="41">
        <f t="array" ref="C2037">IF(IFERROR(INDEX(CATALOG_POINTS,MATCH(A2037,CATALOG_TASK,0)),"")="",IF(MAX(IF(IFERROR(FIND(CATALOG_BASE,A2037),0)=1,CATALOG_POINTS,0))=0,DAILY_POST_POINTS,MAX(IF(IFERROR(FIND(CATALOG_BASE,A2037),0)=1,CATALOG_POINTS,0))),IFERROR(INDEX(CATALOG_POINTS,MATCH(A2037,CATALOG_TASK,0)),""))</f>
        <v>1</v>
      </c>
      <c r="D2037" s="10" t="s">
        <v>1319</v>
      </c>
      <c r="E2037" s="41" t="str">
        <f t="shared" si="1"/>
        <v>PROX3</v>
      </c>
    </row>
    <row r="2038" ht="15.75" customHeight="1">
      <c r="A2038" s="10" t="s">
        <v>1320</v>
      </c>
      <c r="B2038" s="10" t="s">
        <v>132</v>
      </c>
      <c r="C2038" s="41">
        <f t="array" ref="C2038">IF(IFERROR(INDEX(CATALOG_POINTS,MATCH(A2038,CATALOG_TASK,0)),"")="",IF(MAX(IF(IFERROR(FIND(CATALOG_BASE,A2038),0)=1,CATALOG_POINTS,0))=0,DAILY_POST_POINTS,MAX(IF(IFERROR(FIND(CATALOG_BASE,A2038),0)=1,CATALOG_POINTS,0))),IFERROR(INDEX(CATALOG_POINTS,MATCH(A2038,CATALOG_TASK,0)),""))</f>
        <v>1</v>
      </c>
      <c r="D2038" s="10" t="s">
        <v>1320</v>
      </c>
      <c r="E2038" s="41" t="str">
        <f t="shared" si="1"/>
        <v>PROX3</v>
      </c>
    </row>
    <row r="2039" ht="15.75" customHeight="1">
      <c r="A2039" s="10" t="s">
        <v>37</v>
      </c>
      <c r="B2039" s="10" t="s">
        <v>119</v>
      </c>
      <c r="C2039" s="41">
        <f t="array" ref="C2039">IF(IFERROR(INDEX(CATALOG_POINTS,MATCH(A2039,CATALOG_TASK,0)),"")="",IF(MAX(IF(IFERROR(FIND(CATALOG_BASE,A2039),0)=1,CATALOG_POINTS,0))=0,DAILY_POST_POINTS,MAX(IF(IFERROR(FIND(CATALOG_BASE,A2039),0)=1,CATALOG_POINTS,0))),IFERROR(INDEX(CATALOG_POINTS,MATCH(A2039,CATALOG_TASK,0)),""))</f>
        <v>2</v>
      </c>
      <c r="D2039" s="10" t="s">
        <v>1321</v>
      </c>
      <c r="E2039" s="41" t="str">
        <f t="shared" si="1"/>
        <v>PROX3</v>
      </c>
    </row>
    <row r="2040" ht="15.75" customHeight="1">
      <c r="A2040" s="10" t="s">
        <v>1321</v>
      </c>
      <c r="B2040" s="10" t="s">
        <v>129</v>
      </c>
      <c r="C2040" s="41">
        <f t="array" ref="C2040">IF(IFERROR(INDEX(CATALOG_POINTS,MATCH(A2040,CATALOG_TASK,0)),"")="",IF(MAX(IF(IFERROR(FIND(CATALOG_BASE,A2040),0)=1,CATALOG_POINTS,0))=0,DAILY_POST_POINTS,MAX(IF(IFERROR(FIND(CATALOG_BASE,A2040),0)=1,CATALOG_POINTS,0))),IFERROR(INDEX(CATALOG_POINTS,MATCH(A2040,CATALOG_TASK,0)),""))</f>
        <v>1</v>
      </c>
      <c r="D2040" s="10" t="s">
        <v>1321</v>
      </c>
      <c r="E2040" s="41" t="str">
        <f t="shared" si="1"/>
        <v>PROX3</v>
      </c>
    </row>
    <row r="2041" ht="15.75" customHeight="1">
      <c r="A2041" s="10" t="s">
        <v>1322</v>
      </c>
      <c r="B2041" s="10" t="s">
        <v>121</v>
      </c>
      <c r="C2041" s="41">
        <f t="array" ref="C2041">IF(IFERROR(INDEX(CATALOG_POINTS,MATCH(A2041,CATALOG_TASK,0)),"")="",IF(MAX(IF(IFERROR(FIND(CATALOG_BASE,A2041),0)=1,CATALOG_POINTS,0))=0,DAILY_POST_POINTS,MAX(IF(IFERROR(FIND(CATALOG_BASE,A2041),0)=1,CATALOG_POINTS,0))),IFERROR(INDEX(CATALOG_POINTS,MATCH(A2041,CATALOG_TASK,0)),""))</f>
        <v>1</v>
      </c>
      <c r="D2041" s="10" t="s">
        <v>1322</v>
      </c>
      <c r="E2041" s="41" t="str">
        <f t="shared" si="1"/>
        <v>PROX3</v>
      </c>
    </row>
    <row r="2042" ht="15.75" customHeight="1">
      <c r="A2042" s="10" t="s">
        <v>1323</v>
      </c>
      <c r="B2042" s="10" t="s">
        <v>128</v>
      </c>
      <c r="C2042" s="41">
        <f t="array" ref="C2042">IF(IFERROR(INDEX(CATALOG_POINTS,MATCH(A2042,CATALOG_TASK,0)),"")="",IF(MAX(IF(IFERROR(FIND(CATALOG_BASE,A2042),0)=1,CATALOG_POINTS,0))=0,DAILY_POST_POINTS,MAX(IF(IFERROR(FIND(CATALOG_BASE,A2042),0)=1,CATALOG_POINTS,0))),IFERROR(INDEX(CATALOG_POINTS,MATCH(A2042,CATALOG_TASK,0)),""))</f>
        <v>1</v>
      </c>
      <c r="D2042" s="10" t="s">
        <v>1323</v>
      </c>
      <c r="E2042" s="41" t="str">
        <f t="shared" si="1"/>
        <v>PROX3</v>
      </c>
    </row>
    <row r="2043" ht="15.75" customHeight="1">
      <c r="A2043" s="10" t="s">
        <v>37</v>
      </c>
      <c r="B2043" s="10" t="s">
        <v>123</v>
      </c>
      <c r="C2043" s="41">
        <f t="array" ref="C2043">IF(IFERROR(INDEX(CATALOG_POINTS,MATCH(A2043,CATALOG_TASK,0)),"")="",IF(MAX(IF(IFERROR(FIND(CATALOG_BASE,A2043),0)=1,CATALOG_POINTS,0))=0,DAILY_POST_POINTS,MAX(IF(IFERROR(FIND(CATALOG_BASE,A2043),0)=1,CATALOG_POINTS,0))),IFERROR(INDEX(CATALOG_POINTS,MATCH(A2043,CATALOG_TASK,0)),""))</f>
        <v>2</v>
      </c>
      <c r="D2043" s="10" t="s">
        <v>1323</v>
      </c>
      <c r="E2043" s="41" t="str">
        <f t="shared" si="1"/>
        <v>PROX3</v>
      </c>
    </row>
    <row r="2044" ht="15.75" customHeight="1">
      <c r="A2044" s="10" t="s">
        <v>37</v>
      </c>
      <c r="B2044" s="10" t="s">
        <v>119</v>
      </c>
      <c r="C2044" s="41">
        <f t="array" ref="C2044">IF(IFERROR(INDEX(CATALOG_POINTS,MATCH(A2044,CATALOG_TASK,0)),"")="",IF(MAX(IF(IFERROR(FIND(CATALOG_BASE,A2044),0)=1,CATALOG_POINTS,0))=0,DAILY_POST_POINTS,MAX(IF(IFERROR(FIND(CATALOG_BASE,A2044),0)=1,CATALOG_POINTS,0))),IFERROR(INDEX(CATALOG_POINTS,MATCH(A2044,CATALOG_TASK,0)),""))</f>
        <v>2</v>
      </c>
      <c r="D2044" s="10" t="s">
        <v>1323</v>
      </c>
      <c r="E2044" s="41" t="str">
        <f t="shared" si="1"/>
        <v>PROX3</v>
      </c>
    </row>
    <row r="2045" ht="15.75" customHeight="1">
      <c r="A2045" s="10" t="s">
        <v>438</v>
      </c>
      <c r="B2045" s="10" t="s">
        <v>119</v>
      </c>
      <c r="C2045" s="41">
        <f t="array" ref="C2045">IF(IFERROR(INDEX(CATALOG_POINTS,MATCH(A2045,CATALOG_TASK,0)),"")="",IF(MAX(IF(IFERROR(FIND(CATALOG_BASE,A2045),0)=1,CATALOG_POINTS,0))=0,DAILY_POST_POINTS,MAX(IF(IFERROR(FIND(CATALOG_BASE,A2045),0)=1,CATALOG_POINTS,0))),IFERROR(INDEX(CATALOG_POINTS,MATCH(A2045,CATALOG_TASK,0)),""))</f>
        <v>2</v>
      </c>
      <c r="D2045" s="10" t="s">
        <v>1324</v>
      </c>
      <c r="E2045" s="41" t="str">
        <f t="shared" si="1"/>
        <v>PROX5</v>
      </c>
    </row>
    <row r="2046" ht="15.75" customHeight="1">
      <c r="A2046" s="10" t="s">
        <v>174</v>
      </c>
      <c r="B2046" s="10" t="s">
        <v>123</v>
      </c>
      <c r="C2046" s="41">
        <f t="array" ref="C2046">IF(IFERROR(INDEX(CATALOG_POINTS,MATCH(A2046,CATALOG_TASK,0)),"")="",IF(MAX(IF(IFERROR(FIND(CATALOG_BASE,A2046),0)=1,CATALOG_POINTS,0))=0,DAILY_POST_POINTS,MAX(IF(IFERROR(FIND(CATALOG_BASE,A2046),0)=1,CATALOG_POINTS,0))),IFERROR(INDEX(CATALOG_POINTS,MATCH(A2046,CATALOG_TASK,0)),""))</f>
        <v>1</v>
      </c>
      <c r="D2046" s="10" t="s">
        <v>1324</v>
      </c>
      <c r="E2046" s="41" t="str">
        <f t="shared" si="1"/>
        <v>PROX5</v>
      </c>
    </row>
    <row r="2047" ht="15.75" customHeight="1">
      <c r="A2047" s="10" t="s">
        <v>55</v>
      </c>
      <c r="B2047" s="10" t="s">
        <v>139</v>
      </c>
      <c r="C2047" s="41">
        <f t="array" ref="C2047">IF(IFERROR(INDEX(CATALOG_POINTS,MATCH(A2047,CATALOG_TASK,0)),"")="",IF(MAX(IF(IFERROR(FIND(CATALOG_BASE,A2047),0)=1,CATALOG_POINTS,0))=0,DAILY_POST_POINTS,MAX(IF(IFERROR(FIND(CATALOG_BASE,A2047),0)=1,CATALOG_POINTS,0))),IFERROR(INDEX(CATALOG_POINTS,MATCH(A2047,CATALOG_TASK,0)),""))</f>
        <v>8</v>
      </c>
      <c r="D2047" s="10" t="s">
        <v>1324</v>
      </c>
      <c r="E2047" s="41" t="str">
        <f t="shared" si="1"/>
        <v>PROX5</v>
      </c>
    </row>
    <row r="2048" ht="15.75" customHeight="1">
      <c r="A2048" s="10" t="s">
        <v>37</v>
      </c>
      <c r="B2048" s="10" t="s">
        <v>120</v>
      </c>
      <c r="C2048" s="41">
        <f t="array" ref="C2048">IF(IFERROR(INDEX(CATALOG_POINTS,MATCH(A2048,CATALOG_TASK,0)),"")="",IF(MAX(IF(IFERROR(FIND(CATALOG_BASE,A2048),0)=1,CATALOG_POINTS,0))=0,DAILY_POST_POINTS,MAX(IF(IFERROR(FIND(CATALOG_BASE,A2048),0)=1,CATALOG_POINTS,0))),IFERROR(INDEX(CATALOG_POINTS,MATCH(A2048,CATALOG_TASK,0)),""))</f>
        <v>2</v>
      </c>
      <c r="D2048" s="10" t="s">
        <v>1324</v>
      </c>
      <c r="E2048" s="41" t="str">
        <f t="shared" si="1"/>
        <v>PROX5</v>
      </c>
    </row>
    <row r="2049" ht="15.75" customHeight="1">
      <c r="A2049" s="10" t="s">
        <v>37</v>
      </c>
      <c r="B2049" s="10" t="s">
        <v>117</v>
      </c>
      <c r="C2049" s="41">
        <f t="array" ref="C2049">IF(IFERROR(INDEX(CATALOG_POINTS,MATCH(A2049,CATALOG_TASK,0)),"")="",IF(MAX(IF(IFERROR(FIND(CATALOG_BASE,A2049),0)=1,CATALOG_POINTS,0))=0,DAILY_POST_POINTS,MAX(IF(IFERROR(FIND(CATALOG_BASE,A2049),0)=1,CATALOG_POINTS,0))),IFERROR(INDEX(CATALOG_POINTS,MATCH(A2049,CATALOG_TASK,0)),""))</f>
        <v>2</v>
      </c>
      <c r="D2049" s="10" t="s">
        <v>1324</v>
      </c>
      <c r="E2049" s="41" t="str">
        <f t="shared" si="1"/>
        <v>PROX5</v>
      </c>
    </row>
    <row r="2050" ht="15.75" customHeight="1">
      <c r="A2050" s="10" t="s">
        <v>37</v>
      </c>
      <c r="B2050" s="10" t="s">
        <v>125</v>
      </c>
      <c r="C2050" s="41">
        <f t="array" ref="C2050">IF(IFERROR(INDEX(CATALOG_POINTS,MATCH(A2050,CATALOG_TASK,0)),"")="",IF(MAX(IF(IFERROR(FIND(CATALOG_BASE,A2050),0)=1,CATALOG_POINTS,0))=0,DAILY_POST_POINTS,MAX(IF(IFERROR(FIND(CATALOG_BASE,A2050),0)=1,CATALOG_POINTS,0))),IFERROR(INDEX(CATALOG_POINTS,MATCH(A2050,CATALOG_TASK,0)),""))</f>
        <v>2</v>
      </c>
      <c r="D2050" s="10" t="s">
        <v>1324</v>
      </c>
      <c r="E2050" s="41" t="str">
        <f t="shared" si="1"/>
        <v>PROX5</v>
      </c>
    </row>
    <row r="2051" ht="15.75" customHeight="1">
      <c r="A2051" s="10" t="s">
        <v>168</v>
      </c>
      <c r="B2051" s="10" t="s">
        <v>125</v>
      </c>
      <c r="C2051" s="41">
        <f t="array" ref="C2051">IF(IFERROR(INDEX(CATALOG_POINTS,MATCH(A2051,CATALOG_TASK,0)),"")="",IF(MAX(IF(IFERROR(FIND(CATALOG_BASE,A2051),0)=1,CATALOG_POINTS,0))=0,DAILY_POST_POINTS,MAX(IF(IFERROR(FIND(CATALOG_BASE,A2051),0)=1,CATALOG_POINTS,0))),IFERROR(INDEX(CATALOG_POINTS,MATCH(A2051,CATALOG_TASK,0)),""))</f>
        <v>1</v>
      </c>
      <c r="D2051" s="10" t="s">
        <v>1324</v>
      </c>
      <c r="E2051" s="41" t="str">
        <f t="shared" si="1"/>
        <v>PROX5</v>
      </c>
    </row>
    <row r="2052" ht="15.75" customHeight="1">
      <c r="A2052" s="10" t="s">
        <v>37</v>
      </c>
      <c r="B2052" s="10" t="s">
        <v>117</v>
      </c>
      <c r="C2052" s="41">
        <f t="array" ref="C2052">IF(IFERROR(INDEX(CATALOG_POINTS,MATCH(A2052,CATALOG_TASK,0)),"")="",IF(MAX(IF(IFERROR(FIND(CATALOG_BASE,A2052),0)=1,CATALOG_POINTS,0))=0,DAILY_POST_POINTS,MAX(IF(IFERROR(FIND(CATALOG_BASE,A2052),0)=1,CATALOG_POINTS,0))),IFERROR(INDEX(CATALOG_POINTS,MATCH(A2052,CATALOG_TASK,0)),""))</f>
        <v>2</v>
      </c>
      <c r="D2052" s="10" t="s">
        <v>1324</v>
      </c>
      <c r="E2052" s="41" t="str">
        <f t="shared" si="1"/>
        <v>PROX5</v>
      </c>
    </row>
    <row r="2053" ht="15.75" customHeight="1">
      <c r="A2053" s="10" t="s">
        <v>37</v>
      </c>
      <c r="B2053" s="10" t="s">
        <v>119</v>
      </c>
      <c r="C2053" s="41">
        <f t="array" ref="C2053">IF(IFERROR(INDEX(CATALOG_POINTS,MATCH(A2053,CATALOG_TASK,0)),"")="",IF(MAX(IF(IFERROR(FIND(CATALOG_BASE,A2053),0)=1,CATALOG_POINTS,0))=0,DAILY_POST_POINTS,MAX(IF(IFERROR(FIND(CATALOG_BASE,A2053),0)=1,CATALOG_POINTS,0))),IFERROR(INDEX(CATALOG_POINTS,MATCH(A2053,CATALOG_TASK,0)),""))</f>
        <v>2</v>
      </c>
      <c r="D2053" s="10" t="s">
        <v>1324</v>
      </c>
      <c r="E2053" s="41" t="str">
        <f t="shared" si="1"/>
        <v>PROX5</v>
      </c>
    </row>
    <row r="2054" ht="15.75" customHeight="1">
      <c r="A2054" s="10" t="s">
        <v>37</v>
      </c>
      <c r="B2054" s="10" t="s">
        <v>126</v>
      </c>
      <c r="C2054" s="41">
        <f t="array" ref="C2054">IF(IFERROR(INDEX(CATALOG_POINTS,MATCH(A2054,CATALOG_TASK,0)),"")="",IF(MAX(IF(IFERROR(FIND(CATALOG_BASE,A2054),0)=1,CATALOG_POINTS,0))=0,DAILY_POST_POINTS,MAX(IF(IFERROR(FIND(CATALOG_BASE,A2054),0)=1,CATALOG_POINTS,0))),IFERROR(INDEX(CATALOG_POINTS,MATCH(A2054,CATALOG_TASK,0)),""))</f>
        <v>2</v>
      </c>
      <c r="D2054" s="10" t="s">
        <v>1324</v>
      </c>
      <c r="E2054" s="41" t="str">
        <f t="shared" si="1"/>
        <v>PROX5</v>
      </c>
    </row>
    <row r="2055" ht="15.75" customHeight="1">
      <c r="A2055" s="10" t="s">
        <v>1324</v>
      </c>
      <c r="B2055" s="10" t="s">
        <v>122</v>
      </c>
      <c r="C2055" s="41">
        <f t="array" ref="C2055">IF(IFERROR(INDEX(CATALOG_POINTS,MATCH(A2055,CATALOG_TASK,0)),"")="",IF(MAX(IF(IFERROR(FIND(CATALOG_BASE,A2055),0)=1,CATALOG_POINTS,0))=0,DAILY_POST_POINTS,MAX(IF(IFERROR(FIND(CATALOG_BASE,A2055),0)=1,CATALOG_POINTS,0))),IFERROR(INDEX(CATALOG_POINTS,MATCH(A2055,CATALOG_TASK,0)),""))</f>
        <v>1</v>
      </c>
      <c r="D2055" s="10" t="s">
        <v>1324</v>
      </c>
      <c r="E2055" s="41" t="str">
        <f t="shared" si="1"/>
        <v>PROX5</v>
      </c>
    </row>
    <row r="2056" ht="15.75" customHeight="1">
      <c r="A2056" s="10" t="s">
        <v>37</v>
      </c>
      <c r="B2056" s="10" t="s">
        <v>117</v>
      </c>
      <c r="C2056" s="41">
        <f t="array" ref="C2056">IF(IFERROR(INDEX(CATALOG_POINTS,MATCH(A2056,CATALOG_TASK,0)),"")="",IF(MAX(IF(IFERROR(FIND(CATALOG_BASE,A2056),0)=1,CATALOG_POINTS,0))=0,DAILY_POST_POINTS,MAX(IF(IFERROR(FIND(CATALOG_BASE,A2056),0)=1,CATALOG_POINTS,0))),IFERROR(INDEX(CATALOG_POINTS,MATCH(A2056,CATALOG_TASK,0)),""))</f>
        <v>2</v>
      </c>
      <c r="D2056" s="10" t="s">
        <v>1325</v>
      </c>
      <c r="E2056" s="41" t="str">
        <f t="shared" si="1"/>
        <v>PROX4</v>
      </c>
    </row>
    <row r="2057" ht="15.75" customHeight="1">
      <c r="A2057" s="10" t="s">
        <v>1325</v>
      </c>
      <c r="B2057" s="10" t="s">
        <v>117</v>
      </c>
      <c r="C2057" s="41">
        <f t="array" ref="C2057">IF(IFERROR(INDEX(CATALOG_POINTS,MATCH(A2057,CATALOG_TASK,0)),"")="",IF(MAX(IF(IFERROR(FIND(CATALOG_BASE,A2057),0)=1,CATALOG_POINTS,0))=0,DAILY_POST_POINTS,MAX(IF(IFERROR(FIND(CATALOG_BASE,A2057),0)=1,CATALOG_POINTS,0))),IFERROR(INDEX(CATALOG_POINTS,MATCH(A2057,CATALOG_TASK,0)),""))</f>
        <v>1</v>
      </c>
      <c r="D2057" s="10" t="s">
        <v>1325</v>
      </c>
      <c r="E2057" s="41" t="str">
        <f t="shared" si="1"/>
        <v>PROX4</v>
      </c>
    </row>
    <row r="2058" ht="15.75" customHeight="1">
      <c r="A2058" s="10" t="s">
        <v>174</v>
      </c>
      <c r="B2058" s="10" t="s">
        <v>123</v>
      </c>
      <c r="C2058" s="41">
        <f t="array" ref="C2058">IF(IFERROR(INDEX(CATALOG_POINTS,MATCH(A2058,CATALOG_TASK,0)),"")="",IF(MAX(IF(IFERROR(FIND(CATALOG_BASE,A2058),0)=1,CATALOG_POINTS,0))=0,DAILY_POST_POINTS,MAX(IF(IFERROR(FIND(CATALOG_BASE,A2058),0)=1,CATALOG_POINTS,0))),IFERROR(INDEX(CATALOG_POINTS,MATCH(A2058,CATALOG_TASK,0)),""))</f>
        <v>1</v>
      </c>
      <c r="D2058" s="10" t="s">
        <v>1325</v>
      </c>
      <c r="E2058" s="41" t="str">
        <f t="shared" si="1"/>
        <v>PROX4</v>
      </c>
    </row>
    <row r="2059" ht="15.75" customHeight="1">
      <c r="A2059" s="10" t="s">
        <v>1326</v>
      </c>
      <c r="B2059" s="10" t="s">
        <v>128</v>
      </c>
      <c r="C2059" s="41">
        <f t="array" ref="C2059">IF(IFERROR(INDEX(CATALOG_POINTS,MATCH(A2059,CATALOG_TASK,0)),"")="",IF(MAX(IF(IFERROR(FIND(CATALOG_BASE,A2059),0)=1,CATALOG_POINTS,0))=0,DAILY_POST_POINTS,MAX(IF(IFERROR(FIND(CATALOG_BASE,A2059),0)=1,CATALOG_POINTS,0))),IFERROR(INDEX(CATALOG_POINTS,MATCH(A2059,CATALOG_TASK,0)),""))</f>
        <v>1</v>
      </c>
      <c r="D2059" s="10" t="s">
        <v>1326</v>
      </c>
      <c r="E2059" s="41" t="str">
        <f t="shared" si="1"/>
        <v>PROX4</v>
      </c>
    </row>
    <row r="2060" ht="15.75" customHeight="1">
      <c r="A2060" s="10" t="s">
        <v>1327</v>
      </c>
      <c r="B2060" s="10" t="s">
        <v>122</v>
      </c>
      <c r="C2060" s="41">
        <f t="array" ref="C2060">IF(IFERROR(INDEX(CATALOG_POINTS,MATCH(A2060,CATALOG_TASK,0)),"")="",IF(MAX(IF(IFERROR(FIND(CATALOG_BASE,A2060),0)=1,CATALOG_POINTS,0))=0,DAILY_POST_POINTS,MAX(IF(IFERROR(FIND(CATALOG_BASE,A2060),0)=1,CATALOG_POINTS,0))),IFERROR(INDEX(CATALOG_POINTS,MATCH(A2060,CATALOG_TASK,0)),""))</f>
        <v>1</v>
      </c>
      <c r="D2060" s="10" t="s">
        <v>1327</v>
      </c>
      <c r="E2060" s="41" t="str">
        <f t="shared" si="1"/>
        <v>SE1</v>
      </c>
    </row>
    <row r="2061" ht="15.75" customHeight="1">
      <c r="A2061" s="10" t="s">
        <v>1328</v>
      </c>
      <c r="B2061" s="10" t="s">
        <v>129</v>
      </c>
      <c r="C2061" s="41">
        <f t="array" ref="C2061">IF(IFERROR(INDEX(CATALOG_POINTS,MATCH(A2061,CATALOG_TASK,0)),"")="",IF(MAX(IF(IFERROR(FIND(CATALOG_BASE,A2061),0)=1,CATALOG_POINTS,0))=0,DAILY_POST_POINTS,MAX(IF(IFERROR(FIND(CATALOG_BASE,A2061),0)=1,CATALOG_POINTS,0))),IFERROR(INDEX(CATALOG_POINTS,MATCH(A2061,CATALOG_TASK,0)),""))</f>
        <v>1</v>
      </c>
      <c r="D2061" s="10" t="s">
        <v>1328</v>
      </c>
      <c r="E2061" s="41" t="str">
        <f t="shared" si="1"/>
        <v/>
      </c>
    </row>
    <row r="2062" ht="15.75" customHeight="1">
      <c r="A2062" s="10" t="s">
        <v>37</v>
      </c>
      <c r="B2062" s="10" t="s">
        <v>117</v>
      </c>
      <c r="C2062" s="41">
        <f t="array" ref="C2062">IF(IFERROR(INDEX(CATALOG_POINTS,MATCH(A2062,CATALOG_TASK,0)),"")="",IF(MAX(IF(IFERROR(FIND(CATALOG_BASE,A2062),0)=1,CATALOG_POINTS,0))=0,DAILY_POST_POINTS,MAX(IF(IFERROR(FIND(CATALOG_BASE,A2062),0)=1,CATALOG_POINTS,0))),IFERROR(INDEX(CATALOG_POINTS,MATCH(A2062,CATALOG_TASK,0)),""))</f>
        <v>2</v>
      </c>
      <c r="D2062" s="10" t="s">
        <v>1328</v>
      </c>
      <c r="E2062" s="41" t="str">
        <f t="shared" si="1"/>
        <v/>
      </c>
    </row>
    <row r="2063" ht="15.75" customHeight="1">
      <c r="A2063" s="10" t="s">
        <v>1329</v>
      </c>
      <c r="B2063" s="10" t="s">
        <v>119</v>
      </c>
      <c r="C2063" s="41">
        <f t="array" ref="C2063">IF(IFERROR(INDEX(CATALOG_POINTS,MATCH(A2063,CATALOG_TASK,0)),"")="",IF(MAX(IF(IFERROR(FIND(CATALOG_BASE,A2063),0)=1,CATALOG_POINTS,0))=0,DAILY_POST_POINTS,MAX(IF(IFERROR(FIND(CATALOG_BASE,A2063),0)=1,CATALOG_POINTS,0))),IFERROR(INDEX(CATALOG_POINTS,MATCH(A2063,CATALOG_TASK,0)),""))</f>
        <v>1</v>
      </c>
      <c r="D2063" s="10" t="s">
        <v>1329</v>
      </c>
      <c r="E2063" s="41" t="str">
        <f t="shared" si="1"/>
        <v>PROX3</v>
      </c>
    </row>
    <row r="2064" ht="15.75" customHeight="1">
      <c r="A2064" s="10" t="s">
        <v>1330</v>
      </c>
      <c r="B2064" s="10" t="s">
        <v>124</v>
      </c>
      <c r="C2064" s="41">
        <f t="array" ref="C2064">IF(IFERROR(INDEX(CATALOG_POINTS,MATCH(A2064,CATALOG_TASK,0)),"")="",IF(MAX(IF(IFERROR(FIND(CATALOG_BASE,A2064),0)=1,CATALOG_POINTS,0))=0,DAILY_POST_POINTS,MAX(IF(IFERROR(FIND(CATALOG_BASE,A2064),0)=1,CATALOG_POINTS,0))),IFERROR(INDEX(CATALOG_POINTS,MATCH(A2064,CATALOG_TASK,0)),""))</f>
        <v>1</v>
      </c>
      <c r="D2064" s="10" t="s">
        <v>1330</v>
      </c>
      <c r="E2064" s="41" t="str">
        <f t="shared" si="1"/>
        <v>PROX3</v>
      </c>
    </row>
    <row r="2065" ht="15.75" customHeight="1">
      <c r="A2065" s="10" t="s">
        <v>1331</v>
      </c>
      <c r="B2065" s="10" t="s">
        <v>125</v>
      </c>
      <c r="C2065" s="41">
        <f t="array" ref="C2065">IF(IFERROR(INDEX(CATALOG_POINTS,MATCH(A2065,CATALOG_TASK,0)),"")="",IF(MAX(IF(IFERROR(FIND(CATALOG_BASE,A2065),0)=1,CATALOG_POINTS,0))=0,DAILY_POST_POINTS,MAX(IF(IFERROR(FIND(CATALOG_BASE,A2065),0)=1,CATALOG_POINTS,0))),IFERROR(INDEX(CATALOG_POINTS,MATCH(A2065,CATALOG_TASK,0)),""))</f>
        <v>1</v>
      </c>
      <c r="D2065" s="10" t="s">
        <v>1331</v>
      </c>
      <c r="E2065" s="41" t="str">
        <f t="shared" si="1"/>
        <v>PROX3</v>
      </c>
    </row>
    <row r="2066" ht="15.75" customHeight="1">
      <c r="A2066" s="10" t="s">
        <v>37</v>
      </c>
      <c r="B2066" s="10" t="s">
        <v>125</v>
      </c>
      <c r="C2066" s="41">
        <f t="array" ref="C2066">IF(IFERROR(INDEX(CATALOG_POINTS,MATCH(A2066,CATALOG_TASK,0)),"")="",IF(MAX(IF(IFERROR(FIND(CATALOG_BASE,A2066),0)=1,CATALOG_POINTS,0))=0,DAILY_POST_POINTS,MAX(IF(IFERROR(FIND(CATALOG_BASE,A2066),0)=1,CATALOG_POINTS,0))),IFERROR(INDEX(CATALOG_POINTS,MATCH(A2066,CATALOG_TASK,0)),""))</f>
        <v>2</v>
      </c>
      <c r="D2066" s="10" t="s">
        <v>1331</v>
      </c>
      <c r="E2066" s="41" t="str">
        <f t="shared" si="1"/>
        <v>PROX3</v>
      </c>
    </row>
    <row r="2067" ht="15.75" customHeight="1">
      <c r="A2067" s="10" t="s">
        <v>1332</v>
      </c>
      <c r="B2067" s="10" t="s">
        <v>117</v>
      </c>
      <c r="C2067" s="41">
        <f t="array" ref="C2067">IF(IFERROR(INDEX(CATALOG_POINTS,MATCH(A2067,CATALOG_TASK,0)),"")="",IF(MAX(IF(IFERROR(FIND(CATALOG_BASE,A2067),0)=1,CATALOG_POINTS,0))=0,DAILY_POST_POINTS,MAX(IF(IFERROR(FIND(CATALOG_BASE,A2067),0)=1,CATALOG_POINTS,0))),IFERROR(INDEX(CATALOG_POINTS,MATCH(A2067,CATALOG_TASK,0)),""))</f>
        <v>1</v>
      </c>
      <c r="D2067" s="10" t="s">
        <v>1332</v>
      </c>
      <c r="E2067" s="41" t="str">
        <f t="shared" si="1"/>
        <v>PROX3</v>
      </c>
    </row>
    <row r="2068" ht="15.75" customHeight="1">
      <c r="A2068" s="10" t="s">
        <v>1333</v>
      </c>
      <c r="B2068" s="10" t="s">
        <v>120</v>
      </c>
      <c r="C2068" s="41">
        <f t="array" ref="C2068">IF(IFERROR(INDEX(CATALOG_POINTS,MATCH(A2068,CATALOG_TASK,0)),"")="",IF(MAX(IF(IFERROR(FIND(CATALOG_BASE,A2068),0)=1,CATALOG_POINTS,0))=0,DAILY_POST_POINTS,MAX(IF(IFERROR(FIND(CATALOG_BASE,A2068),0)=1,CATALOG_POINTS,0))),IFERROR(INDEX(CATALOG_POINTS,MATCH(A2068,CATALOG_TASK,0)),""))</f>
        <v>1</v>
      </c>
      <c r="D2068" s="10" t="s">
        <v>1333</v>
      </c>
      <c r="E2068" s="41" t="str">
        <f t="shared" si="1"/>
        <v>PROX3</v>
      </c>
    </row>
    <row r="2069" ht="15.75" customHeight="1">
      <c r="A2069" s="10" t="s">
        <v>178</v>
      </c>
      <c r="B2069" s="10" t="s">
        <v>126</v>
      </c>
      <c r="C2069" s="41">
        <f t="array" ref="C2069">IF(IFERROR(INDEX(CATALOG_POINTS,MATCH(A2069,CATALOG_TASK,0)),"")="",IF(MAX(IF(IFERROR(FIND(CATALOG_BASE,A2069),0)=1,CATALOG_POINTS,0))=0,DAILY_POST_POINTS,MAX(IF(IFERROR(FIND(CATALOG_BASE,A2069),0)=1,CATALOG_POINTS,0))),IFERROR(INDEX(CATALOG_POINTS,MATCH(A2069,CATALOG_TASK,0)),""))</f>
        <v>1</v>
      </c>
      <c r="D2069" s="10" t="s">
        <v>1334</v>
      </c>
      <c r="E2069" s="41" t="str">
        <f t="shared" si="1"/>
        <v>PROX3</v>
      </c>
    </row>
    <row r="2070" ht="15.75" customHeight="1">
      <c r="A2070" s="10" t="s">
        <v>55</v>
      </c>
      <c r="B2070" s="10" t="s">
        <v>151</v>
      </c>
      <c r="C2070" s="41">
        <f t="array" ref="C2070">IF(IFERROR(INDEX(CATALOG_POINTS,MATCH(A2070,CATALOG_TASK,0)),"")="",IF(MAX(IF(IFERROR(FIND(CATALOG_BASE,A2070),0)=1,CATALOG_POINTS,0))=0,DAILY_POST_POINTS,MAX(IF(IFERROR(FIND(CATALOG_BASE,A2070),0)=1,CATALOG_POINTS,0))),IFERROR(INDEX(CATALOG_POINTS,MATCH(A2070,CATALOG_TASK,0)),""))</f>
        <v>8</v>
      </c>
      <c r="D2070" s="10" t="s">
        <v>1334</v>
      </c>
      <c r="E2070" s="41" t="str">
        <f t="shared" si="1"/>
        <v>PROX3</v>
      </c>
    </row>
    <row r="2071" ht="15.75" customHeight="1">
      <c r="A2071" s="10" t="s">
        <v>1334</v>
      </c>
      <c r="B2071" s="10" t="s">
        <v>120</v>
      </c>
      <c r="C2071" s="41">
        <f t="array" ref="C2071">IF(IFERROR(INDEX(CATALOG_POINTS,MATCH(A2071,CATALOG_TASK,0)),"")="",IF(MAX(IF(IFERROR(FIND(CATALOG_BASE,A2071),0)=1,CATALOG_POINTS,0))=0,DAILY_POST_POINTS,MAX(IF(IFERROR(FIND(CATALOG_BASE,A2071),0)=1,CATALOG_POINTS,0))),IFERROR(INDEX(CATALOG_POINTS,MATCH(A2071,CATALOG_TASK,0)),""))</f>
        <v>1</v>
      </c>
      <c r="D2071" s="10" t="s">
        <v>1334</v>
      </c>
      <c r="E2071" s="41" t="str">
        <f t="shared" si="1"/>
        <v>PROX3</v>
      </c>
    </row>
    <row r="2072" ht="15.75" customHeight="1">
      <c r="A2072" s="10" t="s">
        <v>174</v>
      </c>
      <c r="B2072" s="10" t="s">
        <v>123</v>
      </c>
      <c r="C2072" s="41">
        <f t="array" ref="C2072">IF(IFERROR(INDEX(CATALOG_POINTS,MATCH(A2072,CATALOG_TASK,0)),"")="",IF(MAX(IF(IFERROR(FIND(CATALOG_BASE,A2072),0)=1,CATALOG_POINTS,0))=0,DAILY_POST_POINTS,MAX(IF(IFERROR(FIND(CATALOG_BASE,A2072),0)=1,CATALOG_POINTS,0))),IFERROR(INDEX(CATALOG_POINTS,MATCH(A2072,CATALOG_TASK,0)),""))</f>
        <v>1</v>
      </c>
      <c r="D2072" s="10" t="s">
        <v>1335</v>
      </c>
      <c r="E2072" s="41" t="str">
        <f t="shared" si="1"/>
        <v>PROX5</v>
      </c>
    </row>
    <row r="2073" ht="15.75" customHeight="1">
      <c r="A2073" s="10" t="s">
        <v>1336</v>
      </c>
      <c r="B2073" s="10" t="s">
        <v>123</v>
      </c>
      <c r="C2073" s="41">
        <f t="array" ref="C2073">IF(IFERROR(INDEX(CATALOG_POINTS,MATCH(A2073,CATALOG_TASK,0)),"")="",IF(MAX(IF(IFERROR(FIND(CATALOG_BASE,A2073),0)=1,CATALOG_POINTS,0))=0,DAILY_POST_POINTS,MAX(IF(IFERROR(FIND(CATALOG_BASE,A2073),0)=1,CATALOG_POINTS,0))),IFERROR(INDEX(CATALOG_POINTS,MATCH(A2073,CATALOG_TASK,0)),""))</f>
        <v>1</v>
      </c>
      <c r="D2073" s="10" t="s">
        <v>1336</v>
      </c>
      <c r="E2073" s="41" t="str">
        <f t="shared" si="1"/>
        <v>PROX3</v>
      </c>
    </row>
    <row r="2074" ht="15.75" customHeight="1">
      <c r="A2074" s="10" t="s">
        <v>178</v>
      </c>
      <c r="B2074" s="10" t="s">
        <v>123</v>
      </c>
      <c r="C2074" s="41">
        <f t="array" ref="C2074">IF(IFERROR(INDEX(CATALOG_POINTS,MATCH(A2074,CATALOG_TASK,0)),"")="",IF(MAX(IF(IFERROR(FIND(CATALOG_BASE,A2074),0)=1,CATALOG_POINTS,0))=0,DAILY_POST_POINTS,MAX(IF(IFERROR(FIND(CATALOG_BASE,A2074),0)=1,CATALOG_POINTS,0))),IFERROR(INDEX(CATALOG_POINTS,MATCH(A2074,CATALOG_TASK,0)),""))</f>
        <v>1</v>
      </c>
      <c r="D2074" s="10" t="s">
        <v>1336</v>
      </c>
      <c r="E2074" s="41" t="str">
        <f t="shared" si="1"/>
        <v>PROX3</v>
      </c>
    </row>
    <row r="2075" ht="15.75" customHeight="1">
      <c r="A2075" s="10" t="s">
        <v>1337</v>
      </c>
      <c r="B2075" s="10" t="s">
        <v>132</v>
      </c>
      <c r="C2075" s="41">
        <f t="array" ref="C2075">IF(IFERROR(INDEX(CATALOG_POINTS,MATCH(A2075,CATALOG_TASK,0)),"")="",IF(MAX(IF(IFERROR(FIND(CATALOG_BASE,A2075),0)=1,CATALOG_POINTS,0))=0,DAILY_POST_POINTS,MAX(IF(IFERROR(FIND(CATALOG_BASE,A2075),0)=1,CATALOG_POINTS,0))),IFERROR(INDEX(CATALOG_POINTS,MATCH(A2075,CATALOG_TASK,0)),""))</f>
        <v>1</v>
      </c>
      <c r="D2075" s="10" t="s">
        <v>1337</v>
      </c>
      <c r="E2075" s="41" t="str">
        <f t="shared" si="1"/>
        <v>PROX3</v>
      </c>
    </row>
    <row r="2076" ht="15.75" customHeight="1">
      <c r="A2076" s="10" t="s">
        <v>37</v>
      </c>
      <c r="B2076" s="10" t="s">
        <v>123</v>
      </c>
      <c r="C2076" s="41">
        <f t="array" ref="C2076">IF(IFERROR(INDEX(CATALOG_POINTS,MATCH(A2076,CATALOG_TASK,0)),"")="",IF(MAX(IF(IFERROR(FIND(CATALOG_BASE,A2076),0)=1,CATALOG_POINTS,0))=0,DAILY_POST_POINTS,MAX(IF(IFERROR(FIND(CATALOG_BASE,A2076),0)=1,CATALOG_POINTS,0))),IFERROR(INDEX(CATALOG_POINTS,MATCH(A2076,CATALOG_TASK,0)),""))</f>
        <v>2</v>
      </c>
      <c r="D2076" s="10" t="s">
        <v>1337</v>
      </c>
      <c r="E2076" s="41" t="str">
        <f t="shared" si="1"/>
        <v>PROX3</v>
      </c>
    </row>
    <row r="2077" ht="15.75" customHeight="1">
      <c r="A2077" s="10" t="s">
        <v>1338</v>
      </c>
      <c r="B2077" s="10" t="s">
        <v>133</v>
      </c>
      <c r="C2077" s="41">
        <f t="array" ref="C2077">IF(IFERROR(INDEX(CATALOG_POINTS,MATCH(A2077,CATALOG_TASK,0)),"")="",IF(MAX(IF(IFERROR(FIND(CATALOG_BASE,A2077),0)=1,CATALOG_POINTS,0))=0,DAILY_POST_POINTS,MAX(IF(IFERROR(FIND(CATALOG_BASE,A2077),0)=1,CATALOG_POINTS,0))),IFERROR(INDEX(CATALOG_POINTS,MATCH(A2077,CATALOG_TASK,0)),""))</f>
        <v>1</v>
      </c>
      <c r="D2077" s="10" t="s">
        <v>1338</v>
      </c>
      <c r="E2077" s="41" t="str">
        <f t="shared" si="1"/>
        <v>PROX3</v>
      </c>
    </row>
    <row r="2078" ht="15.75" customHeight="1">
      <c r="A2078" s="10" t="s">
        <v>168</v>
      </c>
      <c r="B2078" s="10" t="s">
        <v>121</v>
      </c>
      <c r="C2078" s="41">
        <f t="array" ref="C2078">IF(IFERROR(INDEX(CATALOG_POINTS,MATCH(A2078,CATALOG_TASK,0)),"")="",IF(MAX(IF(IFERROR(FIND(CATALOG_BASE,A2078),0)=1,CATALOG_POINTS,0))=0,DAILY_POST_POINTS,MAX(IF(IFERROR(FIND(CATALOG_BASE,A2078),0)=1,CATALOG_POINTS,0))),IFERROR(INDEX(CATALOG_POINTS,MATCH(A2078,CATALOG_TASK,0)),""))</f>
        <v>1</v>
      </c>
      <c r="D2078" s="10" t="s">
        <v>1339</v>
      </c>
      <c r="E2078" s="41" t="str">
        <f t="shared" si="1"/>
        <v>PROX3</v>
      </c>
    </row>
    <row r="2079" ht="15.75" customHeight="1">
      <c r="A2079" s="10" t="s">
        <v>34</v>
      </c>
      <c r="B2079" s="10" t="s">
        <v>121</v>
      </c>
      <c r="C2079" s="41">
        <f t="array" ref="C2079">IF(IFERROR(INDEX(CATALOG_POINTS,MATCH(A2079,CATALOG_TASK,0)),"")="",IF(MAX(IF(IFERROR(FIND(CATALOG_BASE,A2079),0)=1,CATALOG_POINTS,0))=0,DAILY_POST_POINTS,MAX(IF(IFERROR(FIND(CATALOG_BASE,A2079),0)=1,CATALOG_POINTS,0))),IFERROR(INDEX(CATALOG_POINTS,MATCH(A2079,CATALOG_TASK,0)),""))</f>
        <v>2</v>
      </c>
      <c r="D2079" s="10" t="s">
        <v>1339</v>
      </c>
      <c r="E2079" s="41" t="str">
        <f t="shared" si="1"/>
        <v>PROX3</v>
      </c>
    </row>
    <row r="2080" ht="15.75" customHeight="1">
      <c r="A2080" s="10" t="s">
        <v>34</v>
      </c>
      <c r="B2080" s="10" t="s">
        <v>121</v>
      </c>
      <c r="C2080" s="41">
        <f t="array" ref="C2080">IF(IFERROR(INDEX(CATALOG_POINTS,MATCH(A2080,CATALOG_TASK,0)),"")="",IF(MAX(IF(IFERROR(FIND(CATALOG_BASE,A2080),0)=1,CATALOG_POINTS,0))=0,DAILY_POST_POINTS,MAX(IF(IFERROR(FIND(CATALOG_BASE,A2080),0)=1,CATALOG_POINTS,0))),IFERROR(INDEX(CATALOG_POINTS,MATCH(A2080,CATALOG_TASK,0)),""))</f>
        <v>2</v>
      </c>
      <c r="D2080" s="10" t="s">
        <v>1339</v>
      </c>
      <c r="E2080" s="41" t="str">
        <f t="shared" si="1"/>
        <v>PROX3</v>
      </c>
    </row>
    <row r="2081" ht="15.75" customHeight="1">
      <c r="A2081" s="10" t="s">
        <v>168</v>
      </c>
      <c r="B2081" s="10" t="s">
        <v>121</v>
      </c>
      <c r="C2081" s="41">
        <f t="array" ref="C2081">IF(IFERROR(INDEX(CATALOG_POINTS,MATCH(A2081,CATALOG_TASK,0)),"")="",IF(MAX(IF(IFERROR(FIND(CATALOG_BASE,A2081),0)=1,CATALOG_POINTS,0))=0,DAILY_POST_POINTS,MAX(IF(IFERROR(FIND(CATALOG_BASE,A2081),0)=1,CATALOG_POINTS,0))),IFERROR(INDEX(CATALOG_POINTS,MATCH(A2081,CATALOG_TASK,0)),""))</f>
        <v>1</v>
      </c>
      <c r="D2081" s="10" t="s">
        <v>1339</v>
      </c>
      <c r="E2081" s="41" t="str">
        <f t="shared" si="1"/>
        <v>PROX3</v>
      </c>
    </row>
    <row r="2082" ht="15.75" customHeight="1">
      <c r="A2082" s="10" t="s">
        <v>168</v>
      </c>
      <c r="B2082" s="10" t="s">
        <v>121</v>
      </c>
      <c r="C2082" s="41">
        <f t="array" ref="C2082">IF(IFERROR(INDEX(CATALOG_POINTS,MATCH(A2082,CATALOG_TASK,0)),"")="",IF(MAX(IF(IFERROR(FIND(CATALOG_BASE,A2082),0)=1,CATALOG_POINTS,0))=0,DAILY_POST_POINTS,MAX(IF(IFERROR(FIND(CATALOG_BASE,A2082),0)=1,CATALOG_POINTS,0))),IFERROR(INDEX(CATALOG_POINTS,MATCH(A2082,CATALOG_TASK,0)),""))</f>
        <v>1</v>
      </c>
      <c r="D2082" s="10" t="s">
        <v>1339</v>
      </c>
      <c r="E2082" s="41" t="str">
        <f t="shared" si="1"/>
        <v>PROX3</v>
      </c>
    </row>
    <row r="2083" ht="15.75" customHeight="1">
      <c r="A2083" s="10" t="s">
        <v>1339</v>
      </c>
      <c r="B2083" s="10" t="s">
        <v>127</v>
      </c>
      <c r="C2083" s="41">
        <f t="array" ref="C2083">IF(IFERROR(INDEX(CATALOG_POINTS,MATCH(A2083,CATALOG_TASK,0)),"")="",IF(MAX(IF(IFERROR(FIND(CATALOG_BASE,A2083),0)=1,CATALOG_POINTS,0))=0,DAILY_POST_POINTS,MAX(IF(IFERROR(FIND(CATALOG_BASE,A2083),0)=1,CATALOG_POINTS,0))),IFERROR(INDEX(CATALOG_POINTS,MATCH(A2083,CATALOG_TASK,0)),""))</f>
        <v>1</v>
      </c>
      <c r="D2083" s="10" t="s">
        <v>1339</v>
      </c>
      <c r="E2083" s="41" t="str">
        <f t="shared" si="1"/>
        <v>PROX3</v>
      </c>
    </row>
    <row r="2084" ht="15.75" customHeight="1">
      <c r="A2084" s="10" t="s">
        <v>174</v>
      </c>
      <c r="B2084" s="10" t="s">
        <v>149</v>
      </c>
      <c r="C2084" s="41">
        <f t="array" ref="C2084">IF(IFERROR(INDEX(CATALOG_POINTS,MATCH(A2084,CATALOG_TASK,0)),"")="",IF(MAX(IF(IFERROR(FIND(CATALOG_BASE,A2084),0)=1,CATALOG_POINTS,0))=0,DAILY_POST_POINTS,MAX(IF(IFERROR(FIND(CATALOG_BASE,A2084),0)=1,CATALOG_POINTS,0))),IFERROR(INDEX(CATALOG_POINTS,MATCH(A2084,CATALOG_TASK,0)),""))</f>
        <v>1</v>
      </c>
      <c r="D2084" s="10" t="s">
        <v>1339</v>
      </c>
      <c r="E2084" s="41" t="str">
        <f t="shared" si="1"/>
        <v>PROX3</v>
      </c>
    </row>
    <row r="2085" ht="15.75" customHeight="1">
      <c r="A2085" s="10" t="s">
        <v>34</v>
      </c>
      <c r="B2085" s="10" t="s">
        <v>119</v>
      </c>
      <c r="C2085" s="41">
        <f t="array" ref="C2085">IF(IFERROR(INDEX(CATALOG_POINTS,MATCH(A2085,CATALOG_TASK,0)),"")="",IF(MAX(IF(IFERROR(FIND(CATALOG_BASE,A2085),0)=1,CATALOG_POINTS,0))=0,DAILY_POST_POINTS,MAX(IF(IFERROR(FIND(CATALOG_BASE,A2085),0)=1,CATALOG_POINTS,0))),IFERROR(INDEX(CATALOG_POINTS,MATCH(A2085,CATALOG_TASK,0)),""))</f>
        <v>2</v>
      </c>
      <c r="D2085" s="10" t="s">
        <v>1340</v>
      </c>
      <c r="E2085" s="41" t="str">
        <f t="shared" si="1"/>
        <v>PROX3</v>
      </c>
    </row>
    <row r="2086" ht="15.75" customHeight="1">
      <c r="A2086" s="10" t="s">
        <v>1340</v>
      </c>
      <c r="B2086" s="10" t="s">
        <v>127</v>
      </c>
      <c r="C2086" s="41">
        <f t="array" ref="C2086">IF(IFERROR(INDEX(CATALOG_POINTS,MATCH(A2086,CATALOG_TASK,0)),"")="",IF(MAX(IF(IFERROR(FIND(CATALOG_BASE,A2086),0)=1,CATALOG_POINTS,0))=0,DAILY_POST_POINTS,MAX(IF(IFERROR(FIND(CATALOG_BASE,A2086),0)=1,CATALOG_POINTS,0))),IFERROR(INDEX(CATALOG_POINTS,MATCH(A2086,CATALOG_TASK,0)),""))</f>
        <v>1</v>
      </c>
      <c r="D2086" s="10" t="s">
        <v>1340</v>
      </c>
      <c r="E2086" s="41" t="str">
        <f t="shared" si="1"/>
        <v>PROX3</v>
      </c>
    </row>
    <row r="2087" ht="15.75" customHeight="1">
      <c r="A2087" s="10" t="s">
        <v>168</v>
      </c>
      <c r="B2087" s="10" t="s">
        <v>119</v>
      </c>
      <c r="C2087" s="41">
        <f t="array" ref="C2087">IF(IFERROR(INDEX(CATALOG_POINTS,MATCH(A2087,CATALOG_TASK,0)),"")="",IF(MAX(IF(IFERROR(FIND(CATALOG_BASE,A2087),0)=1,CATALOG_POINTS,0))=0,DAILY_POST_POINTS,MAX(IF(IFERROR(FIND(CATALOG_BASE,A2087),0)=1,CATALOG_POINTS,0))),IFERROR(INDEX(CATALOG_POINTS,MATCH(A2087,CATALOG_TASK,0)),""))</f>
        <v>1</v>
      </c>
      <c r="D2087" s="10" t="s">
        <v>1340</v>
      </c>
      <c r="E2087" s="41" t="str">
        <f t="shared" si="1"/>
        <v>PROX3</v>
      </c>
    </row>
    <row r="2088" ht="15.75" customHeight="1">
      <c r="A2088" s="10" t="s">
        <v>168</v>
      </c>
      <c r="B2088" s="10" t="s">
        <v>119</v>
      </c>
      <c r="C2088" s="41">
        <f t="array" ref="C2088">IF(IFERROR(INDEX(CATALOG_POINTS,MATCH(A2088,CATALOG_TASK,0)),"")="",IF(MAX(IF(IFERROR(FIND(CATALOG_BASE,A2088),0)=1,CATALOG_POINTS,0))=0,DAILY_POST_POINTS,MAX(IF(IFERROR(FIND(CATALOG_BASE,A2088),0)=1,CATALOG_POINTS,0))),IFERROR(INDEX(CATALOG_POINTS,MATCH(A2088,CATALOG_TASK,0)),""))</f>
        <v>1</v>
      </c>
      <c r="D2088" s="10" t="s">
        <v>1340</v>
      </c>
      <c r="E2088" s="41" t="str">
        <f t="shared" si="1"/>
        <v>PROX3</v>
      </c>
    </row>
    <row r="2089" ht="15.75" customHeight="1">
      <c r="A2089" s="10" t="s">
        <v>174</v>
      </c>
      <c r="B2089" s="10" t="s">
        <v>121</v>
      </c>
      <c r="C2089" s="41">
        <f t="array" ref="C2089">IF(IFERROR(INDEX(CATALOG_POINTS,MATCH(A2089,CATALOG_TASK,0)),"")="",IF(MAX(IF(IFERROR(FIND(CATALOG_BASE,A2089),0)=1,CATALOG_POINTS,0))=0,DAILY_POST_POINTS,MAX(IF(IFERROR(FIND(CATALOG_BASE,A2089),0)=1,CATALOG_POINTS,0))),IFERROR(INDEX(CATALOG_POINTS,MATCH(A2089,CATALOG_TASK,0)),""))</f>
        <v>1</v>
      </c>
      <c r="D2089" s="10" t="s">
        <v>1340</v>
      </c>
      <c r="E2089" s="41" t="str">
        <f t="shared" si="1"/>
        <v>PROX3</v>
      </c>
    </row>
    <row r="2090" ht="15.75" customHeight="1">
      <c r="A2090" s="10" t="s">
        <v>1341</v>
      </c>
      <c r="B2090" s="10" t="s">
        <v>127</v>
      </c>
      <c r="C2090" s="41">
        <f t="array" ref="C2090">IF(IFERROR(INDEX(CATALOG_POINTS,MATCH(A2090,CATALOG_TASK,0)),"")="",IF(MAX(IF(IFERROR(FIND(CATALOG_BASE,A2090),0)=1,CATALOG_POINTS,0))=0,DAILY_POST_POINTS,MAX(IF(IFERROR(FIND(CATALOG_BASE,A2090),0)=1,CATALOG_POINTS,0))),IFERROR(INDEX(CATALOG_POINTS,MATCH(A2090,CATALOG_TASK,0)),""))</f>
        <v>1</v>
      </c>
      <c r="D2090" s="10" t="s">
        <v>1341</v>
      </c>
      <c r="E2090" s="41" t="str">
        <f t="shared" si="1"/>
        <v>PROX3</v>
      </c>
    </row>
    <row r="2091" ht="15.75" customHeight="1">
      <c r="A2091" s="10" t="s">
        <v>34</v>
      </c>
      <c r="B2091" s="10" t="s">
        <v>121</v>
      </c>
      <c r="C2091" s="41">
        <f t="array" ref="C2091">IF(IFERROR(INDEX(CATALOG_POINTS,MATCH(A2091,CATALOG_TASK,0)),"")="",IF(MAX(IF(IFERROR(FIND(CATALOG_BASE,A2091),0)=1,CATALOG_POINTS,0))=0,DAILY_POST_POINTS,MAX(IF(IFERROR(FIND(CATALOG_BASE,A2091),0)=1,CATALOG_POINTS,0))),IFERROR(INDEX(CATALOG_POINTS,MATCH(A2091,CATALOG_TASK,0)),""))</f>
        <v>2</v>
      </c>
      <c r="D2091" s="10" t="s">
        <v>1341</v>
      </c>
      <c r="E2091" s="41" t="str">
        <f t="shared" si="1"/>
        <v>PROX3</v>
      </c>
    </row>
    <row r="2092" ht="15.75" customHeight="1">
      <c r="A2092" s="10" t="s">
        <v>168</v>
      </c>
      <c r="B2092" s="10" t="s">
        <v>121</v>
      </c>
      <c r="C2092" s="41">
        <f t="array" ref="C2092">IF(IFERROR(INDEX(CATALOG_POINTS,MATCH(A2092,CATALOG_TASK,0)),"")="",IF(MAX(IF(IFERROR(FIND(CATALOG_BASE,A2092),0)=1,CATALOG_POINTS,0))=0,DAILY_POST_POINTS,MAX(IF(IFERROR(FIND(CATALOG_BASE,A2092),0)=1,CATALOG_POINTS,0))),IFERROR(INDEX(CATALOG_POINTS,MATCH(A2092,CATALOG_TASK,0)),""))</f>
        <v>1</v>
      </c>
      <c r="D2092" s="10" t="s">
        <v>1341</v>
      </c>
      <c r="E2092" s="41" t="str">
        <f t="shared" si="1"/>
        <v>PROX3</v>
      </c>
    </row>
    <row r="2093" ht="15.75" customHeight="1">
      <c r="A2093" s="10" t="s">
        <v>174</v>
      </c>
      <c r="B2093" s="10" t="s">
        <v>155</v>
      </c>
      <c r="C2093" s="41">
        <f t="array" ref="C2093">IF(IFERROR(INDEX(CATALOG_POINTS,MATCH(A2093,CATALOG_TASK,0)),"")="",IF(MAX(IF(IFERROR(FIND(CATALOG_BASE,A2093),0)=1,CATALOG_POINTS,0))=0,DAILY_POST_POINTS,MAX(IF(IFERROR(FIND(CATALOG_BASE,A2093),0)=1,CATALOG_POINTS,0))),IFERROR(INDEX(CATALOG_POINTS,MATCH(A2093,CATALOG_TASK,0)),""))</f>
        <v>1</v>
      </c>
      <c r="D2093" s="10" t="s">
        <v>1341</v>
      </c>
      <c r="E2093" s="41" t="str">
        <f t="shared" si="1"/>
        <v>PROX3</v>
      </c>
    </row>
    <row r="2094" ht="15.75" customHeight="1">
      <c r="A2094" s="10" t="s">
        <v>168</v>
      </c>
      <c r="B2094" s="10" t="s">
        <v>121</v>
      </c>
      <c r="C2094" s="41">
        <f t="array" ref="C2094">IF(IFERROR(INDEX(CATALOG_POINTS,MATCH(A2094,CATALOG_TASK,0)),"")="",IF(MAX(IF(IFERROR(FIND(CATALOG_BASE,A2094),0)=1,CATALOG_POINTS,0))=0,DAILY_POST_POINTS,MAX(IF(IFERROR(FIND(CATALOG_BASE,A2094),0)=1,CATALOG_POINTS,0))),IFERROR(INDEX(CATALOG_POINTS,MATCH(A2094,CATALOG_TASK,0)),""))</f>
        <v>1</v>
      </c>
      <c r="D2094" s="10" t="s">
        <v>1341</v>
      </c>
      <c r="E2094" s="41" t="str">
        <f t="shared" si="1"/>
        <v>PROX3</v>
      </c>
    </row>
    <row r="2095" ht="15.75" customHeight="1">
      <c r="A2095" s="10" t="s">
        <v>174</v>
      </c>
      <c r="B2095" s="10" t="s">
        <v>122</v>
      </c>
      <c r="C2095" s="41">
        <f t="array" ref="C2095">IF(IFERROR(INDEX(CATALOG_POINTS,MATCH(A2095,CATALOG_TASK,0)),"")="",IF(MAX(IF(IFERROR(FIND(CATALOG_BASE,A2095),0)=1,CATALOG_POINTS,0))=0,DAILY_POST_POINTS,MAX(IF(IFERROR(FIND(CATALOG_BASE,A2095),0)=1,CATALOG_POINTS,0))),IFERROR(INDEX(CATALOG_POINTS,MATCH(A2095,CATALOG_TASK,0)),""))</f>
        <v>1</v>
      </c>
      <c r="D2095" s="10" t="s">
        <v>1341</v>
      </c>
      <c r="E2095" s="41" t="str">
        <f t="shared" si="1"/>
        <v>PROX3</v>
      </c>
    </row>
    <row r="2096" ht="15.75" customHeight="1">
      <c r="A2096" s="10" t="s">
        <v>34</v>
      </c>
      <c r="B2096" s="10" t="s">
        <v>121</v>
      </c>
      <c r="C2096" s="41">
        <f t="array" ref="C2096">IF(IFERROR(INDEX(CATALOG_POINTS,MATCH(A2096,CATALOG_TASK,0)),"")="",IF(MAX(IF(IFERROR(FIND(CATALOG_BASE,A2096),0)=1,CATALOG_POINTS,0))=0,DAILY_POST_POINTS,MAX(IF(IFERROR(FIND(CATALOG_BASE,A2096),0)=1,CATALOG_POINTS,0))),IFERROR(INDEX(CATALOG_POINTS,MATCH(A2096,CATALOG_TASK,0)),""))</f>
        <v>2</v>
      </c>
      <c r="D2096" s="10" t="s">
        <v>1341</v>
      </c>
      <c r="E2096" s="41" t="str">
        <f t="shared" si="1"/>
        <v>PROX3</v>
      </c>
    </row>
    <row r="2097" ht="15.75" customHeight="1">
      <c r="A2097" s="10" t="s">
        <v>168</v>
      </c>
      <c r="B2097" s="10" t="s">
        <v>121</v>
      </c>
      <c r="C2097" s="41">
        <f t="array" ref="C2097">IF(IFERROR(INDEX(CATALOG_POINTS,MATCH(A2097,CATALOG_TASK,0)),"")="",IF(MAX(IF(IFERROR(FIND(CATALOG_BASE,A2097),0)=1,CATALOG_POINTS,0))=0,DAILY_POST_POINTS,MAX(IF(IFERROR(FIND(CATALOG_BASE,A2097),0)=1,CATALOG_POINTS,0))),IFERROR(INDEX(CATALOG_POINTS,MATCH(A2097,CATALOG_TASK,0)),""))</f>
        <v>1</v>
      </c>
      <c r="D2097" s="10" t="s">
        <v>1341</v>
      </c>
      <c r="E2097" s="41" t="str">
        <f t="shared" si="1"/>
        <v>PROX3</v>
      </c>
    </row>
    <row r="2098" ht="15.75" customHeight="1">
      <c r="A2098" s="10" t="s">
        <v>1342</v>
      </c>
      <c r="B2098" s="10" t="s">
        <v>120</v>
      </c>
      <c r="C2098" s="41">
        <f t="array" ref="C2098">IF(IFERROR(INDEX(CATALOG_POINTS,MATCH(A2098,CATALOG_TASK,0)),"")="",IF(MAX(IF(IFERROR(FIND(CATALOG_BASE,A2098),0)=1,CATALOG_POINTS,0))=0,DAILY_POST_POINTS,MAX(IF(IFERROR(FIND(CATALOG_BASE,A2098),0)=1,CATALOG_POINTS,0))),IFERROR(INDEX(CATALOG_POINTS,MATCH(A2098,CATALOG_TASK,0)),""))</f>
        <v>1</v>
      </c>
      <c r="D2098" s="10" t="s">
        <v>1342</v>
      </c>
      <c r="E2098" s="41" t="str">
        <f t="shared" si="1"/>
        <v>PROX3</v>
      </c>
    </row>
    <row r="2099" ht="15.75" customHeight="1">
      <c r="A2099" s="10" t="s">
        <v>55</v>
      </c>
      <c r="B2099" s="10" t="s">
        <v>151</v>
      </c>
      <c r="C2099" s="41">
        <f t="array" ref="C2099">IF(IFERROR(INDEX(CATALOG_POINTS,MATCH(A2099,CATALOG_TASK,0)),"")="",IF(MAX(IF(IFERROR(FIND(CATALOG_BASE,A2099),0)=1,CATALOG_POINTS,0))=0,DAILY_POST_POINTS,MAX(IF(IFERROR(FIND(CATALOG_BASE,A2099),0)=1,CATALOG_POINTS,0))),IFERROR(INDEX(CATALOG_POINTS,MATCH(A2099,CATALOG_TASK,0)),""))</f>
        <v>8</v>
      </c>
      <c r="D2099" s="10" t="s">
        <v>1343</v>
      </c>
      <c r="E2099" s="41" t="str">
        <f t="shared" si="1"/>
        <v>PROX5</v>
      </c>
    </row>
    <row r="2100" ht="15.75" customHeight="1">
      <c r="A2100" s="10" t="s">
        <v>37</v>
      </c>
      <c r="B2100" s="10" t="s">
        <v>127</v>
      </c>
      <c r="C2100" s="41">
        <f t="array" ref="C2100">IF(IFERROR(INDEX(CATALOG_POINTS,MATCH(A2100,CATALOG_TASK,0)),"")="",IF(MAX(IF(IFERROR(FIND(CATALOG_BASE,A2100),0)=1,CATALOG_POINTS,0))=0,DAILY_POST_POINTS,MAX(IF(IFERROR(FIND(CATALOG_BASE,A2100),0)=1,CATALOG_POINTS,0))),IFERROR(INDEX(CATALOG_POINTS,MATCH(A2100,CATALOG_TASK,0)),""))</f>
        <v>2</v>
      </c>
      <c r="D2100" s="10" t="s">
        <v>1343</v>
      </c>
      <c r="E2100" s="41" t="str">
        <f t="shared" si="1"/>
        <v>PROX5</v>
      </c>
    </row>
    <row r="2101" ht="15.75" customHeight="1">
      <c r="A2101" s="10" t="s">
        <v>37</v>
      </c>
      <c r="B2101" s="10" t="s">
        <v>125</v>
      </c>
      <c r="C2101" s="41">
        <f t="array" ref="C2101">IF(IFERROR(INDEX(CATALOG_POINTS,MATCH(A2101,CATALOG_TASK,0)),"")="",IF(MAX(IF(IFERROR(FIND(CATALOG_BASE,A2101),0)=1,CATALOG_POINTS,0))=0,DAILY_POST_POINTS,MAX(IF(IFERROR(FIND(CATALOG_BASE,A2101),0)=1,CATALOG_POINTS,0))),IFERROR(INDEX(CATALOG_POINTS,MATCH(A2101,CATALOG_TASK,0)),""))</f>
        <v>2</v>
      </c>
      <c r="D2101" s="10" t="s">
        <v>1343</v>
      </c>
      <c r="E2101" s="41" t="str">
        <f t="shared" si="1"/>
        <v>PROX5</v>
      </c>
    </row>
    <row r="2102" ht="15.75" customHeight="1">
      <c r="A2102" s="10" t="s">
        <v>1173</v>
      </c>
      <c r="B2102" s="10" t="s">
        <v>119</v>
      </c>
      <c r="C2102" s="41">
        <f t="array" ref="C2102">IF(IFERROR(INDEX(CATALOG_POINTS,MATCH(A2102,CATALOG_TASK,0)),"")="",IF(MAX(IF(IFERROR(FIND(CATALOG_BASE,A2102),0)=1,CATALOG_POINTS,0))=0,DAILY_POST_POINTS,MAX(IF(IFERROR(FIND(CATALOG_BASE,A2102),0)=1,CATALOG_POINTS,0))),IFERROR(INDEX(CATALOG_POINTS,MATCH(A2102,CATALOG_TASK,0)),""))</f>
        <v>1</v>
      </c>
      <c r="D2102" s="10" t="s">
        <v>1343</v>
      </c>
      <c r="E2102" s="41" t="str">
        <f t="shared" si="1"/>
        <v>PROX5</v>
      </c>
    </row>
    <row r="2103" ht="15.75" customHeight="1">
      <c r="A2103" s="10" t="s">
        <v>37</v>
      </c>
      <c r="B2103" s="10" t="s">
        <v>124</v>
      </c>
      <c r="C2103" s="41">
        <f t="array" ref="C2103">IF(IFERROR(INDEX(CATALOG_POINTS,MATCH(A2103,CATALOG_TASK,0)),"")="",IF(MAX(IF(IFERROR(FIND(CATALOG_BASE,A2103),0)=1,CATALOG_POINTS,0))=0,DAILY_POST_POINTS,MAX(IF(IFERROR(FIND(CATALOG_BASE,A2103),0)=1,CATALOG_POINTS,0))),IFERROR(INDEX(CATALOG_POINTS,MATCH(A2103,CATALOG_TASK,0)),""))</f>
        <v>2</v>
      </c>
      <c r="D2103" s="10" t="s">
        <v>1343</v>
      </c>
      <c r="E2103" s="41" t="str">
        <f t="shared" si="1"/>
        <v>PROX5</v>
      </c>
    </row>
    <row r="2104" ht="15.75" customHeight="1">
      <c r="A2104" s="10" t="s">
        <v>37</v>
      </c>
      <c r="B2104" s="10" t="s">
        <v>119</v>
      </c>
      <c r="C2104" s="41">
        <f t="array" ref="C2104">IF(IFERROR(INDEX(CATALOG_POINTS,MATCH(A2104,CATALOG_TASK,0)),"")="",IF(MAX(IF(IFERROR(FIND(CATALOG_BASE,A2104),0)=1,CATALOG_POINTS,0))=0,DAILY_POST_POINTS,MAX(IF(IFERROR(FIND(CATALOG_BASE,A2104),0)=1,CATALOG_POINTS,0))),IFERROR(INDEX(CATALOG_POINTS,MATCH(A2104,CATALOG_TASK,0)),""))</f>
        <v>2</v>
      </c>
      <c r="D2104" s="10" t="s">
        <v>1343</v>
      </c>
      <c r="E2104" s="41" t="str">
        <f t="shared" si="1"/>
        <v>PROX5</v>
      </c>
    </row>
    <row r="2105" ht="15.75" customHeight="1">
      <c r="A2105" s="10" t="s">
        <v>1343</v>
      </c>
      <c r="B2105" s="10" t="s">
        <v>124</v>
      </c>
      <c r="C2105" s="41">
        <f t="array" ref="C2105">IF(IFERROR(INDEX(CATALOG_POINTS,MATCH(A2105,CATALOG_TASK,0)),"")="",IF(MAX(IF(IFERROR(FIND(CATALOG_BASE,A2105),0)=1,CATALOG_POINTS,0))=0,DAILY_POST_POINTS,MAX(IF(IFERROR(FIND(CATALOG_BASE,A2105),0)=1,CATALOG_POINTS,0))),IFERROR(INDEX(CATALOG_POINTS,MATCH(A2105,CATALOG_TASK,0)),""))</f>
        <v>1</v>
      </c>
      <c r="D2105" s="10" t="s">
        <v>1343</v>
      </c>
      <c r="E2105" s="41" t="str">
        <f t="shared" si="1"/>
        <v>PROX5</v>
      </c>
    </row>
    <row r="2106" ht="15.75" customHeight="1">
      <c r="A2106" s="10" t="s">
        <v>37</v>
      </c>
      <c r="B2106" s="10" t="s">
        <v>123</v>
      </c>
      <c r="C2106" s="41">
        <f t="array" ref="C2106">IF(IFERROR(INDEX(CATALOG_POINTS,MATCH(A2106,CATALOG_TASK,0)),"")="",IF(MAX(IF(IFERROR(FIND(CATALOG_BASE,A2106),0)=1,CATALOG_POINTS,0))=0,DAILY_POST_POINTS,MAX(IF(IFERROR(FIND(CATALOG_BASE,A2106),0)=1,CATALOG_POINTS,0))),IFERROR(INDEX(CATALOG_POINTS,MATCH(A2106,CATALOG_TASK,0)),""))</f>
        <v>2</v>
      </c>
      <c r="D2106" s="10" t="s">
        <v>1343</v>
      </c>
      <c r="E2106" s="41" t="str">
        <f t="shared" si="1"/>
        <v>PROX5</v>
      </c>
    </row>
    <row r="2107" ht="15.75" customHeight="1">
      <c r="A2107" s="10" t="s">
        <v>37</v>
      </c>
      <c r="B2107" s="10" t="s">
        <v>125</v>
      </c>
      <c r="C2107" s="41">
        <f t="array" ref="C2107">IF(IFERROR(INDEX(CATALOG_POINTS,MATCH(A2107,CATALOG_TASK,0)),"")="",IF(MAX(IF(IFERROR(FIND(CATALOG_BASE,A2107),0)=1,CATALOG_POINTS,0))=0,DAILY_POST_POINTS,MAX(IF(IFERROR(FIND(CATALOG_BASE,A2107),0)=1,CATALOG_POINTS,0))),IFERROR(INDEX(CATALOG_POINTS,MATCH(A2107,CATALOG_TASK,0)),""))</f>
        <v>2</v>
      </c>
      <c r="D2107" s="10" t="s">
        <v>1343</v>
      </c>
      <c r="E2107" s="41" t="str">
        <f t="shared" si="1"/>
        <v>PROX5</v>
      </c>
    </row>
    <row r="2108" ht="15.75" customHeight="1">
      <c r="A2108" s="10" t="s">
        <v>37</v>
      </c>
      <c r="B2108" s="10" t="s">
        <v>128</v>
      </c>
      <c r="C2108" s="41">
        <f t="array" ref="C2108">IF(IFERROR(INDEX(CATALOG_POINTS,MATCH(A2108,CATALOG_TASK,0)),"")="",IF(MAX(IF(IFERROR(FIND(CATALOG_BASE,A2108),0)=1,CATALOG_POINTS,0))=0,DAILY_POST_POINTS,MAX(IF(IFERROR(FIND(CATALOG_BASE,A2108),0)=1,CATALOG_POINTS,0))),IFERROR(INDEX(CATALOG_POINTS,MATCH(A2108,CATALOG_TASK,0)),""))</f>
        <v>2</v>
      </c>
      <c r="D2108" s="10" t="s">
        <v>1343</v>
      </c>
      <c r="E2108" s="41" t="str">
        <f t="shared" si="1"/>
        <v>PROX5</v>
      </c>
    </row>
    <row r="2109" ht="15.75" customHeight="1">
      <c r="A2109" s="10" t="s">
        <v>37</v>
      </c>
      <c r="B2109" s="10" t="s">
        <v>123</v>
      </c>
      <c r="C2109" s="41">
        <f t="array" ref="C2109">IF(IFERROR(INDEX(CATALOG_POINTS,MATCH(A2109,CATALOG_TASK,0)),"")="",IF(MAX(IF(IFERROR(FIND(CATALOG_BASE,A2109),0)=1,CATALOG_POINTS,0))=0,DAILY_POST_POINTS,MAX(IF(IFERROR(FIND(CATALOG_BASE,A2109),0)=1,CATALOG_POINTS,0))),IFERROR(INDEX(CATALOG_POINTS,MATCH(A2109,CATALOG_TASK,0)),""))</f>
        <v>2</v>
      </c>
      <c r="D2109" s="10" t="s">
        <v>1343</v>
      </c>
      <c r="E2109" s="41" t="str">
        <f t="shared" si="1"/>
        <v>PROX5</v>
      </c>
    </row>
    <row r="2110" ht="15.75" customHeight="1">
      <c r="A2110" s="10" t="s">
        <v>55</v>
      </c>
      <c r="B2110" s="10" t="s">
        <v>151</v>
      </c>
      <c r="C2110" s="41">
        <f t="array" ref="C2110">IF(IFERROR(INDEX(CATALOG_POINTS,MATCH(A2110,CATALOG_TASK,0)),"")="",IF(MAX(IF(IFERROR(FIND(CATALOG_BASE,A2110),0)=1,CATALOG_POINTS,0))=0,DAILY_POST_POINTS,MAX(IF(IFERROR(FIND(CATALOG_BASE,A2110),0)=1,CATALOG_POINTS,0))),IFERROR(INDEX(CATALOG_POINTS,MATCH(A2110,CATALOG_TASK,0)),""))</f>
        <v>8</v>
      </c>
      <c r="D2110" s="10" t="s">
        <v>1343</v>
      </c>
      <c r="E2110" s="41" t="str">
        <f t="shared" si="1"/>
        <v>PROX5</v>
      </c>
    </row>
    <row r="2111" ht="15.75" customHeight="1">
      <c r="A2111" s="10" t="s">
        <v>37</v>
      </c>
      <c r="B2111" s="10" t="s">
        <v>126</v>
      </c>
      <c r="C2111" s="41">
        <f t="array" ref="C2111">IF(IFERROR(INDEX(CATALOG_POINTS,MATCH(A2111,CATALOG_TASK,0)),"")="",IF(MAX(IF(IFERROR(FIND(CATALOG_BASE,A2111),0)=1,CATALOG_POINTS,0))=0,DAILY_POST_POINTS,MAX(IF(IFERROR(FIND(CATALOG_BASE,A2111),0)=1,CATALOG_POINTS,0))),IFERROR(INDEX(CATALOG_POINTS,MATCH(A2111,CATALOG_TASK,0)),""))</f>
        <v>2</v>
      </c>
      <c r="D2111" s="10" t="s">
        <v>1343</v>
      </c>
      <c r="E2111" s="41" t="str">
        <f t="shared" si="1"/>
        <v>PROX5</v>
      </c>
    </row>
    <row r="2112" ht="15.75" customHeight="1">
      <c r="A2112" s="10" t="s">
        <v>174</v>
      </c>
      <c r="B2112" s="10" t="s">
        <v>124</v>
      </c>
      <c r="C2112" s="41">
        <f t="array" ref="C2112">IF(IFERROR(INDEX(CATALOG_POINTS,MATCH(A2112,CATALOG_TASK,0)),"")="",IF(MAX(IF(IFERROR(FIND(CATALOG_BASE,A2112),0)=1,CATALOG_POINTS,0))=0,DAILY_POST_POINTS,MAX(IF(IFERROR(FIND(CATALOG_BASE,A2112),0)=1,CATALOG_POINTS,0))),IFERROR(INDEX(CATALOG_POINTS,MATCH(A2112,CATALOG_TASK,0)),""))</f>
        <v>1</v>
      </c>
      <c r="D2112" s="10" t="s">
        <v>1343</v>
      </c>
      <c r="E2112" s="41" t="str">
        <f t="shared" si="1"/>
        <v>PROX5</v>
      </c>
    </row>
    <row r="2113" ht="15.75" customHeight="1">
      <c r="A2113" s="10" t="s">
        <v>168</v>
      </c>
      <c r="B2113" s="10" t="s">
        <v>119</v>
      </c>
      <c r="C2113" s="41">
        <f t="array" ref="C2113">IF(IFERROR(INDEX(CATALOG_POINTS,MATCH(A2113,CATALOG_TASK,0)),"")="",IF(MAX(IF(IFERROR(FIND(CATALOG_BASE,A2113),0)=1,CATALOG_POINTS,0))=0,DAILY_POST_POINTS,MAX(IF(IFERROR(FIND(CATALOG_BASE,A2113),0)=1,CATALOG_POINTS,0))),IFERROR(INDEX(CATALOG_POINTS,MATCH(A2113,CATALOG_TASK,0)),""))</f>
        <v>1</v>
      </c>
      <c r="D2113" s="10" t="s">
        <v>1343</v>
      </c>
      <c r="E2113" s="41" t="str">
        <f t="shared" si="1"/>
        <v>PROX5</v>
      </c>
    </row>
    <row r="2114" ht="15.75" customHeight="1">
      <c r="A2114" s="10" t="s">
        <v>37</v>
      </c>
      <c r="B2114" s="10" t="s">
        <v>124</v>
      </c>
      <c r="C2114" s="41">
        <f t="array" ref="C2114">IF(IFERROR(INDEX(CATALOG_POINTS,MATCH(A2114,CATALOG_TASK,0)),"")="",IF(MAX(IF(IFERROR(FIND(CATALOG_BASE,A2114),0)=1,CATALOG_POINTS,0))=0,DAILY_POST_POINTS,MAX(IF(IFERROR(FIND(CATALOG_BASE,A2114),0)=1,CATALOG_POINTS,0))),IFERROR(INDEX(CATALOG_POINTS,MATCH(A2114,CATALOG_TASK,0)),""))</f>
        <v>2</v>
      </c>
      <c r="D2114" s="10" t="s">
        <v>1344</v>
      </c>
      <c r="E2114" s="41" t="str">
        <f t="shared" si="1"/>
        <v>PROX5</v>
      </c>
    </row>
    <row r="2115" ht="15.75" customHeight="1">
      <c r="A2115" s="10" t="s">
        <v>1344</v>
      </c>
      <c r="B2115" s="10" t="s">
        <v>122</v>
      </c>
      <c r="C2115" s="41">
        <f t="array" ref="C2115">IF(IFERROR(INDEX(CATALOG_POINTS,MATCH(A2115,CATALOG_TASK,0)),"")="",IF(MAX(IF(IFERROR(FIND(CATALOG_BASE,A2115),0)=1,CATALOG_POINTS,0))=0,DAILY_POST_POINTS,MAX(IF(IFERROR(FIND(CATALOG_BASE,A2115),0)=1,CATALOG_POINTS,0))),IFERROR(INDEX(CATALOG_POINTS,MATCH(A2115,CATALOG_TASK,0)),""))</f>
        <v>1</v>
      </c>
      <c r="D2115" s="10" t="s">
        <v>1344</v>
      </c>
      <c r="E2115" s="41" t="str">
        <f t="shared" si="1"/>
        <v>PROX5</v>
      </c>
    </row>
    <row r="2116" ht="15.75" customHeight="1">
      <c r="A2116" s="10" t="s">
        <v>37</v>
      </c>
      <c r="B2116" s="10" t="s">
        <v>123</v>
      </c>
      <c r="C2116" s="41">
        <f t="array" ref="C2116">IF(IFERROR(INDEX(CATALOG_POINTS,MATCH(A2116,CATALOG_TASK,0)),"")="",IF(MAX(IF(IFERROR(FIND(CATALOG_BASE,A2116),0)=1,CATALOG_POINTS,0))=0,DAILY_POST_POINTS,MAX(IF(IFERROR(FIND(CATALOG_BASE,A2116),0)=1,CATALOG_POINTS,0))),IFERROR(INDEX(CATALOG_POINTS,MATCH(A2116,CATALOG_TASK,0)),""))</f>
        <v>2</v>
      </c>
      <c r="D2116" s="10" t="s">
        <v>1344</v>
      </c>
      <c r="E2116" s="41" t="str">
        <f t="shared" si="1"/>
        <v>PROX5</v>
      </c>
    </row>
    <row r="2117" ht="15.75" customHeight="1">
      <c r="A2117" s="10" t="s">
        <v>37</v>
      </c>
      <c r="B2117" s="10" t="s">
        <v>123</v>
      </c>
      <c r="C2117" s="41">
        <f t="array" ref="C2117">IF(IFERROR(INDEX(CATALOG_POINTS,MATCH(A2117,CATALOG_TASK,0)),"")="",IF(MAX(IF(IFERROR(FIND(CATALOG_BASE,A2117),0)=1,CATALOG_POINTS,0))=0,DAILY_POST_POINTS,MAX(IF(IFERROR(FIND(CATALOG_BASE,A2117),0)=1,CATALOG_POINTS,0))),IFERROR(INDEX(CATALOG_POINTS,MATCH(A2117,CATALOG_TASK,0)),""))</f>
        <v>2</v>
      </c>
      <c r="D2117" s="10" t="s">
        <v>1344</v>
      </c>
      <c r="E2117" s="41" t="str">
        <f t="shared" si="1"/>
        <v>PROX5</v>
      </c>
    </row>
    <row r="2118" ht="15.75" customHeight="1">
      <c r="A2118" s="10" t="s">
        <v>37</v>
      </c>
      <c r="B2118" s="10" t="s">
        <v>127</v>
      </c>
      <c r="C2118" s="41">
        <f t="array" ref="C2118">IF(IFERROR(INDEX(CATALOG_POINTS,MATCH(A2118,CATALOG_TASK,0)),"")="",IF(MAX(IF(IFERROR(FIND(CATALOG_BASE,A2118),0)=1,CATALOG_POINTS,0))=0,DAILY_POST_POINTS,MAX(IF(IFERROR(FIND(CATALOG_BASE,A2118),0)=1,CATALOG_POINTS,0))),IFERROR(INDEX(CATALOG_POINTS,MATCH(A2118,CATALOG_TASK,0)),""))</f>
        <v>2</v>
      </c>
      <c r="D2118" s="10" t="s">
        <v>1344</v>
      </c>
      <c r="E2118" s="41" t="str">
        <f t="shared" si="1"/>
        <v>PROX5</v>
      </c>
    </row>
    <row r="2119" ht="15.75" customHeight="1">
      <c r="A2119" s="10" t="s">
        <v>37</v>
      </c>
      <c r="B2119" s="10" t="s">
        <v>127</v>
      </c>
      <c r="C2119" s="41">
        <f t="array" ref="C2119">IF(IFERROR(INDEX(CATALOG_POINTS,MATCH(A2119,CATALOG_TASK,0)),"")="",IF(MAX(IF(IFERROR(FIND(CATALOG_BASE,A2119),0)=1,CATALOG_POINTS,0))=0,DAILY_POST_POINTS,MAX(IF(IFERROR(FIND(CATALOG_BASE,A2119),0)=1,CATALOG_POINTS,0))),IFERROR(INDEX(CATALOG_POINTS,MATCH(A2119,CATALOG_TASK,0)),""))</f>
        <v>2</v>
      </c>
      <c r="D2119" s="10" t="s">
        <v>1344</v>
      </c>
      <c r="E2119" s="41" t="str">
        <f t="shared" si="1"/>
        <v>PROX5</v>
      </c>
    </row>
    <row r="2120" ht="15.75" customHeight="1">
      <c r="A2120" s="10" t="s">
        <v>1345</v>
      </c>
      <c r="B2120" s="10" t="s">
        <v>131</v>
      </c>
      <c r="C2120" s="41">
        <f t="array" ref="C2120">IF(IFERROR(INDEX(CATALOG_POINTS,MATCH(A2120,CATALOG_TASK,0)),"")="",IF(MAX(IF(IFERROR(FIND(CATALOG_BASE,A2120),0)=1,CATALOG_POINTS,0))=0,DAILY_POST_POINTS,MAX(IF(IFERROR(FIND(CATALOG_BASE,A2120),0)=1,CATALOG_POINTS,0))),IFERROR(INDEX(CATALOG_POINTS,MATCH(A2120,CATALOG_TASK,0)),""))</f>
        <v>1</v>
      </c>
      <c r="D2120" s="10" t="s">
        <v>1345</v>
      </c>
      <c r="E2120" s="41" t="str">
        <f t="shared" si="1"/>
        <v>PROX3</v>
      </c>
    </row>
    <row r="2121" ht="15.75" customHeight="1">
      <c r="A2121" s="10" t="s">
        <v>1346</v>
      </c>
      <c r="B2121" s="10" t="s">
        <v>123</v>
      </c>
      <c r="C2121" s="41">
        <f t="array" ref="C2121">IF(IFERROR(INDEX(CATALOG_POINTS,MATCH(A2121,CATALOG_TASK,0)),"")="",IF(MAX(IF(IFERROR(FIND(CATALOG_BASE,A2121),0)=1,CATALOG_POINTS,0))=0,DAILY_POST_POINTS,MAX(IF(IFERROR(FIND(CATALOG_BASE,A2121),0)=1,CATALOG_POINTS,0))),IFERROR(INDEX(CATALOG_POINTS,MATCH(A2121,CATALOG_TASK,0)),""))</f>
        <v>1</v>
      </c>
      <c r="D2121" s="10" t="s">
        <v>1346</v>
      </c>
      <c r="E2121" s="41" t="str">
        <f t="shared" si="1"/>
        <v>PROX3</v>
      </c>
    </row>
    <row r="2122" ht="15.75" customHeight="1">
      <c r="A2122" s="10" t="s">
        <v>178</v>
      </c>
      <c r="B2122" s="10" t="s">
        <v>119</v>
      </c>
      <c r="C2122" s="41">
        <f t="array" ref="C2122">IF(IFERROR(INDEX(CATALOG_POINTS,MATCH(A2122,CATALOG_TASK,0)),"")="",IF(MAX(IF(IFERROR(FIND(CATALOG_BASE,A2122),0)=1,CATALOG_POINTS,0))=0,DAILY_POST_POINTS,MAX(IF(IFERROR(FIND(CATALOG_BASE,A2122),0)=1,CATALOG_POINTS,0))),IFERROR(INDEX(CATALOG_POINTS,MATCH(A2122,CATALOG_TASK,0)),""))</f>
        <v>1</v>
      </c>
      <c r="D2122" s="10" t="s">
        <v>1346</v>
      </c>
      <c r="E2122" s="41" t="str">
        <f t="shared" si="1"/>
        <v>PROX3</v>
      </c>
    </row>
    <row r="2123" ht="15.75" customHeight="1">
      <c r="A2123" s="10" t="s">
        <v>37</v>
      </c>
      <c r="B2123" s="10" t="s">
        <v>117</v>
      </c>
      <c r="C2123" s="41">
        <f t="array" ref="C2123">IF(IFERROR(INDEX(CATALOG_POINTS,MATCH(A2123,CATALOG_TASK,0)),"")="",IF(MAX(IF(IFERROR(FIND(CATALOG_BASE,A2123),0)=1,CATALOG_POINTS,0))=0,DAILY_POST_POINTS,MAX(IF(IFERROR(FIND(CATALOG_BASE,A2123),0)=1,CATALOG_POINTS,0))),IFERROR(INDEX(CATALOG_POINTS,MATCH(A2123,CATALOG_TASK,0)),""))</f>
        <v>2</v>
      </c>
      <c r="D2123" s="10" t="s">
        <v>1347</v>
      </c>
      <c r="E2123" s="41" t="str">
        <f t="shared" si="1"/>
        <v>PROX3</v>
      </c>
    </row>
    <row r="2124" ht="15.75" customHeight="1">
      <c r="A2124" s="10" t="s">
        <v>37</v>
      </c>
      <c r="B2124" s="10" t="s">
        <v>128</v>
      </c>
      <c r="C2124" s="41">
        <f t="array" ref="C2124">IF(IFERROR(INDEX(CATALOG_POINTS,MATCH(A2124,CATALOG_TASK,0)),"")="",IF(MAX(IF(IFERROR(FIND(CATALOG_BASE,A2124),0)=1,CATALOG_POINTS,0))=0,DAILY_POST_POINTS,MAX(IF(IFERROR(FIND(CATALOG_BASE,A2124),0)=1,CATALOG_POINTS,0))),IFERROR(INDEX(CATALOG_POINTS,MATCH(A2124,CATALOG_TASK,0)),""))</f>
        <v>2</v>
      </c>
      <c r="D2124" s="10" t="s">
        <v>1347</v>
      </c>
      <c r="E2124" s="41" t="str">
        <f t="shared" si="1"/>
        <v>PROX3</v>
      </c>
    </row>
    <row r="2125" ht="15.75" customHeight="1">
      <c r="A2125" s="10" t="s">
        <v>37</v>
      </c>
      <c r="B2125" s="10" t="s">
        <v>128</v>
      </c>
      <c r="C2125" s="41">
        <f t="array" ref="C2125">IF(IFERROR(INDEX(CATALOG_POINTS,MATCH(A2125,CATALOG_TASK,0)),"")="",IF(MAX(IF(IFERROR(FIND(CATALOG_BASE,A2125),0)=1,CATALOG_POINTS,0))=0,DAILY_POST_POINTS,MAX(IF(IFERROR(FIND(CATALOG_BASE,A2125),0)=1,CATALOG_POINTS,0))),IFERROR(INDEX(CATALOG_POINTS,MATCH(A2125,CATALOG_TASK,0)),""))</f>
        <v>2</v>
      </c>
      <c r="D2125" s="10" t="s">
        <v>1347</v>
      </c>
      <c r="E2125" s="41" t="str">
        <f t="shared" si="1"/>
        <v>PROX3</v>
      </c>
    </row>
    <row r="2126" ht="15.75" customHeight="1">
      <c r="A2126" s="10" t="s">
        <v>1347</v>
      </c>
      <c r="B2126" s="10" t="s">
        <v>119</v>
      </c>
      <c r="C2126" s="41">
        <f t="array" ref="C2126">IF(IFERROR(INDEX(CATALOG_POINTS,MATCH(A2126,CATALOG_TASK,0)),"")="",IF(MAX(IF(IFERROR(FIND(CATALOG_BASE,A2126),0)=1,CATALOG_POINTS,0))=0,DAILY_POST_POINTS,MAX(IF(IFERROR(FIND(CATALOG_BASE,A2126),0)=1,CATALOG_POINTS,0))),IFERROR(INDEX(CATALOG_POINTS,MATCH(A2126,CATALOG_TASK,0)),""))</f>
        <v>1</v>
      </c>
      <c r="D2126" s="10" t="s">
        <v>1347</v>
      </c>
      <c r="E2126" s="41" t="str">
        <f t="shared" si="1"/>
        <v>PROX3</v>
      </c>
    </row>
    <row r="2127" ht="15.75" customHeight="1">
      <c r="A2127" s="10" t="s">
        <v>37</v>
      </c>
      <c r="B2127" s="10" t="s">
        <v>124</v>
      </c>
      <c r="C2127" s="41">
        <f t="array" ref="C2127">IF(IFERROR(INDEX(CATALOG_POINTS,MATCH(A2127,CATALOG_TASK,0)),"")="",IF(MAX(IF(IFERROR(FIND(CATALOG_BASE,A2127),0)=1,CATALOG_POINTS,0))=0,DAILY_POST_POINTS,MAX(IF(IFERROR(FIND(CATALOG_BASE,A2127),0)=1,CATALOG_POINTS,0))),IFERROR(INDEX(CATALOG_POINTS,MATCH(A2127,CATALOG_TASK,0)),""))</f>
        <v>2</v>
      </c>
      <c r="D2127" s="10" t="s">
        <v>1348</v>
      </c>
      <c r="E2127" s="41" t="str">
        <f t="shared" si="1"/>
        <v/>
      </c>
    </row>
    <row r="2128" ht="15.75" customHeight="1">
      <c r="A2128" s="10" t="s">
        <v>1349</v>
      </c>
      <c r="B2128" s="10" t="s">
        <v>124</v>
      </c>
      <c r="C2128" s="41">
        <f t="array" ref="C2128">IF(IFERROR(INDEX(CATALOG_POINTS,MATCH(A2128,CATALOG_TASK,0)),"")="",IF(MAX(IF(IFERROR(FIND(CATALOG_BASE,A2128),0)=1,CATALOG_POINTS,0))=0,DAILY_POST_POINTS,MAX(IF(IFERROR(FIND(CATALOG_BASE,A2128),0)=1,CATALOG_POINTS,0))),IFERROR(INDEX(CATALOG_POINTS,MATCH(A2128,CATALOG_TASK,0)),""))</f>
        <v>1</v>
      </c>
      <c r="D2128" s="10" t="s">
        <v>1349</v>
      </c>
      <c r="E2128" s="41" t="str">
        <f t="shared" si="1"/>
        <v>PROX5</v>
      </c>
    </row>
    <row r="2129" ht="15.75" customHeight="1">
      <c r="A2129" s="10" t="s">
        <v>37</v>
      </c>
      <c r="B2129" s="10" t="s">
        <v>124</v>
      </c>
      <c r="C2129" s="41">
        <f t="array" ref="C2129">IF(IFERROR(INDEX(CATALOG_POINTS,MATCH(A2129,CATALOG_TASK,0)),"")="",IF(MAX(IF(IFERROR(FIND(CATALOG_BASE,A2129),0)=1,CATALOG_POINTS,0))=0,DAILY_POST_POINTS,MAX(IF(IFERROR(FIND(CATALOG_BASE,A2129),0)=1,CATALOG_POINTS,0))),IFERROR(INDEX(CATALOG_POINTS,MATCH(A2129,CATALOG_TASK,0)),""))</f>
        <v>2</v>
      </c>
      <c r="D2129" s="10" t="s">
        <v>1349</v>
      </c>
      <c r="E2129" s="41" t="str">
        <f t="shared" si="1"/>
        <v>PROX5</v>
      </c>
    </row>
    <row r="2130" ht="15.75" customHeight="1">
      <c r="A2130" s="10" t="s">
        <v>37</v>
      </c>
      <c r="B2130" s="10" t="s">
        <v>124</v>
      </c>
      <c r="C2130" s="41">
        <f t="array" ref="C2130">IF(IFERROR(INDEX(CATALOG_POINTS,MATCH(A2130,CATALOG_TASK,0)),"")="",IF(MAX(IF(IFERROR(FIND(CATALOG_BASE,A2130),0)=1,CATALOG_POINTS,0))=0,DAILY_POST_POINTS,MAX(IF(IFERROR(FIND(CATALOG_BASE,A2130),0)=1,CATALOG_POINTS,0))),IFERROR(INDEX(CATALOG_POINTS,MATCH(A2130,CATALOG_TASK,0)),""))</f>
        <v>2</v>
      </c>
      <c r="D2130" s="10" t="s">
        <v>1349</v>
      </c>
      <c r="E2130" s="41" t="str">
        <f t="shared" si="1"/>
        <v>PROX5</v>
      </c>
    </row>
    <row r="2131" ht="15.75" customHeight="1">
      <c r="A2131" s="10" t="s">
        <v>37</v>
      </c>
      <c r="B2131" s="10" t="s">
        <v>123</v>
      </c>
      <c r="C2131" s="41">
        <f t="array" ref="C2131">IF(IFERROR(INDEX(CATALOG_POINTS,MATCH(A2131,CATALOG_TASK,0)),"")="",IF(MAX(IF(IFERROR(FIND(CATALOG_BASE,A2131),0)=1,CATALOG_POINTS,0))=0,DAILY_POST_POINTS,MAX(IF(IFERROR(FIND(CATALOG_BASE,A2131),0)=1,CATALOG_POINTS,0))),IFERROR(INDEX(CATALOG_POINTS,MATCH(A2131,CATALOG_TASK,0)),""))</f>
        <v>2</v>
      </c>
      <c r="D2131" s="10" t="s">
        <v>1349</v>
      </c>
      <c r="E2131" s="41" t="str">
        <f t="shared" si="1"/>
        <v>PROX5</v>
      </c>
    </row>
    <row r="2132" ht="15.75" customHeight="1">
      <c r="A2132" s="10" t="s">
        <v>37</v>
      </c>
      <c r="B2132" s="10" t="s">
        <v>123</v>
      </c>
      <c r="C2132" s="41">
        <f t="array" ref="C2132">IF(IFERROR(INDEX(CATALOG_POINTS,MATCH(A2132,CATALOG_TASK,0)),"")="",IF(MAX(IF(IFERROR(FIND(CATALOG_BASE,A2132),0)=1,CATALOG_POINTS,0))=0,DAILY_POST_POINTS,MAX(IF(IFERROR(FIND(CATALOG_BASE,A2132),0)=1,CATALOG_POINTS,0))),IFERROR(INDEX(CATALOG_POINTS,MATCH(A2132,CATALOG_TASK,0)),""))</f>
        <v>2</v>
      </c>
      <c r="D2132" s="10" t="s">
        <v>1349</v>
      </c>
      <c r="E2132" s="41" t="str">
        <f t="shared" si="1"/>
        <v>PROX5</v>
      </c>
    </row>
    <row r="2133" ht="15.75" customHeight="1">
      <c r="A2133" s="10" t="s">
        <v>1173</v>
      </c>
      <c r="B2133" s="10" t="s">
        <v>119</v>
      </c>
      <c r="C2133" s="41">
        <f t="array" ref="C2133">IF(IFERROR(INDEX(CATALOG_POINTS,MATCH(A2133,CATALOG_TASK,0)),"")="",IF(MAX(IF(IFERROR(FIND(CATALOG_BASE,A2133),0)=1,CATALOG_POINTS,0))=0,DAILY_POST_POINTS,MAX(IF(IFERROR(FIND(CATALOG_BASE,A2133),0)=1,CATALOG_POINTS,0))),IFERROR(INDEX(CATALOG_POINTS,MATCH(A2133,CATALOG_TASK,0)),""))</f>
        <v>1</v>
      </c>
      <c r="D2133" s="10" t="s">
        <v>1349</v>
      </c>
      <c r="E2133" s="41" t="str">
        <f t="shared" si="1"/>
        <v>PROX5</v>
      </c>
    </row>
    <row r="2134" ht="15.75" customHeight="1">
      <c r="A2134" s="10" t="s">
        <v>55</v>
      </c>
      <c r="B2134" s="10" t="s">
        <v>141</v>
      </c>
      <c r="C2134" s="41">
        <f t="array" ref="C2134">IF(IFERROR(INDEX(CATALOG_POINTS,MATCH(A2134,CATALOG_TASK,0)),"")="",IF(MAX(IF(IFERROR(FIND(CATALOG_BASE,A2134),0)=1,CATALOG_POINTS,0))=0,DAILY_POST_POINTS,MAX(IF(IFERROR(FIND(CATALOG_BASE,A2134),0)=1,CATALOG_POINTS,0))),IFERROR(INDEX(CATALOG_POINTS,MATCH(A2134,CATALOG_TASK,0)),""))</f>
        <v>8</v>
      </c>
      <c r="D2134" s="10" t="s">
        <v>1349</v>
      </c>
      <c r="E2134" s="41" t="str">
        <f t="shared" si="1"/>
        <v>PROX5</v>
      </c>
    </row>
    <row r="2135" ht="15.75" customHeight="1">
      <c r="A2135" s="10" t="s">
        <v>168</v>
      </c>
      <c r="B2135" s="10" t="s">
        <v>127</v>
      </c>
      <c r="C2135" s="41">
        <f t="array" ref="C2135">IF(IFERROR(INDEX(CATALOG_POINTS,MATCH(A2135,CATALOG_TASK,0)),"")="",IF(MAX(IF(IFERROR(FIND(CATALOG_BASE,A2135),0)=1,CATALOG_POINTS,0))=0,DAILY_POST_POINTS,MAX(IF(IFERROR(FIND(CATALOG_BASE,A2135),0)=1,CATALOG_POINTS,0))),IFERROR(INDEX(CATALOG_POINTS,MATCH(A2135,CATALOG_TASK,0)),""))</f>
        <v>1</v>
      </c>
      <c r="D2135" s="10" t="s">
        <v>1349</v>
      </c>
      <c r="E2135" s="41" t="str">
        <f t="shared" si="1"/>
        <v>PROX5</v>
      </c>
    </row>
    <row r="2136" ht="15.75" customHeight="1">
      <c r="A2136" s="10" t="s">
        <v>168</v>
      </c>
      <c r="B2136" s="10" t="s">
        <v>128</v>
      </c>
      <c r="C2136" s="41">
        <f t="array" ref="C2136">IF(IFERROR(INDEX(CATALOG_POINTS,MATCH(A2136,CATALOG_TASK,0)),"")="",IF(MAX(IF(IFERROR(FIND(CATALOG_BASE,A2136),0)=1,CATALOG_POINTS,0))=0,DAILY_POST_POINTS,MAX(IF(IFERROR(FIND(CATALOG_BASE,A2136),0)=1,CATALOG_POINTS,0))),IFERROR(INDEX(CATALOG_POINTS,MATCH(A2136,CATALOG_TASK,0)),""))</f>
        <v>1</v>
      </c>
      <c r="D2136" s="10" t="s">
        <v>1349</v>
      </c>
      <c r="E2136" s="41" t="str">
        <f t="shared" si="1"/>
        <v>PROX5</v>
      </c>
    </row>
    <row r="2137" ht="15.75" customHeight="1">
      <c r="A2137" s="10" t="s">
        <v>37</v>
      </c>
      <c r="B2137" s="10" t="s">
        <v>128</v>
      </c>
      <c r="C2137" s="41">
        <f t="array" ref="C2137">IF(IFERROR(INDEX(CATALOG_POINTS,MATCH(A2137,CATALOG_TASK,0)),"")="",IF(MAX(IF(IFERROR(FIND(CATALOG_BASE,A2137),0)=1,CATALOG_POINTS,0))=0,DAILY_POST_POINTS,MAX(IF(IFERROR(FIND(CATALOG_BASE,A2137),0)=1,CATALOG_POINTS,0))),IFERROR(INDEX(CATALOG_POINTS,MATCH(A2137,CATALOG_TASK,0)),""))</f>
        <v>2</v>
      </c>
      <c r="D2137" s="10" t="s">
        <v>1349</v>
      </c>
      <c r="E2137" s="41" t="str">
        <f t="shared" si="1"/>
        <v>PROX5</v>
      </c>
    </row>
    <row r="2138" ht="15.75" customHeight="1">
      <c r="A2138" s="10" t="s">
        <v>179</v>
      </c>
      <c r="B2138" s="10" t="s">
        <v>142</v>
      </c>
      <c r="C2138" s="41">
        <f t="array" ref="C2138">IF(IFERROR(INDEX(CATALOG_POINTS,MATCH(A2138,CATALOG_TASK,0)),"")="",IF(MAX(IF(IFERROR(FIND(CATALOG_BASE,A2138),0)=1,CATALOG_POINTS,0))=0,DAILY_POST_POINTS,MAX(IF(IFERROR(FIND(CATALOG_BASE,A2138),0)=1,CATALOG_POINTS,0))),IFERROR(INDEX(CATALOG_POINTS,MATCH(A2138,CATALOG_TASK,0)),""))</f>
        <v>1</v>
      </c>
      <c r="D2138" s="10" t="s">
        <v>1349</v>
      </c>
      <c r="E2138" s="41" t="str">
        <f t="shared" si="1"/>
        <v>PROX5</v>
      </c>
    </row>
    <row r="2139" ht="15.75" customHeight="1">
      <c r="A2139" s="10" t="s">
        <v>174</v>
      </c>
      <c r="B2139" s="10" t="s">
        <v>123</v>
      </c>
      <c r="C2139" s="41">
        <f t="array" ref="C2139">IF(IFERROR(INDEX(CATALOG_POINTS,MATCH(A2139,CATALOG_TASK,0)),"")="",IF(MAX(IF(IFERROR(FIND(CATALOG_BASE,A2139),0)=1,CATALOG_POINTS,0))=0,DAILY_POST_POINTS,MAX(IF(IFERROR(FIND(CATALOG_BASE,A2139),0)=1,CATALOG_POINTS,0))),IFERROR(INDEX(CATALOG_POINTS,MATCH(A2139,CATALOG_TASK,0)),""))</f>
        <v>1</v>
      </c>
      <c r="D2139" s="10" t="s">
        <v>1349</v>
      </c>
      <c r="E2139" s="41" t="str">
        <f t="shared" si="1"/>
        <v>PROX5</v>
      </c>
    </row>
    <row r="2140" ht="15.75" customHeight="1">
      <c r="A2140" s="10" t="s">
        <v>37</v>
      </c>
      <c r="B2140" s="10" t="s">
        <v>124</v>
      </c>
      <c r="C2140" s="41">
        <f t="array" ref="C2140">IF(IFERROR(INDEX(CATALOG_POINTS,MATCH(A2140,CATALOG_TASK,0)),"")="",IF(MAX(IF(IFERROR(FIND(CATALOG_BASE,A2140),0)=1,CATALOG_POINTS,0))=0,DAILY_POST_POINTS,MAX(IF(IFERROR(FIND(CATALOG_BASE,A2140),0)=1,CATALOG_POINTS,0))),IFERROR(INDEX(CATALOG_POINTS,MATCH(A2140,CATALOG_TASK,0)),""))</f>
        <v>2</v>
      </c>
      <c r="D2140" s="10" t="s">
        <v>1349</v>
      </c>
      <c r="E2140" s="41" t="str">
        <f t="shared" si="1"/>
        <v>PROX5</v>
      </c>
    </row>
    <row r="2141" ht="15.75" customHeight="1">
      <c r="A2141" s="10" t="s">
        <v>37</v>
      </c>
      <c r="B2141" s="10" t="s">
        <v>124</v>
      </c>
      <c r="C2141" s="41">
        <f t="array" ref="C2141">IF(IFERROR(INDEX(CATALOG_POINTS,MATCH(A2141,CATALOG_TASK,0)),"")="",IF(MAX(IF(IFERROR(FIND(CATALOG_BASE,A2141),0)=1,CATALOG_POINTS,0))=0,DAILY_POST_POINTS,MAX(IF(IFERROR(FIND(CATALOG_BASE,A2141),0)=1,CATALOG_POINTS,0))),IFERROR(INDEX(CATALOG_POINTS,MATCH(A2141,CATALOG_TASK,0)),""))</f>
        <v>2</v>
      </c>
      <c r="D2141" s="10" t="s">
        <v>1349</v>
      </c>
      <c r="E2141" s="41" t="str">
        <f t="shared" si="1"/>
        <v>PROX5</v>
      </c>
    </row>
    <row r="2142" ht="15.75" customHeight="1">
      <c r="A2142" s="10" t="s">
        <v>37</v>
      </c>
      <c r="B2142" s="10" t="s">
        <v>120</v>
      </c>
      <c r="C2142" s="41">
        <f t="array" ref="C2142">IF(IFERROR(INDEX(CATALOG_POINTS,MATCH(A2142,CATALOG_TASK,0)),"")="",IF(MAX(IF(IFERROR(FIND(CATALOG_BASE,A2142),0)=1,CATALOG_POINTS,0))=0,DAILY_POST_POINTS,MAX(IF(IFERROR(FIND(CATALOG_BASE,A2142),0)=1,CATALOG_POINTS,0))),IFERROR(INDEX(CATALOG_POINTS,MATCH(A2142,CATALOG_TASK,0)),""))</f>
        <v>2</v>
      </c>
      <c r="D2142" s="10" t="s">
        <v>1349</v>
      </c>
      <c r="E2142" s="41" t="str">
        <f t="shared" si="1"/>
        <v>PROX5</v>
      </c>
    </row>
    <row r="2143" ht="15.75" customHeight="1">
      <c r="A2143" s="10" t="s">
        <v>168</v>
      </c>
      <c r="B2143" s="10" t="s">
        <v>124</v>
      </c>
      <c r="C2143" s="41">
        <f t="array" ref="C2143">IF(IFERROR(INDEX(CATALOG_POINTS,MATCH(A2143,CATALOG_TASK,0)),"")="",IF(MAX(IF(IFERROR(FIND(CATALOG_BASE,A2143),0)=1,CATALOG_POINTS,0))=0,DAILY_POST_POINTS,MAX(IF(IFERROR(FIND(CATALOG_BASE,A2143),0)=1,CATALOG_POINTS,0))),IFERROR(INDEX(CATALOG_POINTS,MATCH(A2143,CATALOG_TASK,0)),""))</f>
        <v>1</v>
      </c>
      <c r="D2143" s="10" t="s">
        <v>1349</v>
      </c>
      <c r="E2143" s="41" t="str">
        <f t="shared" si="1"/>
        <v>PROX5</v>
      </c>
    </row>
    <row r="2144" ht="15.75" customHeight="1">
      <c r="A2144" s="10" t="s">
        <v>37</v>
      </c>
      <c r="B2144" s="10" t="s">
        <v>119</v>
      </c>
      <c r="C2144" s="41">
        <f t="array" ref="C2144">IF(IFERROR(INDEX(CATALOG_POINTS,MATCH(A2144,CATALOG_TASK,0)),"")="",IF(MAX(IF(IFERROR(FIND(CATALOG_BASE,A2144),0)=1,CATALOG_POINTS,0))=0,DAILY_POST_POINTS,MAX(IF(IFERROR(FIND(CATALOG_BASE,A2144),0)=1,CATALOG_POINTS,0))),IFERROR(INDEX(CATALOG_POINTS,MATCH(A2144,CATALOG_TASK,0)),""))</f>
        <v>2</v>
      </c>
      <c r="D2144" s="10" t="s">
        <v>1350</v>
      </c>
      <c r="E2144" s="41" t="str">
        <f t="shared" si="1"/>
        <v>PROX3</v>
      </c>
    </row>
    <row r="2145" ht="15.75" customHeight="1">
      <c r="A2145" s="10" t="s">
        <v>1350</v>
      </c>
      <c r="B2145" s="10" t="s">
        <v>128</v>
      </c>
      <c r="C2145" s="41">
        <f t="array" ref="C2145">IF(IFERROR(INDEX(CATALOG_POINTS,MATCH(A2145,CATALOG_TASK,0)),"")="",IF(MAX(IF(IFERROR(FIND(CATALOG_BASE,A2145),0)=1,CATALOG_POINTS,0))=0,DAILY_POST_POINTS,MAX(IF(IFERROR(FIND(CATALOG_BASE,A2145),0)=1,CATALOG_POINTS,0))),IFERROR(INDEX(CATALOG_POINTS,MATCH(A2145,CATALOG_TASK,0)),""))</f>
        <v>1</v>
      </c>
      <c r="D2145" s="10" t="s">
        <v>1350</v>
      </c>
      <c r="E2145" s="41" t="str">
        <f t="shared" si="1"/>
        <v>PROX3</v>
      </c>
    </row>
    <row r="2146" ht="15.75" customHeight="1">
      <c r="A2146" s="10" t="s">
        <v>37</v>
      </c>
      <c r="B2146" s="10" t="s">
        <v>123</v>
      </c>
      <c r="C2146" s="41">
        <f t="array" ref="C2146">IF(IFERROR(INDEX(CATALOG_POINTS,MATCH(A2146,CATALOG_TASK,0)),"")="",IF(MAX(IF(IFERROR(FIND(CATALOG_BASE,A2146),0)=1,CATALOG_POINTS,0))=0,DAILY_POST_POINTS,MAX(IF(IFERROR(FIND(CATALOG_BASE,A2146),0)=1,CATALOG_POINTS,0))),IFERROR(INDEX(CATALOG_POINTS,MATCH(A2146,CATALOG_TASK,0)),""))</f>
        <v>2</v>
      </c>
      <c r="D2146" s="10" t="s">
        <v>1351</v>
      </c>
      <c r="E2146" s="41" t="str">
        <f t="shared" si="1"/>
        <v>PROX4</v>
      </c>
    </row>
    <row r="2147" ht="15.75" customHeight="1">
      <c r="A2147" s="10" t="s">
        <v>1351</v>
      </c>
      <c r="B2147" s="10" t="s">
        <v>119</v>
      </c>
      <c r="C2147" s="41">
        <f t="array" ref="C2147">IF(IFERROR(INDEX(CATALOG_POINTS,MATCH(A2147,CATALOG_TASK,0)),"")="",IF(MAX(IF(IFERROR(FIND(CATALOG_BASE,A2147),0)=1,CATALOG_POINTS,0))=0,DAILY_POST_POINTS,MAX(IF(IFERROR(FIND(CATALOG_BASE,A2147),0)=1,CATALOG_POINTS,0))),IFERROR(INDEX(CATALOG_POINTS,MATCH(A2147,CATALOG_TASK,0)),""))</f>
        <v>1</v>
      </c>
      <c r="D2147" s="10" t="s">
        <v>1351</v>
      </c>
      <c r="E2147" s="41" t="str">
        <f t="shared" si="1"/>
        <v>PROX4</v>
      </c>
    </row>
    <row r="2148" ht="15.75" customHeight="1">
      <c r="A2148" s="10" t="s">
        <v>168</v>
      </c>
      <c r="B2148" s="10" t="s">
        <v>122</v>
      </c>
      <c r="C2148" s="41">
        <f t="array" ref="C2148">IF(IFERROR(INDEX(CATALOG_POINTS,MATCH(A2148,CATALOG_TASK,0)),"")="",IF(MAX(IF(IFERROR(FIND(CATALOG_BASE,A2148),0)=1,CATALOG_POINTS,0))=0,DAILY_POST_POINTS,MAX(IF(IFERROR(FIND(CATALOG_BASE,A2148),0)=1,CATALOG_POINTS,0))),IFERROR(INDEX(CATALOG_POINTS,MATCH(A2148,CATALOG_TASK,0)),""))</f>
        <v>1</v>
      </c>
      <c r="D2148" s="10" t="s">
        <v>1352</v>
      </c>
      <c r="E2148" s="41" t="str">
        <f t="shared" si="1"/>
        <v>PROX4</v>
      </c>
    </row>
    <row r="2149" ht="15.75" customHeight="1">
      <c r="A2149" s="10" t="s">
        <v>37</v>
      </c>
      <c r="B2149" s="10" t="s">
        <v>124</v>
      </c>
      <c r="C2149" s="41">
        <f t="array" ref="C2149">IF(IFERROR(INDEX(CATALOG_POINTS,MATCH(A2149,CATALOG_TASK,0)),"")="",IF(MAX(IF(IFERROR(FIND(CATALOG_BASE,A2149),0)=1,CATALOG_POINTS,0))=0,DAILY_POST_POINTS,MAX(IF(IFERROR(FIND(CATALOG_BASE,A2149),0)=1,CATALOG_POINTS,0))),IFERROR(INDEX(CATALOG_POINTS,MATCH(A2149,CATALOG_TASK,0)),""))</f>
        <v>2</v>
      </c>
      <c r="D2149" s="10" t="s">
        <v>1352</v>
      </c>
      <c r="E2149" s="41" t="str">
        <f t="shared" si="1"/>
        <v>PROX4</v>
      </c>
    </row>
    <row r="2150" ht="15.75" customHeight="1">
      <c r="A2150" s="10" t="s">
        <v>37</v>
      </c>
      <c r="B2150" s="10" t="s">
        <v>122</v>
      </c>
      <c r="C2150" s="41">
        <f t="array" ref="C2150">IF(IFERROR(INDEX(CATALOG_POINTS,MATCH(A2150,CATALOG_TASK,0)),"")="",IF(MAX(IF(IFERROR(FIND(CATALOG_BASE,A2150),0)=1,CATALOG_POINTS,0))=0,DAILY_POST_POINTS,MAX(IF(IFERROR(FIND(CATALOG_BASE,A2150),0)=1,CATALOG_POINTS,0))),IFERROR(INDEX(CATALOG_POINTS,MATCH(A2150,CATALOG_TASK,0)),""))</f>
        <v>2</v>
      </c>
      <c r="D2150" s="10" t="s">
        <v>1352</v>
      </c>
      <c r="E2150" s="41" t="str">
        <f t="shared" si="1"/>
        <v>PROX4</v>
      </c>
    </row>
    <row r="2151" ht="15.75" customHeight="1">
      <c r="A2151" s="10" t="s">
        <v>37</v>
      </c>
      <c r="B2151" s="10" t="s">
        <v>128</v>
      </c>
      <c r="C2151" s="41">
        <f t="array" ref="C2151">IF(IFERROR(INDEX(CATALOG_POINTS,MATCH(A2151,CATALOG_TASK,0)),"")="",IF(MAX(IF(IFERROR(FIND(CATALOG_BASE,A2151),0)=1,CATALOG_POINTS,0))=0,DAILY_POST_POINTS,MAX(IF(IFERROR(FIND(CATALOG_BASE,A2151),0)=1,CATALOG_POINTS,0))),IFERROR(INDEX(CATALOG_POINTS,MATCH(A2151,CATALOG_TASK,0)),""))</f>
        <v>2</v>
      </c>
      <c r="D2151" s="10" t="s">
        <v>1352</v>
      </c>
      <c r="E2151" s="41" t="str">
        <f t="shared" si="1"/>
        <v>PROX4</v>
      </c>
    </row>
    <row r="2152" ht="15.75" customHeight="1">
      <c r="A2152" s="10" t="s">
        <v>37</v>
      </c>
      <c r="B2152" s="10" t="s">
        <v>120</v>
      </c>
      <c r="C2152" s="41">
        <f t="array" ref="C2152">IF(IFERROR(INDEX(CATALOG_POINTS,MATCH(A2152,CATALOG_TASK,0)),"")="",IF(MAX(IF(IFERROR(FIND(CATALOG_BASE,A2152),0)=1,CATALOG_POINTS,0))=0,DAILY_POST_POINTS,MAX(IF(IFERROR(FIND(CATALOG_BASE,A2152),0)=1,CATALOG_POINTS,0))),IFERROR(INDEX(CATALOG_POINTS,MATCH(A2152,CATALOG_TASK,0)),""))</f>
        <v>2</v>
      </c>
      <c r="D2152" s="10" t="s">
        <v>1352</v>
      </c>
      <c r="E2152" s="41" t="str">
        <f t="shared" si="1"/>
        <v>PROX4</v>
      </c>
    </row>
    <row r="2153" ht="15.75" customHeight="1">
      <c r="A2153" s="10" t="s">
        <v>37</v>
      </c>
      <c r="B2153" s="10" t="s">
        <v>117</v>
      </c>
      <c r="C2153" s="41">
        <f t="array" ref="C2153">IF(IFERROR(INDEX(CATALOG_POINTS,MATCH(A2153,CATALOG_TASK,0)),"")="",IF(MAX(IF(IFERROR(FIND(CATALOG_BASE,A2153),0)=1,CATALOG_POINTS,0))=0,DAILY_POST_POINTS,MAX(IF(IFERROR(FIND(CATALOG_BASE,A2153),0)=1,CATALOG_POINTS,0))),IFERROR(INDEX(CATALOG_POINTS,MATCH(A2153,CATALOG_TASK,0)),""))</f>
        <v>2</v>
      </c>
      <c r="D2153" s="10" t="s">
        <v>1352</v>
      </c>
      <c r="E2153" s="41" t="str">
        <f t="shared" si="1"/>
        <v>PROX4</v>
      </c>
    </row>
    <row r="2154" ht="15.75" customHeight="1">
      <c r="A2154" s="10" t="s">
        <v>37</v>
      </c>
      <c r="B2154" s="10" t="s">
        <v>122</v>
      </c>
      <c r="C2154" s="41">
        <f t="array" ref="C2154">IF(IFERROR(INDEX(CATALOG_POINTS,MATCH(A2154,CATALOG_TASK,0)),"")="",IF(MAX(IF(IFERROR(FIND(CATALOG_BASE,A2154),0)=1,CATALOG_POINTS,0))=0,DAILY_POST_POINTS,MAX(IF(IFERROR(FIND(CATALOG_BASE,A2154),0)=1,CATALOG_POINTS,0))),IFERROR(INDEX(CATALOG_POINTS,MATCH(A2154,CATALOG_TASK,0)),""))</f>
        <v>2</v>
      </c>
      <c r="D2154" s="10" t="s">
        <v>1352</v>
      </c>
      <c r="E2154" s="41" t="str">
        <f t="shared" si="1"/>
        <v>PROX4</v>
      </c>
    </row>
    <row r="2155" ht="15.75" customHeight="1">
      <c r="A2155" s="10" t="s">
        <v>177</v>
      </c>
      <c r="B2155" s="10" t="s">
        <v>139</v>
      </c>
      <c r="C2155" s="41">
        <f t="array" ref="C2155">IF(IFERROR(INDEX(CATALOG_POINTS,MATCH(A2155,CATALOG_TASK,0)),"")="",IF(MAX(IF(IFERROR(FIND(CATALOG_BASE,A2155),0)=1,CATALOG_POINTS,0))=0,DAILY_POST_POINTS,MAX(IF(IFERROR(FIND(CATALOG_BASE,A2155),0)=1,CATALOG_POINTS,0))),IFERROR(INDEX(CATALOG_POINTS,MATCH(A2155,CATALOG_TASK,0)),""))</f>
        <v>6</v>
      </c>
      <c r="D2155" s="10" t="s">
        <v>1352</v>
      </c>
      <c r="E2155" s="41" t="str">
        <f t="shared" si="1"/>
        <v>PROX4</v>
      </c>
    </row>
    <row r="2156" ht="15.75" customHeight="1">
      <c r="A2156" s="10" t="s">
        <v>380</v>
      </c>
      <c r="B2156" s="10" t="s">
        <v>139</v>
      </c>
      <c r="C2156" s="41">
        <f t="array" ref="C2156">IF(IFERROR(INDEX(CATALOG_POINTS,MATCH(A2156,CATALOG_TASK,0)),"")="",IF(MAX(IF(IFERROR(FIND(CATALOG_BASE,A2156),0)=1,CATALOG_POINTS,0))=0,DAILY_POST_POINTS,MAX(IF(IFERROR(FIND(CATALOG_BASE,A2156),0)=1,CATALOG_POINTS,0))),IFERROR(INDEX(CATALOG_POINTS,MATCH(A2156,CATALOG_TASK,0)),""))</f>
        <v>1</v>
      </c>
      <c r="D2156" s="10" t="s">
        <v>1352</v>
      </c>
      <c r="E2156" s="41" t="str">
        <f t="shared" si="1"/>
        <v>PROX4</v>
      </c>
    </row>
    <row r="2157" ht="15.75" customHeight="1">
      <c r="A2157" s="10" t="s">
        <v>179</v>
      </c>
      <c r="B2157" s="10" t="s">
        <v>139</v>
      </c>
      <c r="C2157" s="41">
        <f t="array" ref="C2157">IF(IFERROR(INDEX(CATALOG_POINTS,MATCH(A2157,CATALOG_TASK,0)),"")="",IF(MAX(IF(IFERROR(FIND(CATALOG_BASE,A2157),0)=1,CATALOG_POINTS,0))=0,DAILY_POST_POINTS,MAX(IF(IFERROR(FIND(CATALOG_BASE,A2157),0)=1,CATALOG_POINTS,0))),IFERROR(INDEX(CATALOG_POINTS,MATCH(A2157,CATALOG_TASK,0)),""))</f>
        <v>1</v>
      </c>
      <c r="D2157" s="10" t="s">
        <v>1352</v>
      </c>
      <c r="E2157" s="41" t="str">
        <f t="shared" si="1"/>
        <v>PROX4</v>
      </c>
    </row>
    <row r="2158" ht="15.75" customHeight="1">
      <c r="A2158" s="10" t="s">
        <v>37</v>
      </c>
      <c r="B2158" s="10" t="s">
        <v>120</v>
      </c>
      <c r="C2158" s="41">
        <f t="array" ref="C2158">IF(IFERROR(INDEX(CATALOG_POINTS,MATCH(A2158,CATALOG_TASK,0)),"")="",IF(MAX(IF(IFERROR(FIND(CATALOG_BASE,A2158),0)=1,CATALOG_POINTS,0))=0,DAILY_POST_POINTS,MAX(IF(IFERROR(FIND(CATALOG_BASE,A2158),0)=1,CATALOG_POINTS,0))),IFERROR(INDEX(CATALOG_POINTS,MATCH(A2158,CATALOG_TASK,0)),""))</f>
        <v>2</v>
      </c>
      <c r="D2158" s="10" t="s">
        <v>1352</v>
      </c>
      <c r="E2158" s="41" t="str">
        <f t="shared" si="1"/>
        <v>PROX4</v>
      </c>
    </row>
    <row r="2159" ht="15.75" customHeight="1">
      <c r="A2159" s="10" t="s">
        <v>37</v>
      </c>
      <c r="B2159" s="10" t="s">
        <v>126</v>
      </c>
      <c r="C2159" s="41">
        <f t="array" ref="C2159">IF(IFERROR(INDEX(CATALOG_POINTS,MATCH(A2159,CATALOG_TASK,0)),"")="",IF(MAX(IF(IFERROR(FIND(CATALOG_BASE,A2159),0)=1,CATALOG_POINTS,0))=0,DAILY_POST_POINTS,MAX(IF(IFERROR(FIND(CATALOG_BASE,A2159),0)=1,CATALOG_POINTS,0))),IFERROR(INDEX(CATALOG_POINTS,MATCH(A2159,CATALOG_TASK,0)),""))</f>
        <v>2</v>
      </c>
      <c r="D2159" s="10" t="s">
        <v>1352</v>
      </c>
      <c r="E2159" s="41" t="str">
        <f t="shared" si="1"/>
        <v>PROX4</v>
      </c>
    </row>
    <row r="2160" ht="15.75" customHeight="1">
      <c r="A2160" s="10" t="s">
        <v>1352</v>
      </c>
      <c r="B2160" s="10" t="s">
        <v>124</v>
      </c>
      <c r="C2160" s="41">
        <f t="array" ref="C2160">IF(IFERROR(INDEX(CATALOG_POINTS,MATCH(A2160,CATALOG_TASK,0)),"")="",IF(MAX(IF(IFERROR(FIND(CATALOG_BASE,A2160),0)=1,CATALOG_POINTS,0))=0,DAILY_POST_POINTS,MAX(IF(IFERROR(FIND(CATALOG_BASE,A2160),0)=1,CATALOG_POINTS,0))),IFERROR(INDEX(CATALOG_POINTS,MATCH(A2160,CATALOG_TASK,0)),""))</f>
        <v>1</v>
      </c>
      <c r="D2160" s="10" t="s">
        <v>1352</v>
      </c>
      <c r="E2160" s="41" t="str">
        <f t="shared" si="1"/>
        <v>PROX4</v>
      </c>
    </row>
    <row r="2161" ht="15.75" customHeight="1">
      <c r="A2161" s="10" t="s">
        <v>37</v>
      </c>
      <c r="B2161" s="10" t="s">
        <v>125</v>
      </c>
      <c r="C2161" s="41">
        <f t="array" ref="C2161">IF(IFERROR(INDEX(CATALOG_POINTS,MATCH(A2161,CATALOG_TASK,0)),"")="",IF(MAX(IF(IFERROR(FIND(CATALOG_BASE,A2161),0)=1,CATALOG_POINTS,0))=0,DAILY_POST_POINTS,MAX(IF(IFERROR(FIND(CATALOG_BASE,A2161),0)=1,CATALOG_POINTS,0))),IFERROR(INDEX(CATALOG_POINTS,MATCH(A2161,CATALOG_TASK,0)),""))</f>
        <v>2</v>
      </c>
      <c r="D2161" s="10" t="s">
        <v>1352</v>
      </c>
      <c r="E2161" s="41" t="str">
        <f t="shared" si="1"/>
        <v>PROX4</v>
      </c>
    </row>
    <row r="2162" ht="15.75" customHeight="1">
      <c r="A2162" s="10" t="s">
        <v>1353</v>
      </c>
      <c r="B2162" s="10" t="s">
        <v>135</v>
      </c>
      <c r="C2162" s="41">
        <f t="array" ref="C2162">IF(IFERROR(INDEX(CATALOG_POINTS,MATCH(A2162,CATALOG_TASK,0)),"")="",IF(MAX(IF(IFERROR(FIND(CATALOG_BASE,A2162),0)=1,CATALOG_POINTS,0))=0,DAILY_POST_POINTS,MAX(IF(IFERROR(FIND(CATALOG_BASE,A2162),0)=1,CATALOG_POINTS,0))),IFERROR(INDEX(CATALOG_POINTS,MATCH(A2162,CATALOG_TASK,0)),""))</f>
        <v>1</v>
      </c>
      <c r="D2162" s="10" t="s">
        <v>1353</v>
      </c>
      <c r="E2162" s="41" t="str">
        <f t="shared" si="1"/>
        <v>PROX4</v>
      </c>
    </row>
    <row r="2163" ht="15.75" customHeight="1">
      <c r="A2163" s="10" t="s">
        <v>1354</v>
      </c>
      <c r="B2163" s="10" t="s">
        <v>129</v>
      </c>
      <c r="C2163" s="41">
        <f t="array" ref="C2163">IF(IFERROR(INDEX(CATALOG_POINTS,MATCH(A2163,CATALOG_TASK,0)),"")="",IF(MAX(IF(IFERROR(FIND(CATALOG_BASE,A2163),0)=1,CATALOG_POINTS,0))=0,DAILY_POST_POINTS,MAX(IF(IFERROR(FIND(CATALOG_BASE,A2163),0)=1,CATALOG_POINTS,0))),IFERROR(INDEX(CATALOG_POINTS,MATCH(A2163,CATALOG_TASK,0)),""))</f>
        <v>1</v>
      </c>
      <c r="D2163" s="10" t="s">
        <v>1354</v>
      </c>
      <c r="E2163" s="41" t="str">
        <f t="shared" si="1"/>
        <v>PROX3</v>
      </c>
    </row>
    <row r="2164" ht="15.75" customHeight="1">
      <c r="A2164" s="10" t="s">
        <v>180</v>
      </c>
      <c r="B2164" s="10" t="s">
        <v>129</v>
      </c>
      <c r="C2164" s="41">
        <f t="array" ref="C2164">IF(IFERROR(INDEX(CATALOG_POINTS,MATCH(A2164,CATALOG_TASK,0)),"")="",IF(MAX(IF(IFERROR(FIND(CATALOG_BASE,A2164),0)=1,CATALOG_POINTS,0))=0,DAILY_POST_POINTS,MAX(IF(IFERROR(FIND(CATALOG_BASE,A2164),0)=1,CATALOG_POINTS,0))),IFERROR(INDEX(CATALOG_POINTS,MATCH(A2164,CATALOG_TASK,0)),""))</f>
        <v>1</v>
      </c>
      <c r="D2164" s="10" t="s">
        <v>1354</v>
      </c>
      <c r="E2164" s="41" t="str">
        <f t="shared" si="1"/>
        <v>PROX3</v>
      </c>
    </row>
    <row r="2165" ht="15.75" customHeight="1">
      <c r="A2165" s="10" t="s">
        <v>1355</v>
      </c>
      <c r="B2165" s="10" t="s">
        <v>128</v>
      </c>
      <c r="C2165" s="41">
        <f t="array" ref="C2165">IF(IFERROR(INDEX(CATALOG_POINTS,MATCH(A2165,CATALOG_TASK,0)),"")="",IF(MAX(IF(IFERROR(FIND(CATALOG_BASE,A2165),0)=1,CATALOG_POINTS,0))=0,DAILY_POST_POINTS,MAX(IF(IFERROR(FIND(CATALOG_BASE,A2165),0)=1,CATALOG_POINTS,0))),IFERROR(INDEX(CATALOG_POINTS,MATCH(A2165,CATALOG_TASK,0)),""))</f>
        <v>1</v>
      </c>
      <c r="D2165" s="10" t="s">
        <v>1355</v>
      </c>
      <c r="E2165" s="41" t="str">
        <f t="shared" si="1"/>
        <v>PROX4</v>
      </c>
    </row>
    <row r="2166" ht="15.75" customHeight="1">
      <c r="A2166" s="10" t="s">
        <v>40</v>
      </c>
      <c r="B2166" s="10" t="s">
        <v>119</v>
      </c>
      <c r="C2166" s="41">
        <f t="array" ref="C2166">IF(IFERROR(INDEX(CATALOG_POINTS,MATCH(A2166,CATALOG_TASK,0)),"")="",IF(MAX(IF(IFERROR(FIND(CATALOG_BASE,A2166),0)=1,CATALOG_POINTS,0))=0,DAILY_POST_POINTS,MAX(IF(IFERROR(FIND(CATALOG_BASE,A2166),0)=1,CATALOG_POINTS,0))),IFERROR(INDEX(CATALOG_POINTS,MATCH(A2166,CATALOG_TASK,0)),""))</f>
        <v>3</v>
      </c>
      <c r="D2166" s="10" t="s">
        <v>1356</v>
      </c>
      <c r="E2166" s="41" t="str">
        <f t="shared" si="1"/>
        <v/>
      </c>
    </row>
    <row r="2167" ht="15.75" customHeight="1">
      <c r="A2167" s="10" t="s">
        <v>37</v>
      </c>
      <c r="B2167" s="10" t="s">
        <v>120</v>
      </c>
      <c r="C2167" s="41">
        <f t="array" ref="C2167">IF(IFERROR(INDEX(CATALOG_POINTS,MATCH(A2167,CATALOG_TASK,0)),"")="",IF(MAX(IF(IFERROR(FIND(CATALOG_BASE,A2167),0)=1,CATALOG_POINTS,0))=0,DAILY_POST_POINTS,MAX(IF(IFERROR(FIND(CATALOG_BASE,A2167),0)=1,CATALOG_POINTS,0))),IFERROR(INDEX(CATALOG_POINTS,MATCH(A2167,CATALOG_TASK,0)),""))</f>
        <v>2</v>
      </c>
      <c r="D2167" s="10" t="s">
        <v>1357</v>
      </c>
      <c r="E2167" s="41" t="str">
        <f t="shared" si="1"/>
        <v>PROX3</v>
      </c>
    </row>
    <row r="2168" ht="15.75" customHeight="1">
      <c r="A2168" s="10" t="s">
        <v>42</v>
      </c>
      <c r="B2168" s="10" t="s">
        <v>128</v>
      </c>
      <c r="C2168" s="41">
        <f t="array" ref="C2168">IF(IFERROR(INDEX(CATALOG_POINTS,MATCH(A2168,CATALOG_TASK,0)),"")="",IF(MAX(IF(IFERROR(FIND(CATALOG_BASE,A2168),0)=1,CATALOG_POINTS,0))=0,DAILY_POST_POINTS,MAX(IF(IFERROR(FIND(CATALOG_BASE,A2168),0)=1,CATALOG_POINTS,0))),IFERROR(INDEX(CATALOG_POINTS,MATCH(A2168,CATALOG_TASK,0)),""))</f>
        <v>2</v>
      </c>
      <c r="D2168" s="10" t="s">
        <v>1357</v>
      </c>
      <c r="E2168" s="41" t="str">
        <f t="shared" si="1"/>
        <v>PROX3</v>
      </c>
    </row>
    <row r="2169" ht="15.75" customHeight="1">
      <c r="A2169" s="10" t="s">
        <v>1357</v>
      </c>
      <c r="B2169" s="10" t="s">
        <v>132</v>
      </c>
      <c r="C2169" s="41">
        <f t="array" ref="C2169">IF(IFERROR(INDEX(CATALOG_POINTS,MATCH(A2169,CATALOG_TASK,0)),"")="",IF(MAX(IF(IFERROR(FIND(CATALOG_BASE,A2169),0)=1,CATALOG_POINTS,0))=0,DAILY_POST_POINTS,MAX(IF(IFERROR(FIND(CATALOG_BASE,A2169),0)=1,CATALOG_POINTS,0))),IFERROR(INDEX(CATALOG_POINTS,MATCH(A2169,CATALOG_TASK,0)),""))</f>
        <v>1</v>
      </c>
      <c r="D2169" s="10" t="s">
        <v>1357</v>
      </c>
      <c r="E2169" s="41" t="str">
        <f t="shared" si="1"/>
        <v>PROX3</v>
      </c>
    </row>
    <row r="2170" ht="15.75" customHeight="1">
      <c r="A2170" s="10" t="s">
        <v>37</v>
      </c>
      <c r="B2170" s="10" t="s">
        <v>120</v>
      </c>
      <c r="C2170" s="41">
        <f t="array" ref="C2170">IF(IFERROR(INDEX(CATALOG_POINTS,MATCH(A2170,CATALOG_TASK,0)),"")="",IF(MAX(IF(IFERROR(FIND(CATALOG_BASE,A2170),0)=1,CATALOG_POINTS,0))=0,DAILY_POST_POINTS,MAX(IF(IFERROR(FIND(CATALOG_BASE,A2170),0)=1,CATALOG_POINTS,0))),IFERROR(INDEX(CATALOG_POINTS,MATCH(A2170,CATALOG_TASK,0)),""))</f>
        <v>2</v>
      </c>
      <c r="D2170" s="10" t="s">
        <v>1357</v>
      </c>
      <c r="E2170" s="41" t="str">
        <f t="shared" si="1"/>
        <v>PROX3</v>
      </c>
    </row>
    <row r="2171" ht="15.75" customHeight="1">
      <c r="A2171" s="10" t="s">
        <v>37</v>
      </c>
      <c r="B2171" s="10" t="s">
        <v>120</v>
      </c>
      <c r="C2171" s="41">
        <f t="array" ref="C2171">IF(IFERROR(INDEX(CATALOG_POINTS,MATCH(A2171,CATALOG_TASK,0)),"")="",IF(MAX(IF(IFERROR(FIND(CATALOG_BASE,A2171),0)=1,CATALOG_POINTS,0))=0,DAILY_POST_POINTS,MAX(IF(IFERROR(FIND(CATALOG_BASE,A2171),0)=1,CATALOG_POINTS,0))),IFERROR(INDEX(CATALOG_POINTS,MATCH(A2171,CATALOG_TASK,0)),""))</f>
        <v>2</v>
      </c>
      <c r="D2171" s="10" t="s">
        <v>1357</v>
      </c>
      <c r="E2171" s="41" t="str">
        <f t="shared" si="1"/>
        <v>PROX3</v>
      </c>
    </row>
    <row r="2172" ht="15.75" customHeight="1">
      <c r="A2172" s="10" t="s">
        <v>37</v>
      </c>
      <c r="B2172" s="10" t="s">
        <v>128</v>
      </c>
      <c r="C2172" s="41">
        <f t="array" ref="C2172">IF(IFERROR(INDEX(CATALOG_POINTS,MATCH(A2172,CATALOG_TASK,0)),"")="",IF(MAX(IF(IFERROR(FIND(CATALOG_BASE,A2172),0)=1,CATALOG_POINTS,0))=0,DAILY_POST_POINTS,MAX(IF(IFERROR(FIND(CATALOG_BASE,A2172),0)=1,CATALOG_POINTS,0))),IFERROR(INDEX(CATALOG_POINTS,MATCH(A2172,CATALOG_TASK,0)),""))</f>
        <v>2</v>
      </c>
      <c r="D2172" s="10" t="s">
        <v>1358</v>
      </c>
      <c r="E2172" s="41" t="str">
        <f t="shared" si="1"/>
        <v>PROX5</v>
      </c>
    </row>
    <row r="2173" ht="15.75" customHeight="1">
      <c r="A2173" s="10" t="s">
        <v>177</v>
      </c>
      <c r="B2173" s="10" t="s">
        <v>140</v>
      </c>
      <c r="C2173" s="41">
        <f t="array" ref="C2173">IF(IFERROR(INDEX(CATALOG_POINTS,MATCH(A2173,CATALOG_TASK,0)),"")="",IF(MAX(IF(IFERROR(FIND(CATALOG_BASE,A2173),0)=1,CATALOG_POINTS,0))=0,DAILY_POST_POINTS,MAX(IF(IFERROR(FIND(CATALOG_BASE,A2173),0)=1,CATALOG_POINTS,0))),IFERROR(INDEX(CATALOG_POINTS,MATCH(A2173,CATALOG_TASK,0)),""))</f>
        <v>6</v>
      </c>
      <c r="D2173" s="10" t="s">
        <v>1358</v>
      </c>
      <c r="E2173" s="41" t="str">
        <f t="shared" si="1"/>
        <v>PROX5</v>
      </c>
    </row>
    <row r="2174" ht="15.75" customHeight="1">
      <c r="A2174" s="10" t="s">
        <v>37</v>
      </c>
      <c r="B2174" s="10" t="s">
        <v>126</v>
      </c>
      <c r="C2174" s="41">
        <f t="array" ref="C2174">IF(IFERROR(INDEX(CATALOG_POINTS,MATCH(A2174,CATALOG_TASK,0)),"")="",IF(MAX(IF(IFERROR(FIND(CATALOG_BASE,A2174),0)=1,CATALOG_POINTS,0))=0,DAILY_POST_POINTS,MAX(IF(IFERROR(FIND(CATALOG_BASE,A2174),0)=1,CATALOG_POINTS,0))),IFERROR(INDEX(CATALOG_POINTS,MATCH(A2174,CATALOG_TASK,0)),""))</f>
        <v>2</v>
      </c>
      <c r="D2174" s="10" t="s">
        <v>1358</v>
      </c>
      <c r="E2174" s="41" t="str">
        <f t="shared" si="1"/>
        <v>PROX5</v>
      </c>
    </row>
    <row r="2175" ht="15.75" customHeight="1">
      <c r="A2175" s="10" t="s">
        <v>37</v>
      </c>
      <c r="B2175" s="10" t="s">
        <v>124</v>
      </c>
      <c r="C2175" s="41">
        <f t="array" ref="C2175">IF(IFERROR(INDEX(CATALOG_POINTS,MATCH(A2175,CATALOG_TASK,0)),"")="",IF(MAX(IF(IFERROR(FIND(CATALOG_BASE,A2175),0)=1,CATALOG_POINTS,0))=0,DAILY_POST_POINTS,MAX(IF(IFERROR(FIND(CATALOG_BASE,A2175),0)=1,CATALOG_POINTS,0))),IFERROR(INDEX(CATALOG_POINTS,MATCH(A2175,CATALOG_TASK,0)),""))</f>
        <v>2</v>
      </c>
      <c r="D2175" s="10" t="s">
        <v>1358</v>
      </c>
      <c r="E2175" s="41" t="str">
        <f t="shared" si="1"/>
        <v>PROX5</v>
      </c>
    </row>
    <row r="2176" ht="15.75" customHeight="1">
      <c r="A2176" s="10" t="s">
        <v>37</v>
      </c>
      <c r="B2176" s="10" t="s">
        <v>122</v>
      </c>
      <c r="C2176" s="41">
        <f t="array" ref="C2176">IF(IFERROR(INDEX(CATALOG_POINTS,MATCH(A2176,CATALOG_TASK,0)),"")="",IF(MAX(IF(IFERROR(FIND(CATALOG_BASE,A2176),0)=1,CATALOG_POINTS,0))=0,DAILY_POST_POINTS,MAX(IF(IFERROR(FIND(CATALOG_BASE,A2176),0)=1,CATALOG_POINTS,0))),IFERROR(INDEX(CATALOG_POINTS,MATCH(A2176,CATALOG_TASK,0)),""))</f>
        <v>2</v>
      </c>
      <c r="D2176" s="10" t="s">
        <v>1358</v>
      </c>
      <c r="E2176" s="41" t="str">
        <f t="shared" si="1"/>
        <v>PROX5</v>
      </c>
    </row>
    <row r="2177" ht="15.75" customHeight="1">
      <c r="A2177" s="10" t="s">
        <v>37</v>
      </c>
      <c r="B2177" s="10" t="s">
        <v>119</v>
      </c>
      <c r="C2177" s="41">
        <f t="array" ref="C2177">IF(IFERROR(INDEX(CATALOG_POINTS,MATCH(A2177,CATALOG_TASK,0)),"")="",IF(MAX(IF(IFERROR(FIND(CATALOG_BASE,A2177),0)=1,CATALOG_POINTS,0))=0,DAILY_POST_POINTS,MAX(IF(IFERROR(FIND(CATALOG_BASE,A2177),0)=1,CATALOG_POINTS,0))),IFERROR(INDEX(CATALOG_POINTS,MATCH(A2177,CATALOG_TASK,0)),""))</f>
        <v>2</v>
      </c>
      <c r="D2177" s="10" t="s">
        <v>1358</v>
      </c>
      <c r="E2177" s="41" t="str">
        <f t="shared" si="1"/>
        <v>PROX5</v>
      </c>
    </row>
    <row r="2178" ht="15.75" customHeight="1">
      <c r="A2178" s="10" t="s">
        <v>37</v>
      </c>
      <c r="B2178" s="10" t="s">
        <v>123</v>
      </c>
      <c r="C2178" s="41">
        <f t="array" ref="C2178">IF(IFERROR(INDEX(CATALOG_POINTS,MATCH(A2178,CATALOG_TASK,0)),"")="",IF(MAX(IF(IFERROR(FIND(CATALOG_BASE,A2178),0)=1,CATALOG_POINTS,0))=0,DAILY_POST_POINTS,MAX(IF(IFERROR(FIND(CATALOG_BASE,A2178),0)=1,CATALOG_POINTS,0))),IFERROR(INDEX(CATALOG_POINTS,MATCH(A2178,CATALOG_TASK,0)),""))</f>
        <v>2</v>
      </c>
      <c r="D2178" s="10" t="s">
        <v>1358</v>
      </c>
      <c r="E2178" s="41" t="str">
        <f t="shared" si="1"/>
        <v>PROX5</v>
      </c>
    </row>
    <row r="2179" ht="15.75" customHeight="1">
      <c r="A2179" s="10" t="s">
        <v>1173</v>
      </c>
      <c r="B2179" s="10" t="s">
        <v>119</v>
      </c>
      <c r="C2179" s="41">
        <f t="array" ref="C2179">IF(IFERROR(INDEX(CATALOG_POINTS,MATCH(A2179,CATALOG_TASK,0)),"")="",IF(MAX(IF(IFERROR(FIND(CATALOG_BASE,A2179),0)=1,CATALOG_POINTS,0))=0,DAILY_POST_POINTS,MAX(IF(IFERROR(FIND(CATALOG_BASE,A2179),0)=1,CATALOG_POINTS,0))),IFERROR(INDEX(CATALOG_POINTS,MATCH(A2179,CATALOG_TASK,0)),""))</f>
        <v>1</v>
      </c>
      <c r="D2179" s="10" t="s">
        <v>1358</v>
      </c>
      <c r="E2179" s="41" t="str">
        <f t="shared" si="1"/>
        <v>PROX5</v>
      </c>
    </row>
    <row r="2180" ht="15.75" customHeight="1">
      <c r="A2180" s="10" t="s">
        <v>55</v>
      </c>
      <c r="B2180" s="10" t="s">
        <v>142</v>
      </c>
      <c r="C2180" s="41">
        <f t="array" ref="C2180">IF(IFERROR(INDEX(CATALOG_POINTS,MATCH(A2180,CATALOG_TASK,0)),"")="",IF(MAX(IF(IFERROR(FIND(CATALOG_BASE,A2180),0)=1,CATALOG_POINTS,0))=0,DAILY_POST_POINTS,MAX(IF(IFERROR(FIND(CATALOG_BASE,A2180),0)=1,CATALOG_POINTS,0))),IFERROR(INDEX(CATALOG_POINTS,MATCH(A2180,CATALOG_TASK,0)),""))</f>
        <v>8</v>
      </c>
      <c r="D2180" s="10" t="s">
        <v>1358</v>
      </c>
      <c r="E2180" s="41" t="str">
        <f t="shared" si="1"/>
        <v>PROX5</v>
      </c>
    </row>
    <row r="2181" ht="15.75" customHeight="1">
      <c r="A2181" s="10" t="s">
        <v>37</v>
      </c>
      <c r="B2181" s="10" t="s">
        <v>126</v>
      </c>
      <c r="C2181" s="41">
        <f t="array" ref="C2181">IF(IFERROR(INDEX(CATALOG_POINTS,MATCH(A2181,CATALOG_TASK,0)),"")="",IF(MAX(IF(IFERROR(FIND(CATALOG_BASE,A2181),0)=1,CATALOG_POINTS,0))=0,DAILY_POST_POINTS,MAX(IF(IFERROR(FIND(CATALOG_BASE,A2181),0)=1,CATALOG_POINTS,0))),IFERROR(INDEX(CATALOG_POINTS,MATCH(A2181,CATALOG_TASK,0)),""))</f>
        <v>2</v>
      </c>
      <c r="D2181" s="10" t="s">
        <v>1358</v>
      </c>
      <c r="E2181" s="41" t="str">
        <f t="shared" si="1"/>
        <v>PROX5</v>
      </c>
    </row>
    <row r="2182" ht="15.75" customHeight="1">
      <c r="A2182" s="10" t="s">
        <v>1358</v>
      </c>
      <c r="B2182" s="10" t="s">
        <v>122</v>
      </c>
      <c r="C2182" s="41">
        <f t="array" ref="C2182">IF(IFERROR(INDEX(CATALOG_POINTS,MATCH(A2182,CATALOG_TASK,0)),"")="",IF(MAX(IF(IFERROR(FIND(CATALOG_BASE,A2182),0)=1,CATALOG_POINTS,0))=0,DAILY_POST_POINTS,MAX(IF(IFERROR(FIND(CATALOG_BASE,A2182),0)=1,CATALOG_POINTS,0))),IFERROR(INDEX(CATALOG_POINTS,MATCH(A2182,CATALOG_TASK,0)),""))</f>
        <v>1</v>
      </c>
      <c r="D2182" s="10" t="s">
        <v>1358</v>
      </c>
      <c r="E2182" s="41" t="str">
        <f t="shared" si="1"/>
        <v>PROX5</v>
      </c>
    </row>
    <row r="2183" ht="15.75" customHeight="1">
      <c r="A2183" s="10" t="s">
        <v>168</v>
      </c>
      <c r="B2183" s="10" t="s">
        <v>119</v>
      </c>
      <c r="C2183" s="41">
        <f t="array" ref="C2183">IF(IFERROR(INDEX(CATALOG_POINTS,MATCH(A2183,CATALOG_TASK,0)),"")="",IF(MAX(IF(IFERROR(FIND(CATALOG_BASE,A2183),0)=1,CATALOG_POINTS,0))=0,DAILY_POST_POINTS,MAX(IF(IFERROR(FIND(CATALOG_BASE,A2183),0)=1,CATALOG_POINTS,0))),IFERROR(INDEX(CATALOG_POINTS,MATCH(A2183,CATALOG_TASK,0)),""))</f>
        <v>1</v>
      </c>
      <c r="D2183" s="10" t="s">
        <v>1358</v>
      </c>
      <c r="E2183" s="41" t="str">
        <f t="shared" si="1"/>
        <v>PROX5</v>
      </c>
    </row>
    <row r="2184" ht="15.75" customHeight="1">
      <c r="A2184" s="10" t="s">
        <v>37</v>
      </c>
      <c r="B2184" s="10" t="s">
        <v>122</v>
      </c>
      <c r="C2184" s="41">
        <f t="array" ref="C2184">IF(IFERROR(INDEX(CATALOG_POINTS,MATCH(A2184,CATALOG_TASK,0)),"")="",IF(MAX(IF(IFERROR(FIND(CATALOG_BASE,A2184),0)=1,CATALOG_POINTS,0))=0,DAILY_POST_POINTS,MAX(IF(IFERROR(FIND(CATALOG_BASE,A2184),0)=1,CATALOG_POINTS,0))),IFERROR(INDEX(CATALOG_POINTS,MATCH(A2184,CATALOG_TASK,0)),""))</f>
        <v>2</v>
      </c>
      <c r="D2184" s="10" t="s">
        <v>1358</v>
      </c>
      <c r="E2184" s="41" t="str">
        <f t="shared" si="1"/>
        <v>PROX5</v>
      </c>
    </row>
    <row r="2185" ht="15.75" customHeight="1">
      <c r="A2185" s="10" t="s">
        <v>174</v>
      </c>
      <c r="B2185" s="10" t="s">
        <v>149</v>
      </c>
      <c r="C2185" s="41">
        <f t="array" ref="C2185">IF(IFERROR(INDEX(CATALOG_POINTS,MATCH(A2185,CATALOG_TASK,0)),"")="",IF(MAX(IF(IFERROR(FIND(CATALOG_BASE,A2185),0)=1,CATALOG_POINTS,0))=0,DAILY_POST_POINTS,MAX(IF(IFERROR(FIND(CATALOG_BASE,A2185),0)=1,CATALOG_POINTS,0))),IFERROR(INDEX(CATALOG_POINTS,MATCH(A2185,CATALOG_TASK,0)),""))</f>
        <v>1</v>
      </c>
      <c r="D2185" s="10" t="s">
        <v>1358</v>
      </c>
      <c r="E2185" s="41" t="str">
        <f t="shared" si="1"/>
        <v>PROX5</v>
      </c>
    </row>
    <row r="2186" ht="15.75" customHeight="1">
      <c r="A2186" s="10" t="s">
        <v>37</v>
      </c>
      <c r="B2186" s="10" t="s">
        <v>125</v>
      </c>
      <c r="C2186" s="41">
        <f t="array" ref="C2186">IF(IFERROR(INDEX(CATALOG_POINTS,MATCH(A2186,CATALOG_TASK,0)),"")="",IF(MAX(IF(IFERROR(FIND(CATALOG_BASE,A2186),0)=1,CATALOG_POINTS,0))=0,DAILY_POST_POINTS,MAX(IF(IFERROR(FIND(CATALOG_BASE,A2186),0)=1,CATALOG_POINTS,0))),IFERROR(INDEX(CATALOG_POINTS,MATCH(A2186,CATALOG_TASK,0)),""))</f>
        <v>2</v>
      </c>
      <c r="D2186" s="10" t="s">
        <v>1358</v>
      </c>
      <c r="E2186" s="41" t="str">
        <f t="shared" si="1"/>
        <v>PROX5</v>
      </c>
    </row>
    <row r="2187" ht="15.75" customHeight="1">
      <c r="A2187" s="10" t="s">
        <v>37</v>
      </c>
      <c r="B2187" s="10" t="s">
        <v>119</v>
      </c>
      <c r="C2187" s="41">
        <f t="array" ref="C2187">IF(IFERROR(INDEX(CATALOG_POINTS,MATCH(A2187,CATALOG_TASK,0)),"")="",IF(MAX(IF(IFERROR(FIND(CATALOG_BASE,A2187),0)=1,CATALOG_POINTS,0))=0,DAILY_POST_POINTS,MAX(IF(IFERROR(FIND(CATALOG_BASE,A2187),0)=1,CATALOG_POINTS,0))),IFERROR(INDEX(CATALOG_POINTS,MATCH(A2187,CATALOG_TASK,0)),""))</f>
        <v>2</v>
      </c>
      <c r="D2187" s="10" t="s">
        <v>1358</v>
      </c>
      <c r="E2187" s="41" t="str">
        <f t="shared" si="1"/>
        <v>PROX5</v>
      </c>
    </row>
    <row r="2188" ht="15.75" customHeight="1">
      <c r="A2188" s="10" t="s">
        <v>37</v>
      </c>
      <c r="B2188" s="10" t="s">
        <v>122</v>
      </c>
      <c r="C2188" s="41">
        <f t="array" ref="C2188">IF(IFERROR(INDEX(CATALOG_POINTS,MATCH(A2188,CATALOG_TASK,0)),"")="",IF(MAX(IF(IFERROR(FIND(CATALOG_BASE,A2188),0)=1,CATALOG_POINTS,0))=0,DAILY_POST_POINTS,MAX(IF(IFERROR(FIND(CATALOG_BASE,A2188),0)=1,CATALOG_POINTS,0))),IFERROR(INDEX(CATALOG_POINTS,MATCH(A2188,CATALOG_TASK,0)),""))</f>
        <v>2</v>
      </c>
      <c r="D2188" s="10" t="s">
        <v>1358</v>
      </c>
      <c r="E2188" s="41" t="str">
        <f t="shared" si="1"/>
        <v>PROX5</v>
      </c>
    </row>
    <row r="2189" ht="15.75" customHeight="1">
      <c r="A2189" s="10" t="s">
        <v>37</v>
      </c>
      <c r="B2189" s="10" t="s">
        <v>122</v>
      </c>
      <c r="C2189" s="41">
        <f t="array" ref="C2189">IF(IFERROR(INDEX(CATALOG_POINTS,MATCH(A2189,CATALOG_TASK,0)),"")="",IF(MAX(IF(IFERROR(FIND(CATALOG_BASE,A2189),0)=1,CATALOG_POINTS,0))=0,DAILY_POST_POINTS,MAX(IF(IFERROR(FIND(CATALOG_BASE,A2189),0)=1,CATALOG_POINTS,0))),IFERROR(INDEX(CATALOG_POINTS,MATCH(A2189,CATALOG_TASK,0)),""))</f>
        <v>2</v>
      </c>
      <c r="D2189" s="10" t="s">
        <v>1358</v>
      </c>
      <c r="E2189" s="41" t="str">
        <f t="shared" si="1"/>
        <v>PROX5</v>
      </c>
    </row>
    <row r="2190" ht="15.75" customHeight="1">
      <c r="A2190" s="10" t="s">
        <v>37</v>
      </c>
      <c r="B2190" s="10" t="s">
        <v>119</v>
      </c>
      <c r="C2190" s="41">
        <f t="array" ref="C2190">IF(IFERROR(INDEX(CATALOG_POINTS,MATCH(A2190,CATALOG_TASK,0)),"")="",IF(MAX(IF(IFERROR(FIND(CATALOG_BASE,A2190),0)=1,CATALOG_POINTS,0))=0,DAILY_POST_POINTS,MAX(IF(IFERROR(FIND(CATALOG_BASE,A2190),0)=1,CATALOG_POINTS,0))),IFERROR(INDEX(CATALOG_POINTS,MATCH(A2190,CATALOG_TASK,0)),""))</f>
        <v>2</v>
      </c>
      <c r="D2190" s="10" t="s">
        <v>1358</v>
      </c>
      <c r="E2190" s="41" t="str">
        <f t="shared" si="1"/>
        <v>PROX5</v>
      </c>
    </row>
    <row r="2191" ht="15.75" customHeight="1">
      <c r="A2191" s="10" t="s">
        <v>37</v>
      </c>
      <c r="B2191" s="10" t="s">
        <v>126</v>
      </c>
      <c r="C2191" s="41">
        <f t="array" ref="C2191">IF(IFERROR(INDEX(CATALOG_POINTS,MATCH(A2191,CATALOG_TASK,0)),"")="",IF(MAX(IF(IFERROR(FIND(CATALOG_BASE,A2191),0)=1,CATALOG_POINTS,0))=0,DAILY_POST_POINTS,MAX(IF(IFERROR(FIND(CATALOG_BASE,A2191),0)=1,CATALOG_POINTS,0))),IFERROR(INDEX(CATALOG_POINTS,MATCH(A2191,CATALOG_TASK,0)),""))</f>
        <v>2</v>
      </c>
      <c r="D2191" s="10" t="s">
        <v>1358</v>
      </c>
      <c r="E2191" s="41" t="str">
        <f t="shared" si="1"/>
        <v>PROX5</v>
      </c>
    </row>
    <row r="2192" ht="15.75" customHeight="1">
      <c r="A2192" s="10" t="s">
        <v>1359</v>
      </c>
      <c r="B2192" s="10" t="s">
        <v>124</v>
      </c>
      <c r="C2192" s="41">
        <f t="array" ref="C2192">IF(IFERROR(INDEX(CATALOG_POINTS,MATCH(A2192,CATALOG_TASK,0)),"")="",IF(MAX(IF(IFERROR(FIND(CATALOG_BASE,A2192),0)=1,CATALOG_POINTS,0))=0,DAILY_POST_POINTS,MAX(IF(IFERROR(FIND(CATALOG_BASE,A2192),0)=1,CATALOG_POINTS,0))),IFERROR(INDEX(CATALOG_POINTS,MATCH(A2192,CATALOG_TASK,0)),""))</f>
        <v>1</v>
      </c>
      <c r="D2192" s="10" t="s">
        <v>1359</v>
      </c>
      <c r="E2192" s="41" t="str">
        <f t="shared" si="1"/>
        <v>PROX3</v>
      </c>
    </row>
    <row r="2193" ht="15.75" customHeight="1">
      <c r="A2193" s="10" t="s">
        <v>37</v>
      </c>
      <c r="B2193" s="10" t="s">
        <v>117</v>
      </c>
      <c r="C2193" s="41">
        <f t="array" ref="C2193">IF(IFERROR(INDEX(CATALOG_POINTS,MATCH(A2193,CATALOG_TASK,0)),"")="",IF(MAX(IF(IFERROR(FIND(CATALOG_BASE,A2193),0)=1,CATALOG_POINTS,0))=0,DAILY_POST_POINTS,MAX(IF(IFERROR(FIND(CATALOG_BASE,A2193),0)=1,CATALOG_POINTS,0))),IFERROR(INDEX(CATALOG_POINTS,MATCH(A2193,CATALOG_TASK,0)),""))</f>
        <v>2</v>
      </c>
      <c r="D2193" s="10" t="s">
        <v>1359</v>
      </c>
      <c r="E2193" s="41" t="str">
        <f t="shared" si="1"/>
        <v>PROX3</v>
      </c>
    </row>
    <row r="2194" ht="15.75" customHeight="1">
      <c r="A2194" s="10" t="s">
        <v>1360</v>
      </c>
      <c r="B2194" s="10" t="s">
        <v>127</v>
      </c>
      <c r="C2194" s="41">
        <f t="array" ref="C2194">IF(IFERROR(INDEX(CATALOG_POINTS,MATCH(A2194,CATALOG_TASK,0)),"")="",IF(MAX(IF(IFERROR(FIND(CATALOG_BASE,A2194),0)=1,CATALOG_POINTS,0))=0,DAILY_POST_POINTS,MAX(IF(IFERROR(FIND(CATALOG_BASE,A2194),0)=1,CATALOG_POINTS,0))),IFERROR(INDEX(CATALOG_POINTS,MATCH(A2194,CATALOG_TASK,0)),""))</f>
        <v>1</v>
      </c>
      <c r="D2194" s="10" t="s">
        <v>1360</v>
      </c>
      <c r="E2194" s="41" t="str">
        <f t="shared" si="1"/>
        <v>PROX4</v>
      </c>
    </row>
    <row r="2195" ht="15.75" customHeight="1">
      <c r="A2195" s="10" t="s">
        <v>37</v>
      </c>
      <c r="B2195" s="10" t="s">
        <v>117</v>
      </c>
      <c r="C2195" s="41">
        <f t="array" ref="C2195">IF(IFERROR(INDEX(CATALOG_POINTS,MATCH(A2195,CATALOG_TASK,0)),"")="",IF(MAX(IF(IFERROR(FIND(CATALOG_BASE,A2195),0)=1,CATALOG_POINTS,0))=0,DAILY_POST_POINTS,MAX(IF(IFERROR(FIND(CATALOG_BASE,A2195),0)=1,CATALOG_POINTS,0))),IFERROR(INDEX(CATALOG_POINTS,MATCH(A2195,CATALOG_TASK,0)),""))</f>
        <v>2</v>
      </c>
      <c r="D2195" s="10" t="s">
        <v>1360</v>
      </c>
      <c r="E2195" s="41" t="str">
        <f t="shared" si="1"/>
        <v>PROX4</v>
      </c>
    </row>
    <row r="2196" ht="15.75" customHeight="1">
      <c r="A2196" s="10" t="s">
        <v>177</v>
      </c>
      <c r="B2196" s="10" t="s">
        <v>140</v>
      </c>
      <c r="C2196" s="41">
        <f t="array" ref="C2196">IF(IFERROR(INDEX(CATALOG_POINTS,MATCH(A2196,CATALOG_TASK,0)),"")="",IF(MAX(IF(IFERROR(FIND(CATALOG_BASE,A2196),0)=1,CATALOG_POINTS,0))=0,DAILY_POST_POINTS,MAX(IF(IFERROR(FIND(CATALOG_BASE,A2196),0)=1,CATALOG_POINTS,0))),IFERROR(INDEX(CATALOG_POINTS,MATCH(A2196,CATALOG_TASK,0)),""))</f>
        <v>6</v>
      </c>
      <c r="D2196" s="10" t="s">
        <v>1361</v>
      </c>
      <c r="E2196" s="41" t="str">
        <f t="shared" si="1"/>
        <v>PROX5</v>
      </c>
    </row>
    <row r="2197" ht="15.75" customHeight="1">
      <c r="A2197" s="10" t="s">
        <v>174</v>
      </c>
      <c r="B2197" s="10" t="s">
        <v>124</v>
      </c>
      <c r="C2197" s="41">
        <f t="array" ref="C2197">IF(IFERROR(INDEX(CATALOG_POINTS,MATCH(A2197,CATALOG_TASK,0)),"")="",IF(MAX(IF(IFERROR(FIND(CATALOG_BASE,A2197),0)=1,CATALOG_POINTS,0))=0,DAILY_POST_POINTS,MAX(IF(IFERROR(FIND(CATALOG_BASE,A2197),0)=1,CATALOG_POINTS,0))),IFERROR(INDEX(CATALOG_POINTS,MATCH(A2197,CATALOG_TASK,0)),""))</f>
        <v>1</v>
      </c>
      <c r="D2197" s="10" t="s">
        <v>1361</v>
      </c>
      <c r="E2197" s="41" t="str">
        <f t="shared" si="1"/>
        <v>PROX5</v>
      </c>
    </row>
    <row r="2198" ht="15.75" customHeight="1">
      <c r="A2198" s="10" t="s">
        <v>1173</v>
      </c>
      <c r="B2198" s="10" t="s">
        <v>119</v>
      </c>
      <c r="C2198" s="41">
        <f t="array" ref="C2198">IF(IFERROR(INDEX(CATALOG_POINTS,MATCH(A2198,CATALOG_TASK,0)),"")="",IF(MAX(IF(IFERROR(FIND(CATALOG_BASE,A2198),0)=1,CATALOG_POINTS,0))=0,DAILY_POST_POINTS,MAX(IF(IFERROR(FIND(CATALOG_BASE,A2198),0)=1,CATALOG_POINTS,0))),IFERROR(INDEX(CATALOG_POINTS,MATCH(A2198,CATALOG_TASK,0)),""))</f>
        <v>1</v>
      </c>
      <c r="D2198" s="10" t="s">
        <v>1361</v>
      </c>
      <c r="E2198" s="41" t="str">
        <f t="shared" si="1"/>
        <v>PROX5</v>
      </c>
    </row>
    <row r="2199" ht="15.75" customHeight="1">
      <c r="A2199" s="10" t="s">
        <v>1361</v>
      </c>
      <c r="B2199" s="10" t="s">
        <v>122</v>
      </c>
      <c r="C2199" s="41">
        <f t="array" ref="C2199">IF(IFERROR(INDEX(CATALOG_POINTS,MATCH(A2199,CATALOG_TASK,0)),"")="",IF(MAX(IF(IFERROR(FIND(CATALOG_BASE,A2199),0)=1,CATALOG_POINTS,0))=0,DAILY_POST_POINTS,MAX(IF(IFERROR(FIND(CATALOG_BASE,A2199),0)=1,CATALOG_POINTS,0))),IFERROR(INDEX(CATALOG_POINTS,MATCH(A2199,CATALOG_TASK,0)),""))</f>
        <v>1</v>
      </c>
      <c r="D2199" s="10" t="s">
        <v>1361</v>
      </c>
      <c r="E2199" s="41" t="str">
        <f t="shared" si="1"/>
        <v>PROX5</v>
      </c>
    </row>
    <row r="2200" ht="15.75" customHeight="1">
      <c r="A2200" s="10" t="s">
        <v>37</v>
      </c>
      <c r="B2200" s="10" t="s">
        <v>122</v>
      </c>
      <c r="C2200" s="41">
        <f t="array" ref="C2200">IF(IFERROR(INDEX(CATALOG_POINTS,MATCH(A2200,CATALOG_TASK,0)),"")="",IF(MAX(IF(IFERROR(FIND(CATALOG_BASE,A2200),0)=1,CATALOG_POINTS,0))=0,DAILY_POST_POINTS,MAX(IF(IFERROR(FIND(CATALOG_BASE,A2200),0)=1,CATALOG_POINTS,0))),IFERROR(INDEX(CATALOG_POINTS,MATCH(A2200,CATALOG_TASK,0)),""))</f>
        <v>2</v>
      </c>
      <c r="D2200" s="10" t="s">
        <v>1361</v>
      </c>
      <c r="E2200" s="41" t="str">
        <f t="shared" si="1"/>
        <v>PROX5</v>
      </c>
    </row>
    <row r="2201" ht="15.75" customHeight="1">
      <c r="A2201" s="10" t="s">
        <v>37</v>
      </c>
      <c r="B2201" s="10" t="s">
        <v>126</v>
      </c>
      <c r="C2201" s="41">
        <f t="array" ref="C2201">IF(IFERROR(INDEX(CATALOG_POINTS,MATCH(A2201,CATALOG_TASK,0)),"")="",IF(MAX(IF(IFERROR(FIND(CATALOG_BASE,A2201),0)=1,CATALOG_POINTS,0))=0,DAILY_POST_POINTS,MAX(IF(IFERROR(FIND(CATALOG_BASE,A2201),0)=1,CATALOG_POINTS,0))),IFERROR(INDEX(CATALOG_POINTS,MATCH(A2201,CATALOG_TASK,0)),""))</f>
        <v>2</v>
      </c>
      <c r="D2201" s="10" t="s">
        <v>1361</v>
      </c>
      <c r="E2201" s="41" t="str">
        <f t="shared" si="1"/>
        <v>PROX5</v>
      </c>
    </row>
    <row r="2202" ht="15.75" customHeight="1">
      <c r="A2202" s="10" t="s">
        <v>168</v>
      </c>
      <c r="B2202" s="10" t="s">
        <v>122</v>
      </c>
      <c r="C2202" s="41">
        <f t="array" ref="C2202">IF(IFERROR(INDEX(CATALOG_POINTS,MATCH(A2202,CATALOG_TASK,0)),"")="",IF(MAX(IF(IFERROR(FIND(CATALOG_BASE,A2202),0)=1,CATALOG_POINTS,0))=0,DAILY_POST_POINTS,MAX(IF(IFERROR(FIND(CATALOG_BASE,A2202),0)=1,CATALOG_POINTS,0))),IFERROR(INDEX(CATALOG_POINTS,MATCH(A2202,CATALOG_TASK,0)),""))</f>
        <v>1</v>
      </c>
      <c r="D2202" s="10" t="s">
        <v>1361</v>
      </c>
      <c r="E2202" s="41" t="str">
        <f t="shared" si="1"/>
        <v>PROX5</v>
      </c>
    </row>
    <row r="2203" ht="15.75" customHeight="1">
      <c r="A2203" s="10" t="s">
        <v>37</v>
      </c>
      <c r="B2203" s="10" t="s">
        <v>127</v>
      </c>
      <c r="C2203" s="41">
        <f t="array" ref="C2203">IF(IFERROR(INDEX(CATALOG_POINTS,MATCH(A2203,CATALOG_TASK,0)),"")="",IF(MAX(IF(IFERROR(FIND(CATALOG_BASE,A2203),0)=1,CATALOG_POINTS,0))=0,DAILY_POST_POINTS,MAX(IF(IFERROR(FIND(CATALOG_BASE,A2203),0)=1,CATALOG_POINTS,0))),IFERROR(INDEX(CATALOG_POINTS,MATCH(A2203,CATALOG_TASK,0)),""))</f>
        <v>2</v>
      </c>
      <c r="D2203" s="10" t="s">
        <v>1361</v>
      </c>
      <c r="E2203" s="41" t="str">
        <f t="shared" si="1"/>
        <v>PROX5</v>
      </c>
    </row>
    <row r="2204" ht="15.75" customHeight="1">
      <c r="A2204" s="10" t="s">
        <v>168</v>
      </c>
      <c r="B2204" s="10" t="s">
        <v>119</v>
      </c>
      <c r="C2204" s="41">
        <f t="array" ref="C2204">IF(IFERROR(INDEX(CATALOG_POINTS,MATCH(A2204,CATALOG_TASK,0)),"")="",IF(MAX(IF(IFERROR(FIND(CATALOG_BASE,A2204),0)=1,CATALOG_POINTS,0))=0,DAILY_POST_POINTS,MAX(IF(IFERROR(FIND(CATALOG_BASE,A2204),0)=1,CATALOG_POINTS,0))),IFERROR(INDEX(CATALOG_POINTS,MATCH(A2204,CATALOG_TASK,0)),""))</f>
        <v>1</v>
      </c>
      <c r="D2204" s="10" t="s">
        <v>1361</v>
      </c>
      <c r="E2204" s="41" t="str">
        <f t="shared" si="1"/>
        <v>PROX5</v>
      </c>
    </row>
    <row r="2205" ht="15.75" customHeight="1">
      <c r="A2205" s="10" t="s">
        <v>37</v>
      </c>
      <c r="B2205" s="10" t="s">
        <v>125</v>
      </c>
      <c r="C2205" s="41">
        <f t="array" ref="C2205">IF(IFERROR(INDEX(CATALOG_POINTS,MATCH(A2205,CATALOG_TASK,0)),"")="",IF(MAX(IF(IFERROR(FIND(CATALOG_BASE,A2205),0)=1,CATALOG_POINTS,0))=0,DAILY_POST_POINTS,MAX(IF(IFERROR(FIND(CATALOG_BASE,A2205),0)=1,CATALOG_POINTS,0))),IFERROR(INDEX(CATALOG_POINTS,MATCH(A2205,CATALOG_TASK,0)),""))</f>
        <v>2</v>
      </c>
      <c r="D2205" s="10" t="s">
        <v>1361</v>
      </c>
      <c r="E2205" s="41" t="str">
        <f t="shared" si="1"/>
        <v>PROX5</v>
      </c>
    </row>
    <row r="2206" ht="15.75" customHeight="1">
      <c r="A2206" s="10" t="s">
        <v>55</v>
      </c>
      <c r="B2206" s="10" t="s">
        <v>151</v>
      </c>
      <c r="C2206" s="41">
        <f t="array" ref="C2206">IF(IFERROR(INDEX(CATALOG_POINTS,MATCH(A2206,CATALOG_TASK,0)),"")="",IF(MAX(IF(IFERROR(FIND(CATALOG_BASE,A2206),0)=1,CATALOG_POINTS,0))=0,DAILY_POST_POINTS,MAX(IF(IFERROR(FIND(CATALOG_BASE,A2206),0)=1,CATALOG_POINTS,0))),IFERROR(INDEX(CATALOG_POINTS,MATCH(A2206,CATALOG_TASK,0)),""))</f>
        <v>8</v>
      </c>
      <c r="D2206" s="10" t="s">
        <v>1361</v>
      </c>
      <c r="E2206" s="41" t="str">
        <f t="shared" si="1"/>
        <v>PROX5</v>
      </c>
    </row>
    <row r="2207" ht="15.75" customHeight="1">
      <c r="A2207" s="10" t="s">
        <v>37</v>
      </c>
      <c r="B2207" s="10" t="s">
        <v>122</v>
      </c>
      <c r="C2207" s="41">
        <f t="array" ref="C2207">IF(IFERROR(INDEX(CATALOG_POINTS,MATCH(A2207,CATALOG_TASK,0)),"")="",IF(MAX(IF(IFERROR(FIND(CATALOG_BASE,A2207),0)=1,CATALOG_POINTS,0))=0,DAILY_POST_POINTS,MAX(IF(IFERROR(FIND(CATALOG_BASE,A2207),0)=1,CATALOG_POINTS,0))),IFERROR(INDEX(CATALOG_POINTS,MATCH(A2207,CATALOG_TASK,0)),""))</f>
        <v>2</v>
      </c>
      <c r="D2207" s="10" t="s">
        <v>1361</v>
      </c>
      <c r="E2207" s="41" t="str">
        <f t="shared" si="1"/>
        <v>PROX5</v>
      </c>
    </row>
    <row r="2208" ht="15.75" customHeight="1">
      <c r="A2208" s="10" t="s">
        <v>37</v>
      </c>
      <c r="B2208" s="10" t="s">
        <v>123</v>
      </c>
      <c r="C2208" s="41">
        <f t="array" ref="C2208">IF(IFERROR(INDEX(CATALOG_POINTS,MATCH(A2208,CATALOG_TASK,0)),"")="",IF(MAX(IF(IFERROR(FIND(CATALOG_BASE,A2208),0)=1,CATALOG_POINTS,0))=0,DAILY_POST_POINTS,MAX(IF(IFERROR(FIND(CATALOG_BASE,A2208),0)=1,CATALOG_POINTS,0))),IFERROR(INDEX(CATALOG_POINTS,MATCH(A2208,CATALOG_TASK,0)),""))</f>
        <v>2</v>
      </c>
      <c r="D2208" s="10" t="s">
        <v>1361</v>
      </c>
      <c r="E2208" s="41" t="str">
        <f t="shared" si="1"/>
        <v>PROX5</v>
      </c>
    </row>
    <row r="2209" ht="15.75" customHeight="1">
      <c r="A2209" s="10" t="s">
        <v>37</v>
      </c>
      <c r="B2209" s="10" t="s">
        <v>123</v>
      </c>
      <c r="C2209" s="41">
        <f t="array" ref="C2209">IF(IFERROR(INDEX(CATALOG_POINTS,MATCH(A2209,CATALOG_TASK,0)),"")="",IF(MAX(IF(IFERROR(FIND(CATALOG_BASE,A2209),0)=1,CATALOG_POINTS,0))=0,DAILY_POST_POINTS,MAX(IF(IFERROR(FIND(CATALOG_BASE,A2209),0)=1,CATALOG_POINTS,0))),IFERROR(INDEX(CATALOG_POINTS,MATCH(A2209,CATALOG_TASK,0)),""))</f>
        <v>2</v>
      </c>
      <c r="D2209" s="10" t="s">
        <v>1361</v>
      </c>
      <c r="E2209" s="41" t="str">
        <f t="shared" si="1"/>
        <v>PROX5</v>
      </c>
    </row>
    <row r="2210" ht="15.75" customHeight="1">
      <c r="A2210" s="10" t="s">
        <v>37</v>
      </c>
      <c r="B2210" s="10" t="s">
        <v>123</v>
      </c>
      <c r="C2210" s="41">
        <f t="array" ref="C2210">IF(IFERROR(INDEX(CATALOG_POINTS,MATCH(A2210,CATALOG_TASK,0)),"")="",IF(MAX(IF(IFERROR(FIND(CATALOG_BASE,A2210),0)=1,CATALOG_POINTS,0))=0,DAILY_POST_POINTS,MAX(IF(IFERROR(FIND(CATALOG_BASE,A2210),0)=1,CATALOG_POINTS,0))),IFERROR(INDEX(CATALOG_POINTS,MATCH(A2210,CATALOG_TASK,0)),""))</f>
        <v>2</v>
      </c>
      <c r="D2210" s="10" t="s">
        <v>1361</v>
      </c>
      <c r="E2210" s="41" t="str">
        <f t="shared" si="1"/>
        <v>PROX5</v>
      </c>
    </row>
    <row r="2211" ht="15.75" customHeight="1">
      <c r="A2211" s="10" t="s">
        <v>55</v>
      </c>
      <c r="B2211" s="10" t="s">
        <v>140</v>
      </c>
      <c r="C2211" s="41">
        <f t="array" ref="C2211">IF(IFERROR(INDEX(CATALOG_POINTS,MATCH(A2211,CATALOG_TASK,0)),"")="",IF(MAX(IF(IFERROR(FIND(CATALOG_BASE,A2211),0)=1,CATALOG_POINTS,0))=0,DAILY_POST_POINTS,MAX(IF(IFERROR(FIND(CATALOG_BASE,A2211),0)=1,CATALOG_POINTS,0))),IFERROR(INDEX(CATALOG_POINTS,MATCH(A2211,CATALOG_TASK,0)),""))</f>
        <v>8</v>
      </c>
      <c r="D2211" s="10" t="s">
        <v>1361</v>
      </c>
      <c r="E2211" s="41" t="str">
        <f t="shared" si="1"/>
        <v>PROX5</v>
      </c>
    </row>
    <row r="2212" ht="15.75" customHeight="1">
      <c r="A2212" s="10" t="s">
        <v>1362</v>
      </c>
      <c r="B2212" s="10" t="s">
        <v>135</v>
      </c>
      <c r="C2212" s="41">
        <f t="array" ref="C2212">IF(IFERROR(INDEX(CATALOG_POINTS,MATCH(A2212,CATALOG_TASK,0)),"")="",IF(MAX(IF(IFERROR(FIND(CATALOG_BASE,A2212),0)=1,CATALOG_POINTS,0))=0,DAILY_POST_POINTS,MAX(IF(IFERROR(FIND(CATALOG_BASE,A2212),0)=1,CATALOG_POINTS,0))),IFERROR(INDEX(CATALOG_POINTS,MATCH(A2212,CATALOG_TASK,0)),""))</f>
        <v>1</v>
      </c>
      <c r="D2212" s="10" t="s">
        <v>1362</v>
      </c>
      <c r="E2212" s="41" t="str">
        <f t="shared" si="1"/>
        <v>PROX3</v>
      </c>
    </row>
    <row r="2213" ht="15.75" customHeight="1">
      <c r="A2213" s="10" t="s">
        <v>174</v>
      </c>
      <c r="B2213" s="10" t="s">
        <v>121</v>
      </c>
      <c r="C2213" s="41">
        <f t="array" ref="C2213">IF(IFERROR(INDEX(CATALOG_POINTS,MATCH(A2213,CATALOG_TASK,0)),"")="",IF(MAX(IF(IFERROR(FIND(CATALOG_BASE,A2213),0)=1,CATALOG_POINTS,0))=0,DAILY_POST_POINTS,MAX(IF(IFERROR(FIND(CATALOG_BASE,A2213),0)=1,CATALOG_POINTS,0))),IFERROR(INDEX(CATALOG_POINTS,MATCH(A2213,CATALOG_TASK,0)),""))</f>
        <v>1</v>
      </c>
      <c r="D2213" s="10" t="s">
        <v>1363</v>
      </c>
      <c r="E2213" s="41" t="str">
        <f t="shared" si="1"/>
        <v>PROX3</v>
      </c>
    </row>
    <row r="2214" ht="15.75" customHeight="1">
      <c r="A2214" s="10" t="s">
        <v>174</v>
      </c>
      <c r="B2214" s="10" t="s">
        <v>117</v>
      </c>
      <c r="C2214" s="41">
        <f t="array" ref="C2214">IF(IFERROR(INDEX(CATALOG_POINTS,MATCH(A2214,CATALOG_TASK,0)),"")="",IF(MAX(IF(IFERROR(FIND(CATALOG_BASE,A2214),0)=1,CATALOG_POINTS,0))=0,DAILY_POST_POINTS,MAX(IF(IFERROR(FIND(CATALOG_BASE,A2214),0)=1,CATALOG_POINTS,0))),IFERROR(INDEX(CATALOG_POINTS,MATCH(A2214,CATALOG_TASK,0)),""))</f>
        <v>1</v>
      </c>
      <c r="D2214" s="10" t="s">
        <v>1363</v>
      </c>
      <c r="E2214" s="41" t="str">
        <f t="shared" si="1"/>
        <v>PROX3</v>
      </c>
    </row>
    <row r="2215" ht="15.75" customHeight="1">
      <c r="A2215" s="10" t="s">
        <v>37</v>
      </c>
      <c r="B2215" s="10" t="s">
        <v>127</v>
      </c>
      <c r="C2215" s="41">
        <f t="array" ref="C2215">IF(IFERROR(INDEX(CATALOG_POINTS,MATCH(A2215,CATALOG_TASK,0)),"")="",IF(MAX(IF(IFERROR(FIND(CATALOG_BASE,A2215),0)=1,CATALOG_POINTS,0))=0,DAILY_POST_POINTS,MAX(IF(IFERROR(FIND(CATALOG_BASE,A2215),0)=1,CATALOG_POINTS,0))),IFERROR(INDEX(CATALOG_POINTS,MATCH(A2215,CATALOG_TASK,0)),""))</f>
        <v>2</v>
      </c>
      <c r="D2215" s="10" t="s">
        <v>1363</v>
      </c>
      <c r="E2215" s="41" t="str">
        <f t="shared" si="1"/>
        <v>PROX3</v>
      </c>
    </row>
    <row r="2216" ht="15.75" customHeight="1">
      <c r="A2216" s="10" t="s">
        <v>37</v>
      </c>
      <c r="B2216" s="10" t="s">
        <v>128</v>
      </c>
      <c r="C2216" s="41">
        <f t="array" ref="C2216">IF(IFERROR(INDEX(CATALOG_POINTS,MATCH(A2216,CATALOG_TASK,0)),"")="",IF(MAX(IF(IFERROR(FIND(CATALOG_BASE,A2216),0)=1,CATALOG_POINTS,0))=0,DAILY_POST_POINTS,MAX(IF(IFERROR(FIND(CATALOG_BASE,A2216),0)=1,CATALOG_POINTS,0))),IFERROR(INDEX(CATALOG_POINTS,MATCH(A2216,CATALOG_TASK,0)),""))</f>
        <v>2</v>
      </c>
      <c r="D2216" s="10" t="s">
        <v>1363</v>
      </c>
      <c r="E2216" s="41" t="str">
        <f t="shared" si="1"/>
        <v>PROX3</v>
      </c>
    </row>
    <row r="2217" ht="15.75" customHeight="1">
      <c r="A2217" s="10" t="s">
        <v>180</v>
      </c>
      <c r="B2217" s="10" t="s">
        <v>119</v>
      </c>
      <c r="C2217" s="41">
        <f t="array" ref="C2217">IF(IFERROR(INDEX(CATALOG_POINTS,MATCH(A2217,CATALOG_TASK,0)),"")="",IF(MAX(IF(IFERROR(FIND(CATALOG_BASE,A2217),0)=1,CATALOG_POINTS,0))=0,DAILY_POST_POINTS,MAX(IF(IFERROR(FIND(CATALOG_BASE,A2217),0)=1,CATALOG_POINTS,0))),IFERROR(INDEX(CATALOG_POINTS,MATCH(A2217,CATALOG_TASK,0)),""))</f>
        <v>1</v>
      </c>
      <c r="D2217" s="10" t="s">
        <v>1363</v>
      </c>
      <c r="E2217" s="41" t="str">
        <f t="shared" si="1"/>
        <v>PROX3</v>
      </c>
    </row>
    <row r="2218" ht="15.75" customHeight="1">
      <c r="A2218" s="10" t="s">
        <v>178</v>
      </c>
      <c r="B2218" s="10" t="s">
        <v>125</v>
      </c>
      <c r="C2218" s="41">
        <f t="array" ref="C2218">IF(IFERROR(INDEX(CATALOG_POINTS,MATCH(A2218,CATALOG_TASK,0)),"")="",IF(MAX(IF(IFERROR(FIND(CATALOG_BASE,A2218),0)=1,CATALOG_POINTS,0))=0,DAILY_POST_POINTS,MAX(IF(IFERROR(FIND(CATALOG_BASE,A2218),0)=1,CATALOG_POINTS,0))),IFERROR(INDEX(CATALOG_POINTS,MATCH(A2218,CATALOG_TASK,0)),""))</f>
        <v>1</v>
      </c>
      <c r="D2218" s="10" t="s">
        <v>1363</v>
      </c>
      <c r="E2218" s="41" t="str">
        <f t="shared" si="1"/>
        <v>PROX3</v>
      </c>
    </row>
    <row r="2219" ht="15.75" customHeight="1">
      <c r="A2219" s="10" t="s">
        <v>1364</v>
      </c>
      <c r="B2219" s="10" t="s">
        <v>129</v>
      </c>
      <c r="C2219" s="41">
        <f t="array" ref="C2219">IF(IFERROR(INDEX(CATALOG_POINTS,MATCH(A2219,CATALOG_TASK,0)),"")="",IF(MAX(IF(IFERROR(FIND(CATALOG_BASE,A2219),0)=1,CATALOG_POINTS,0))=0,DAILY_POST_POINTS,MAX(IF(IFERROR(FIND(CATALOG_BASE,A2219),0)=1,CATALOG_POINTS,0))),IFERROR(INDEX(CATALOG_POINTS,MATCH(A2219,CATALOG_TASK,0)),""))</f>
        <v>1</v>
      </c>
      <c r="D2219" s="10" t="s">
        <v>1364</v>
      </c>
      <c r="E2219" s="41" t="str">
        <f t="shared" si="1"/>
        <v>SEM</v>
      </c>
    </row>
    <row r="2220" ht="15.75" customHeight="1">
      <c r="A2220" s="10" t="s">
        <v>37</v>
      </c>
      <c r="B2220" s="10" t="s">
        <v>126</v>
      </c>
      <c r="C2220" s="41">
        <f t="array" ref="C2220">IF(IFERROR(INDEX(CATALOG_POINTS,MATCH(A2220,CATALOG_TASK,0)),"")="",IF(MAX(IF(IFERROR(FIND(CATALOG_BASE,A2220),0)=1,CATALOG_POINTS,0))=0,DAILY_POST_POINTS,MAX(IF(IFERROR(FIND(CATALOG_BASE,A2220),0)=1,CATALOG_POINTS,0))),IFERROR(INDEX(CATALOG_POINTS,MATCH(A2220,CATALOG_TASK,0)),""))</f>
        <v>2</v>
      </c>
      <c r="D2220" s="10" t="s">
        <v>1364</v>
      </c>
      <c r="E2220" s="41" t="str">
        <f t="shared" si="1"/>
        <v>SEM</v>
      </c>
    </row>
    <row r="2221" ht="15.75" customHeight="1">
      <c r="A2221" s="10" t="s">
        <v>37</v>
      </c>
      <c r="B2221" s="10" t="s">
        <v>123</v>
      </c>
      <c r="C2221" s="41">
        <f t="array" ref="C2221">IF(IFERROR(INDEX(CATALOG_POINTS,MATCH(A2221,CATALOG_TASK,0)),"")="",IF(MAX(IF(IFERROR(FIND(CATALOG_BASE,A2221),0)=1,CATALOG_POINTS,0))=0,DAILY_POST_POINTS,MAX(IF(IFERROR(FIND(CATALOG_BASE,A2221),0)=1,CATALOG_POINTS,0))),IFERROR(INDEX(CATALOG_POINTS,MATCH(A2221,CATALOG_TASK,0)),""))</f>
        <v>2</v>
      </c>
      <c r="D2221" s="10" t="s">
        <v>1365</v>
      </c>
      <c r="E2221" s="41" t="str">
        <f t="shared" si="1"/>
        <v>PROX3</v>
      </c>
    </row>
    <row r="2222" ht="15.75" customHeight="1">
      <c r="A2222" s="10" t="s">
        <v>1365</v>
      </c>
      <c r="B2222" s="10" t="s">
        <v>136</v>
      </c>
      <c r="C2222" s="41">
        <f t="array" ref="C2222">IF(IFERROR(INDEX(CATALOG_POINTS,MATCH(A2222,CATALOG_TASK,0)),"")="",IF(MAX(IF(IFERROR(FIND(CATALOG_BASE,A2222),0)=1,CATALOG_POINTS,0))=0,DAILY_POST_POINTS,MAX(IF(IFERROR(FIND(CATALOG_BASE,A2222),0)=1,CATALOG_POINTS,0))),IFERROR(INDEX(CATALOG_POINTS,MATCH(A2222,CATALOG_TASK,0)),""))</f>
        <v>1</v>
      </c>
      <c r="D2222" s="10" t="s">
        <v>1365</v>
      </c>
      <c r="E2222" s="41" t="str">
        <f t="shared" si="1"/>
        <v>PROX3</v>
      </c>
    </row>
    <row r="2223" ht="15.75" customHeight="1">
      <c r="A2223" s="10" t="s">
        <v>1366</v>
      </c>
      <c r="B2223" s="10" t="s">
        <v>134</v>
      </c>
      <c r="C2223" s="41">
        <f t="array" ref="C2223">IF(IFERROR(INDEX(CATALOG_POINTS,MATCH(A2223,CATALOG_TASK,0)),"")="",IF(MAX(IF(IFERROR(FIND(CATALOG_BASE,A2223),0)=1,CATALOG_POINTS,0))=0,DAILY_POST_POINTS,MAX(IF(IFERROR(FIND(CATALOG_BASE,A2223),0)=1,CATALOG_POINTS,0))),IFERROR(INDEX(CATALOG_POINTS,MATCH(A2223,CATALOG_TASK,0)),""))</f>
        <v>1</v>
      </c>
      <c r="D2223" s="10" t="s">
        <v>1366</v>
      </c>
      <c r="E2223" s="41" t="str">
        <f t="shared" si="1"/>
        <v/>
      </c>
    </row>
    <row r="2224" ht="15.75" customHeight="1">
      <c r="A2224" s="10" t="s">
        <v>178</v>
      </c>
      <c r="B2224" s="10" t="s">
        <v>127</v>
      </c>
      <c r="C2224" s="41">
        <f t="array" ref="C2224">IF(IFERROR(INDEX(CATALOG_POINTS,MATCH(A2224,CATALOG_TASK,0)),"")="",IF(MAX(IF(IFERROR(FIND(CATALOG_BASE,A2224),0)=1,CATALOG_POINTS,0))=0,DAILY_POST_POINTS,MAX(IF(IFERROR(FIND(CATALOG_BASE,A2224),0)=1,CATALOG_POINTS,0))),IFERROR(INDEX(CATALOG_POINTS,MATCH(A2224,CATALOG_TASK,0)),""))</f>
        <v>1</v>
      </c>
      <c r="D2224" s="10" t="s">
        <v>1367</v>
      </c>
      <c r="E2224" s="41" t="str">
        <f t="shared" si="1"/>
        <v>PROX3</v>
      </c>
    </row>
    <row r="2225" ht="15.75" customHeight="1">
      <c r="A2225" s="10" t="s">
        <v>37</v>
      </c>
      <c r="B2225" s="10" t="s">
        <v>121</v>
      </c>
      <c r="C2225" s="41">
        <f t="array" ref="C2225">IF(IFERROR(INDEX(CATALOG_POINTS,MATCH(A2225,CATALOG_TASK,0)),"")="",IF(MAX(IF(IFERROR(FIND(CATALOG_BASE,A2225),0)=1,CATALOG_POINTS,0))=0,DAILY_POST_POINTS,MAX(IF(IFERROR(FIND(CATALOG_BASE,A2225),0)=1,CATALOG_POINTS,0))),IFERROR(INDEX(CATALOG_POINTS,MATCH(A2225,CATALOG_TASK,0)),""))</f>
        <v>2</v>
      </c>
      <c r="D2225" s="10" t="s">
        <v>1367</v>
      </c>
      <c r="E2225" s="41" t="str">
        <f t="shared" si="1"/>
        <v>PROX3</v>
      </c>
    </row>
    <row r="2226" ht="15.75" customHeight="1">
      <c r="A2226" s="10" t="s">
        <v>174</v>
      </c>
      <c r="B2226" s="10" t="s">
        <v>123</v>
      </c>
      <c r="C2226" s="41">
        <f t="array" ref="C2226">IF(IFERROR(INDEX(CATALOG_POINTS,MATCH(A2226,CATALOG_TASK,0)),"")="",IF(MAX(IF(IFERROR(FIND(CATALOG_BASE,A2226),0)=1,CATALOG_POINTS,0))=0,DAILY_POST_POINTS,MAX(IF(IFERROR(FIND(CATALOG_BASE,A2226),0)=1,CATALOG_POINTS,0))),IFERROR(INDEX(CATALOG_POINTS,MATCH(A2226,CATALOG_TASK,0)),""))</f>
        <v>1</v>
      </c>
      <c r="D2226" s="10" t="s">
        <v>1367</v>
      </c>
      <c r="E2226" s="41" t="str">
        <f t="shared" si="1"/>
        <v>PROX3</v>
      </c>
    </row>
    <row r="2227" ht="15.75" customHeight="1">
      <c r="A2227" s="10" t="s">
        <v>1368</v>
      </c>
      <c r="B2227" s="10" t="s">
        <v>121</v>
      </c>
      <c r="C2227" s="41">
        <f t="array" ref="C2227">IF(IFERROR(INDEX(CATALOG_POINTS,MATCH(A2227,CATALOG_TASK,0)),"")="",IF(MAX(IF(IFERROR(FIND(CATALOG_BASE,A2227),0)=1,CATALOG_POINTS,0))=0,DAILY_POST_POINTS,MAX(IF(IFERROR(FIND(CATALOG_BASE,A2227),0)=1,CATALOG_POINTS,0))),IFERROR(INDEX(CATALOG_POINTS,MATCH(A2227,CATALOG_TASK,0)),""))</f>
        <v>1</v>
      </c>
      <c r="D2227" s="10" t="s">
        <v>1367</v>
      </c>
      <c r="E2227" s="41" t="str">
        <f t="shared" si="1"/>
        <v>PROX3</v>
      </c>
    </row>
    <row r="2228" ht="15.75" customHeight="1">
      <c r="A2228" s="10" t="s">
        <v>24</v>
      </c>
      <c r="B2228" s="10" t="s">
        <v>121</v>
      </c>
      <c r="C2228" s="41">
        <f t="array" ref="C2228">IF(IFERROR(INDEX(CATALOG_POINTS,MATCH(A2228,CATALOG_TASK,0)),"")="",IF(MAX(IF(IFERROR(FIND(CATALOG_BASE,A2228),0)=1,CATALOG_POINTS,0))=0,DAILY_POST_POINTS,MAX(IF(IFERROR(FIND(CATALOG_BASE,A2228),0)=1,CATALOG_POINTS,0))),IFERROR(INDEX(CATALOG_POINTS,MATCH(A2228,CATALOG_TASK,0)),""))</f>
        <v>2</v>
      </c>
      <c r="D2228" s="10" t="s">
        <v>1367</v>
      </c>
      <c r="E2228" s="41" t="str">
        <f t="shared" si="1"/>
        <v>PROX3</v>
      </c>
    </row>
    <row r="2229" ht="15.75" customHeight="1">
      <c r="A2229" s="10" t="s">
        <v>37</v>
      </c>
      <c r="B2229" s="10" t="s">
        <v>120</v>
      </c>
      <c r="C2229" s="41">
        <f t="array" ref="C2229">IF(IFERROR(INDEX(CATALOG_POINTS,MATCH(A2229,CATALOG_TASK,0)),"")="",IF(MAX(IF(IFERROR(FIND(CATALOG_BASE,A2229),0)=1,CATALOG_POINTS,0))=0,DAILY_POST_POINTS,MAX(IF(IFERROR(FIND(CATALOG_BASE,A2229),0)=1,CATALOG_POINTS,0))),IFERROR(INDEX(CATALOG_POINTS,MATCH(A2229,CATALOG_TASK,0)),""))</f>
        <v>2</v>
      </c>
      <c r="D2229" s="10" t="s">
        <v>1369</v>
      </c>
      <c r="E2229" s="41" t="str">
        <f t="shared" si="1"/>
        <v>PROX4</v>
      </c>
    </row>
    <row r="2230" ht="15.75" customHeight="1">
      <c r="A2230" s="10" t="s">
        <v>1369</v>
      </c>
      <c r="B2230" s="10" t="s">
        <v>137</v>
      </c>
      <c r="C2230" s="41">
        <f t="array" ref="C2230">IF(IFERROR(INDEX(CATALOG_POINTS,MATCH(A2230,CATALOG_TASK,0)),"")="",IF(MAX(IF(IFERROR(FIND(CATALOG_BASE,A2230),0)=1,CATALOG_POINTS,0))=0,DAILY_POST_POINTS,MAX(IF(IFERROR(FIND(CATALOG_BASE,A2230),0)=1,CATALOG_POINTS,0))),IFERROR(INDEX(CATALOG_POINTS,MATCH(A2230,CATALOG_TASK,0)),""))</f>
        <v>1</v>
      </c>
      <c r="D2230" s="10" t="s">
        <v>1369</v>
      </c>
      <c r="E2230" s="41" t="str">
        <f t="shared" si="1"/>
        <v>PROX4</v>
      </c>
    </row>
    <row r="2231" ht="15.75" customHeight="1">
      <c r="A2231" s="10" t="s">
        <v>174</v>
      </c>
      <c r="B2231" s="10" t="s">
        <v>126</v>
      </c>
      <c r="C2231" s="41">
        <f t="array" ref="C2231">IF(IFERROR(INDEX(CATALOG_POINTS,MATCH(A2231,CATALOG_TASK,0)),"")="",IF(MAX(IF(IFERROR(FIND(CATALOG_BASE,A2231),0)=1,CATALOG_POINTS,0))=0,DAILY_POST_POINTS,MAX(IF(IFERROR(FIND(CATALOG_BASE,A2231),0)=1,CATALOG_POINTS,0))),IFERROR(INDEX(CATALOG_POINTS,MATCH(A2231,CATALOG_TASK,0)),""))</f>
        <v>1</v>
      </c>
      <c r="D2231" s="10" t="s">
        <v>1370</v>
      </c>
      <c r="E2231" s="41" t="str">
        <f t="shared" si="1"/>
        <v/>
      </c>
    </row>
    <row r="2232" ht="15.75" customHeight="1">
      <c r="A2232" s="10" t="s">
        <v>37</v>
      </c>
      <c r="B2232" s="10" t="s">
        <v>122</v>
      </c>
      <c r="C2232" s="41">
        <f t="array" ref="C2232">IF(IFERROR(INDEX(CATALOG_POINTS,MATCH(A2232,CATALOG_TASK,0)),"")="",IF(MAX(IF(IFERROR(FIND(CATALOG_BASE,A2232),0)=1,CATALOG_POINTS,0))=0,DAILY_POST_POINTS,MAX(IF(IFERROR(FIND(CATALOG_BASE,A2232),0)=1,CATALOG_POINTS,0))),IFERROR(INDEX(CATALOG_POINTS,MATCH(A2232,CATALOG_TASK,0)),""))</f>
        <v>2</v>
      </c>
      <c r="D2232" s="10" t="s">
        <v>1370</v>
      </c>
      <c r="E2232" s="41" t="str">
        <f t="shared" si="1"/>
        <v/>
      </c>
    </row>
    <row r="2233" ht="15.75" customHeight="1">
      <c r="A2233" s="10" t="s">
        <v>1371</v>
      </c>
      <c r="B2233" s="10" t="s">
        <v>129</v>
      </c>
      <c r="C2233" s="41">
        <f t="array" ref="C2233">IF(IFERROR(INDEX(CATALOG_POINTS,MATCH(A2233,CATALOG_TASK,0)),"")="",IF(MAX(IF(IFERROR(FIND(CATALOG_BASE,A2233),0)=1,CATALOG_POINTS,0))=0,DAILY_POST_POINTS,MAX(IF(IFERROR(FIND(CATALOG_BASE,A2233),0)=1,CATALOG_POINTS,0))),IFERROR(INDEX(CATALOG_POINTS,MATCH(A2233,CATALOG_TASK,0)),""))</f>
        <v>1</v>
      </c>
      <c r="D2233" s="10" t="s">
        <v>1371</v>
      </c>
      <c r="E2233" s="41" t="str">
        <f t="shared" si="1"/>
        <v/>
      </c>
    </row>
    <row r="2234" ht="15.75" customHeight="1">
      <c r="A2234" s="10" t="s">
        <v>37</v>
      </c>
      <c r="B2234" s="10" t="s">
        <v>122</v>
      </c>
      <c r="C2234" s="41">
        <f t="array" ref="C2234">IF(IFERROR(INDEX(CATALOG_POINTS,MATCH(A2234,CATALOG_TASK,0)),"")="",IF(MAX(IF(IFERROR(FIND(CATALOG_BASE,A2234),0)=1,CATALOG_POINTS,0))=0,DAILY_POST_POINTS,MAX(IF(IFERROR(FIND(CATALOG_BASE,A2234),0)=1,CATALOG_POINTS,0))),IFERROR(INDEX(CATALOG_POINTS,MATCH(A2234,CATALOG_TASK,0)),""))</f>
        <v>2</v>
      </c>
      <c r="D2234" s="10" t="s">
        <v>1372</v>
      </c>
      <c r="E2234" s="41" t="str">
        <f t="shared" si="1"/>
        <v>PROX3</v>
      </c>
    </row>
    <row r="2235" ht="15.75" customHeight="1">
      <c r="A2235" s="10" t="s">
        <v>1372</v>
      </c>
      <c r="B2235" s="10" t="s">
        <v>122</v>
      </c>
      <c r="C2235" s="41">
        <f t="array" ref="C2235">IF(IFERROR(INDEX(CATALOG_POINTS,MATCH(A2235,CATALOG_TASK,0)),"")="",IF(MAX(IF(IFERROR(FIND(CATALOG_BASE,A2235),0)=1,CATALOG_POINTS,0))=0,DAILY_POST_POINTS,MAX(IF(IFERROR(FIND(CATALOG_BASE,A2235),0)=1,CATALOG_POINTS,0))),IFERROR(INDEX(CATALOG_POINTS,MATCH(A2235,CATALOG_TASK,0)),""))</f>
        <v>1</v>
      </c>
      <c r="D2235" s="10" t="s">
        <v>1372</v>
      </c>
      <c r="E2235" s="41" t="str">
        <f t="shared" si="1"/>
        <v>PROX3</v>
      </c>
    </row>
    <row r="2236" ht="15.75" customHeight="1">
      <c r="A2236" s="10" t="s">
        <v>1373</v>
      </c>
      <c r="B2236" s="10" t="s">
        <v>117</v>
      </c>
      <c r="C2236" s="41">
        <f t="array" ref="C2236">IF(IFERROR(INDEX(CATALOG_POINTS,MATCH(A2236,CATALOG_TASK,0)),"")="",IF(MAX(IF(IFERROR(FIND(CATALOG_BASE,A2236),0)=1,CATALOG_POINTS,0))=0,DAILY_POST_POINTS,MAX(IF(IFERROR(FIND(CATALOG_BASE,A2236),0)=1,CATALOG_POINTS,0))),IFERROR(INDEX(CATALOG_POINTS,MATCH(A2236,CATALOG_TASK,0)),""))</f>
        <v>1</v>
      </c>
      <c r="D2236" s="10" t="s">
        <v>1373</v>
      </c>
      <c r="E2236" s="41" t="str">
        <f t="shared" si="1"/>
        <v>PROX3</v>
      </c>
    </row>
    <row r="2237" ht="15.75" customHeight="1">
      <c r="A2237" s="10" t="s">
        <v>37</v>
      </c>
      <c r="B2237" s="10" t="s">
        <v>126</v>
      </c>
      <c r="C2237" s="41">
        <f t="array" ref="C2237">IF(IFERROR(INDEX(CATALOG_POINTS,MATCH(A2237,CATALOG_TASK,0)),"")="",IF(MAX(IF(IFERROR(FIND(CATALOG_BASE,A2237),0)=1,CATALOG_POINTS,0))=0,DAILY_POST_POINTS,MAX(IF(IFERROR(FIND(CATALOG_BASE,A2237),0)=1,CATALOG_POINTS,0))),IFERROR(INDEX(CATALOG_POINTS,MATCH(A2237,CATALOG_TASK,0)),""))</f>
        <v>2</v>
      </c>
      <c r="D2237" s="10" t="s">
        <v>1373</v>
      </c>
      <c r="E2237" s="41" t="str">
        <f t="shared" si="1"/>
        <v>PROX3</v>
      </c>
    </row>
    <row r="2238" ht="15.75" customHeight="1">
      <c r="A2238" s="10" t="s">
        <v>37</v>
      </c>
      <c r="B2238" s="10" t="s">
        <v>122</v>
      </c>
      <c r="C2238" s="41">
        <f t="array" ref="C2238">IF(IFERROR(INDEX(CATALOG_POINTS,MATCH(A2238,CATALOG_TASK,0)),"")="",IF(MAX(IF(IFERROR(FIND(CATALOG_BASE,A2238),0)=1,CATALOG_POINTS,0))=0,DAILY_POST_POINTS,MAX(IF(IFERROR(FIND(CATALOG_BASE,A2238),0)=1,CATALOG_POINTS,0))),IFERROR(INDEX(CATALOG_POINTS,MATCH(A2238,CATALOG_TASK,0)),""))</f>
        <v>2</v>
      </c>
      <c r="D2238" s="10" t="s">
        <v>1373</v>
      </c>
      <c r="E2238" s="41" t="str">
        <f t="shared" si="1"/>
        <v>PROX3</v>
      </c>
    </row>
    <row r="2239" ht="15.75" customHeight="1">
      <c r="A2239" s="10" t="s">
        <v>37</v>
      </c>
      <c r="B2239" s="10" t="s">
        <v>120</v>
      </c>
      <c r="C2239" s="41">
        <f t="array" ref="C2239">IF(IFERROR(INDEX(CATALOG_POINTS,MATCH(A2239,CATALOG_TASK,0)),"")="",IF(MAX(IF(IFERROR(FIND(CATALOG_BASE,A2239),0)=1,CATALOG_POINTS,0))=0,DAILY_POST_POINTS,MAX(IF(IFERROR(FIND(CATALOG_BASE,A2239),0)=1,CATALOG_POINTS,0))),IFERROR(INDEX(CATALOG_POINTS,MATCH(A2239,CATALOG_TASK,0)),""))</f>
        <v>2</v>
      </c>
      <c r="D2239" s="10" t="s">
        <v>1373</v>
      </c>
      <c r="E2239" s="41" t="str">
        <f t="shared" si="1"/>
        <v>PROX3</v>
      </c>
    </row>
    <row r="2240" ht="15.75" customHeight="1">
      <c r="A2240" s="10" t="s">
        <v>1374</v>
      </c>
      <c r="B2240" s="10" t="s">
        <v>132</v>
      </c>
      <c r="C2240" s="41">
        <f t="array" ref="C2240">IF(IFERROR(INDEX(CATALOG_POINTS,MATCH(A2240,CATALOG_TASK,0)),"")="",IF(MAX(IF(IFERROR(FIND(CATALOG_BASE,A2240),0)=1,CATALOG_POINTS,0))=0,DAILY_POST_POINTS,MAX(IF(IFERROR(FIND(CATALOG_BASE,A2240),0)=1,CATALOG_POINTS,0))),IFERROR(INDEX(CATALOG_POINTS,MATCH(A2240,CATALOG_TASK,0)),""))</f>
        <v>1</v>
      </c>
      <c r="D2240" s="10" t="s">
        <v>1374</v>
      </c>
      <c r="E2240" s="41" t="str">
        <f t="shared" si="1"/>
        <v>PROX4</v>
      </c>
    </row>
    <row r="2241" ht="15.75" customHeight="1">
      <c r="A2241" s="10" t="s">
        <v>1375</v>
      </c>
      <c r="B2241" s="10" t="s">
        <v>132</v>
      </c>
      <c r="C2241" s="41">
        <f t="array" ref="C2241">IF(IFERROR(INDEX(CATALOG_POINTS,MATCH(A2241,CATALOG_TASK,0)),"")="",IF(MAX(IF(IFERROR(FIND(CATALOG_BASE,A2241),0)=1,CATALOG_POINTS,0))=0,DAILY_POST_POINTS,MAX(IF(IFERROR(FIND(CATALOG_BASE,A2241),0)=1,CATALOG_POINTS,0))),IFERROR(INDEX(CATALOG_POINTS,MATCH(A2241,CATALOG_TASK,0)),""))</f>
        <v>1</v>
      </c>
      <c r="D2241" s="10" t="s">
        <v>1375</v>
      </c>
      <c r="E2241" s="41" t="str">
        <f t="shared" si="1"/>
        <v>PROX3</v>
      </c>
    </row>
    <row r="2242" ht="15.75" customHeight="1">
      <c r="A2242" s="10" t="s">
        <v>1376</v>
      </c>
      <c r="B2242" s="10" t="s">
        <v>126</v>
      </c>
      <c r="C2242" s="41">
        <f t="array" ref="C2242">IF(IFERROR(INDEX(CATALOG_POINTS,MATCH(A2242,CATALOG_TASK,0)),"")="",IF(MAX(IF(IFERROR(FIND(CATALOG_BASE,A2242),0)=1,CATALOG_POINTS,0))=0,DAILY_POST_POINTS,MAX(IF(IFERROR(FIND(CATALOG_BASE,A2242),0)=1,CATALOG_POINTS,0))),IFERROR(INDEX(CATALOG_POINTS,MATCH(A2242,CATALOG_TASK,0)),""))</f>
        <v>1</v>
      </c>
      <c r="D2242" s="10" t="s">
        <v>1376</v>
      </c>
      <c r="E2242" s="41" t="str">
        <f t="shared" si="1"/>
        <v>PROX3</v>
      </c>
    </row>
    <row r="2243" ht="15.75" customHeight="1">
      <c r="A2243" s="10" t="s">
        <v>1377</v>
      </c>
      <c r="B2243" s="10" t="s">
        <v>121</v>
      </c>
      <c r="C2243" s="41">
        <f t="array" ref="C2243">IF(IFERROR(INDEX(CATALOG_POINTS,MATCH(A2243,CATALOG_TASK,0)),"")="",IF(MAX(IF(IFERROR(FIND(CATALOG_BASE,A2243),0)=1,CATALOG_POINTS,0))=0,DAILY_POST_POINTS,MAX(IF(IFERROR(FIND(CATALOG_BASE,A2243),0)=1,CATALOG_POINTS,0))),IFERROR(INDEX(CATALOG_POINTS,MATCH(A2243,CATALOG_TASK,0)),""))</f>
        <v>1</v>
      </c>
      <c r="D2243" s="10" t="s">
        <v>1377</v>
      </c>
      <c r="E2243" s="41" t="str">
        <f t="shared" si="1"/>
        <v>PROX3</v>
      </c>
    </row>
    <row r="2244" ht="15.75" customHeight="1">
      <c r="A2244" s="10" t="s">
        <v>1378</v>
      </c>
      <c r="B2244" s="10" t="s">
        <v>135</v>
      </c>
      <c r="C2244" s="41">
        <f t="array" ref="C2244">IF(IFERROR(INDEX(CATALOG_POINTS,MATCH(A2244,CATALOG_TASK,0)),"")="",IF(MAX(IF(IFERROR(FIND(CATALOG_BASE,A2244),0)=1,CATALOG_POINTS,0))=0,DAILY_POST_POINTS,MAX(IF(IFERROR(FIND(CATALOG_BASE,A2244),0)=1,CATALOG_POINTS,0))),IFERROR(INDEX(CATALOG_POINTS,MATCH(A2244,CATALOG_TASK,0)),""))</f>
        <v>1</v>
      </c>
      <c r="D2244" s="10" t="s">
        <v>1378</v>
      </c>
      <c r="E2244" s="41" t="str">
        <f t="shared" si="1"/>
        <v>PROX3</v>
      </c>
    </row>
    <row r="2245" ht="15.75" customHeight="1">
      <c r="A2245" s="10" t="s">
        <v>37</v>
      </c>
      <c r="B2245" s="10" t="s">
        <v>120</v>
      </c>
      <c r="C2245" s="41">
        <f t="array" ref="C2245">IF(IFERROR(INDEX(CATALOG_POINTS,MATCH(A2245,CATALOG_TASK,0)),"")="",IF(MAX(IF(IFERROR(FIND(CATALOG_BASE,A2245),0)=1,CATALOG_POINTS,0))=0,DAILY_POST_POINTS,MAX(IF(IFERROR(FIND(CATALOG_BASE,A2245),0)=1,CATALOG_POINTS,0))),IFERROR(INDEX(CATALOG_POINTS,MATCH(A2245,CATALOG_TASK,0)),""))</f>
        <v>2</v>
      </c>
      <c r="D2245" s="10" t="s">
        <v>1378</v>
      </c>
      <c r="E2245" s="41" t="str">
        <f t="shared" si="1"/>
        <v>PROX3</v>
      </c>
    </row>
    <row r="2246" ht="15.75" customHeight="1">
      <c r="A2246" s="10" t="s">
        <v>37</v>
      </c>
      <c r="B2246" s="10" t="s">
        <v>122</v>
      </c>
      <c r="C2246" s="41">
        <f t="array" ref="C2246">IF(IFERROR(INDEX(CATALOG_POINTS,MATCH(A2246,CATALOG_TASK,0)),"")="",IF(MAX(IF(IFERROR(FIND(CATALOG_BASE,A2246),0)=1,CATALOG_POINTS,0))=0,DAILY_POST_POINTS,MAX(IF(IFERROR(FIND(CATALOG_BASE,A2246),0)=1,CATALOG_POINTS,0))),IFERROR(INDEX(CATALOG_POINTS,MATCH(A2246,CATALOG_TASK,0)),""))</f>
        <v>2</v>
      </c>
      <c r="D2246" s="10" t="s">
        <v>1378</v>
      </c>
      <c r="E2246" s="41" t="str">
        <f t="shared" si="1"/>
        <v>PROX3</v>
      </c>
    </row>
    <row r="2247" ht="15.75" customHeight="1">
      <c r="A2247" s="10" t="s">
        <v>1379</v>
      </c>
      <c r="B2247" s="10" t="s">
        <v>125</v>
      </c>
      <c r="C2247" s="41">
        <f t="array" ref="C2247">IF(IFERROR(INDEX(CATALOG_POINTS,MATCH(A2247,CATALOG_TASK,0)),"")="",IF(MAX(IF(IFERROR(FIND(CATALOG_BASE,A2247),0)=1,CATALOG_POINTS,0))=0,DAILY_POST_POINTS,MAX(IF(IFERROR(FIND(CATALOG_BASE,A2247),0)=1,CATALOG_POINTS,0))),IFERROR(INDEX(CATALOG_POINTS,MATCH(A2247,CATALOG_TASK,0)),""))</f>
        <v>1</v>
      </c>
      <c r="D2247" s="10" t="s">
        <v>1379</v>
      </c>
      <c r="E2247" s="41" t="str">
        <f t="shared" si="1"/>
        <v>PROX3</v>
      </c>
    </row>
    <row r="2248" ht="15.75" customHeight="1">
      <c r="A2248" s="10" t="s">
        <v>1380</v>
      </c>
      <c r="B2248" s="10" t="s">
        <v>121</v>
      </c>
      <c r="C2248" s="41">
        <f t="array" ref="C2248">IF(IFERROR(INDEX(CATALOG_POINTS,MATCH(A2248,CATALOG_TASK,0)),"")="",IF(MAX(IF(IFERROR(FIND(CATALOG_BASE,A2248),0)=1,CATALOG_POINTS,0))=0,DAILY_POST_POINTS,MAX(IF(IFERROR(FIND(CATALOG_BASE,A2248),0)=1,CATALOG_POINTS,0))),IFERROR(INDEX(CATALOG_POINTS,MATCH(A2248,CATALOG_TASK,0)),""))</f>
        <v>1</v>
      </c>
      <c r="D2248" s="10" t="s">
        <v>1380</v>
      </c>
      <c r="E2248" s="41" t="str">
        <f t="shared" si="1"/>
        <v>PROX3</v>
      </c>
    </row>
    <row r="2249" ht="15.75" customHeight="1">
      <c r="A2249" s="10" t="s">
        <v>1381</v>
      </c>
      <c r="B2249" s="10" t="s">
        <v>133</v>
      </c>
      <c r="C2249" s="41">
        <f t="array" ref="C2249">IF(IFERROR(INDEX(CATALOG_POINTS,MATCH(A2249,CATALOG_TASK,0)),"")="",IF(MAX(IF(IFERROR(FIND(CATALOG_BASE,A2249),0)=1,CATALOG_POINTS,0))=0,DAILY_POST_POINTS,MAX(IF(IFERROR(FIND(CATALOG_BASE,A2249),0)=1,CATALOG_POINTS,0))),IFERROR(INDEX(CATALOG_POINTS,MATCH(A2249,CATALOG_TASK,0)),""))</f>
        <v>1</v>
      </c>
      <c r="D2249" s="10" t="s">
        <v>1381</v>
      </c>
      <c r="E2249" s="41" t="str">
        <f t="shared" si="1"/>
        <v>SEM</v>
      </c>
    </row>
    <row r="2250" ht="15.75" customHeight="1">
      <c r="A2250" s="10" t="s">
        <v>1382</v>
      </c>
      <c r="B2250" s="10" t="s">
        <v>131</v>
      </c>
      <c r="C2250" s="41">
        <f t="array" ref="C2250">IF(IFERROR(INDEX(CATALOG_POINTS,MATCH(A2250,CATALOG_TASK,0)),"")="",IF(MAX(IF(IFERROR(FIND(CATALOG_BASE,A2250),0)=1,CATALOG_POINTS,0))=0,DAILY_POST_POINTS,MAX(IF(IFERROR(FIND(CATALOG_BASE,A2250),0)=1,CATALOG_POINTS,0))),IFERROR(INDEX(CATALOG_POINTS,MATCH(A2250,CATALOG_TASK,0)),""))</f>
        <v>1</v>
      </c>
      <c r="D2250" s="10" t="s">
        <v>1382</v>
      </c>
      <c r="E2250" s="41" t="str">
        <f t="shared" si="1"/>
        <v>PROX4</v>
      </c>
    </row>
    <row r="2251" ht="15.75" customHeight="1">
      <c r="A2251" s="10" t="s">
        <v>168</v>
      </c>
      <c r="B2251" s="10" t="s">
        <v>117</v>
      </c>
      <c r="C2251" s="41">
        <f t="array" ref="C2251">IF(IFERROR(INDEX(CATALOG_POINTS,MATCH(A2251,CATALOG_TASK,0)),"")="",IF(MAX(IF(IFERROR(FIND(CATALOG_BASE,A2251),0)=1,CATALOG_POINTS,0))=0,DAILY_POST_POINTS,MAX(IF(IFERROR(FIND(CATALOG_BASE,A2251),0)=1,CATALOG_POINTS,0))),IFERROR(INDEX(CATALOG_POINTS,MATCH(A2251,CATALOG_TASK,0)),""))</f>
        <v>1</v>
      </c>
      <c r="D2251" s="10" t="s">
        <v>1383</v>
      </c>
      <c r="E2251" s="41" t="str">
        <f t="shared" si="1"/>
        <v>PROX3</v>
      </c>
    </row>
    <row r="2252" ht="15.75" customHeight="1">
      <c r="A2252" s="10" t="s">
        <v>1383</v>
      </c>
      <c r="B2252" s="10" t="s">
        <v>136</v>
      </c>
      <c r="C2252" s="41">
        <f t="array" ref="C2252">IF(IFERROR(INDEX(CATALOG_POINTS,MATCH(A2252,CATALOG_TASK,0)),"")="",IF(MAX(IF(IFERROR(FIND(CATALOG_BASE,A2252),0)=1,CATALOG_POINTS,0))=0,DAILY_POST_POINTS,MAX(IF(IFERROR(FIND(CATALOG_BASE,A2252),0)=1,CATALOG_POINTS,0))),IFERROR(INDEX(CATALOG_POINTS,MATCH(A2252,CATALOG_TASK,0)),""))</f>
        <v>1</v>
      </c>
      <c r="D2252" s="10" t="s">
        <v>1383</v>
      </c>
      <c r="E2252" s="41" t="str">
        <f t="shared" si="1"/>
        <v>PROX3</v>
      </c>
    </row>
    <row r="2253" ht="15.75" customHeight="1">
      <c r="A2253" s="10" t="s">
        <v>37</v>
      </c>
      <c r="B2253" s="10" t="s">
        <v>117</v>
      </c>
      <c r="C2253" s="41">
        <f t="array" ref="C2253">IF(IFERROR(INDEX(CATALOG_POINTS,MATCH(A2253,CATALOG_TASK,0)),"")="",IF(MAX(IF(IFERROR(FIND(CATALOG_BASE,A2253),0)=1,CATALOG_POINTS,0))=0,DAILY_POST_POINTS,MAX(IF(IFERROR(FIND(CATALOG_BASE,A2253),0)=1,CATALOG_POINTS,0))),IFERROR(INDEX(CATALOG_POINTS,MATCH(A2253,CATALOG_TASK,0)),""))</f>
        <v>2</v>
      </c>
      <c r="D2253" s="10" t="s">
        <v>1383</v>
      </c>
      <c r="E2253" s="41" t="str">
        <f t="shared" si="1"/>
        <v>PROX3</v>
      </c>
    </row>
    <row r="2254" ht="15.75" customHeight="1">
      <c r="A2254" s="10" t="s">
        <v>37</v>
      </c>
      <c r="B2254" s="10" t="s">
        <v>125</v>
      </c>
      <c r="C2254" s="41">
        <f t="array" ref="C2254">IF(IFERROR(INDEX(CATALOG_POINTS,MATCH(A2254,CATALOG_TASK,0)),"")="",IF(MAX(IF(IFERROR(FIND(CATALOG_BASE,A2254),0)=1,CATALOG_POINTS,0))=0,DAILY_POST_POINTS,MAX(IF(IFERROR(FIND(CATALOG_BASE,A2254),0)=1,CATALOG_POINTS,0))),IFERROR(INDEX(CATALOG_POINTS,MATCH(A2254,CATALOG_TASK,0)),""))</f>
        <v>2</v>
      </c>
      <c r="D2254" s="10" t="s">
        <v>1384</v>
      </c>
      <c r="E2254" s="41" t="str">
        <f t="shared" si="1"/>
        <v>PROX3</v>
      </c>
    </row>
    <row r="2255" ht="15.75" customHeight="1">
      <c r="A2255" s="10" t="s">
        <v>168</v>
      </c>
      <c r="B2255" s="10" t="s">
        <v>125</v>
      </c>
      <c r="C2255" s="41">
        <f t="array" ref="C2255">IF(IFERROR(INDEX(CATALOG_POINTS,MATCH(A2255,CATALOG_TASK,0)),"")="",IF(MAX(IF(IFERROR(FIND(CATALOG_BASE,A2255),0)=1,CATALOG_POINTS,0))=0,DAILY_POST_POINTS,MAX(IF(IFERROR(FIND(CATALOG_BASE,A2255),0)=1,CATALOG_POINTS,0))),IFERROR(INDEX(CATALOG_POINTS,MATCH(A2255,CATALOG_TASK,0)),""))</f>
        <v>1</v>
      </c>
      <c r="D2255" s="10" t="s">
        <v>1384</v>
      </c>
      <c r="E2255" s="41" t="str">
        <f t="shared" si="1"/>
        <v>PROX3</v>
      </c>
    </row>
    <row r="2256" ht="15.75" customHeight="1">
      <c r="A2256" s="10" t="s">
        <v>1384</v>
      </c>
      <c r="B2256" s="10" t="s">
        <v>122</v>
      </c>
      <c r="C2256" s="41">
        <f t="array" ref="C2256">IF(IFERROR(INDEX(CATALOG_POINTS,MATCH(A2256,CATALOG_TASK,0)),"")="",IF(MAX(IF(IFERROR(FIND(CATALOG_BASE,A2256),0)=1,CATALOG_POINTS,0))=0,DAILY_POST_POINTS,MAX(IF(IFERROR(FIND(CATALOG_BASE,A2256),0)=1,CATALOG_POINTS,0))),IFERROR(INDEX(CATALOG_POINTS,MATCH(A2256,CATALOG_TASK,0)),""))</f>
        <v>1</v>
      </c>
      <c r="D2256" s="10" t="s">
        <v>1384</v>
      </c>
      <c r="E2256" s="41" t="str">
        <f t="shared" si="1"/>
        <v>PROX3</v>
      </c>
    </row>
    <row r="2257" ht="15.75" customHeight="1">
      <c r="A2257" s="10" t="s">
        <v>37</v>
      </c>
      <c r="B2257" s="10" t="s">
        <v>124</v>
      </c>
      <c r="C2257" s="41">
        <f t="array" ref="C2257">IF(IFERROR(INDEX(CATALOG_POINTS,MATCH(A2257,CATALOG_TASK,0)),"")="",IF(MAX(IF(IFERROR(FIND(CATALOG_BASE,A2257),0)=1,CATALOG_POINTS,0))=0,DAILY_POST_POINTS,MAX(IF(IFERROR(FIND(CATALOG_BASE,A2257),0)=1,CATALOG_POINTS,0))),IFERROR(INDEX(CATALOG_POINTS,MATCH(A2257,CATALOG_TASK,0)),""))</f>
        <v>2</v>
      </c>
      <c r="D2257" s="10" t="s">
        <v>1384</v>
      </c>
      <c r="E2257" s="41" t="str">
        <f t="shared" si="1"/>
        <v>PROX3</v>
      </c>
    </row>
    <row r="2258" ht="15.75" customHeight="1">
      <c r="A2258" s="10" t="s">
        <v>37</v>
      </c>
      <c r="B2258" s="10" t="s">
        <v>124</v>
      </c>
      <c r="C2258" s="41">
        <f t="array" ref="C2258">IF(IFERROR(INDEX(CATALOG_POINTS,MATCH(A2258,CATALOG_TASK,0)),"")="",IF(MAX(IF(IFERROR(FIND(CATALOG_BASE,A2258),0)=1,CATALOG_POINTS,0))=0,DAILY_POST_POINTS,MAX(IF(IFERROR(FIND(CATALOG_BASE,A2258),0)=1,CATALOG_POINTS,0))),IFERROR(INDEX(CATALOG_POINTS,MATCH(A2258,CATALOG_TASK,0)),""))</f>
        <v>2</v>
      </c>
      <c r="D2258" s="10" t="s">
        <v>1384</v>
      </c>
      <c r="E2258" s="41" t="str">
        <f t="shared" si="1"/>
        <v>PROX3</v>
      </c>
    </row>
    <row r="2259" ht="15.75" customHeight="1">
      <c r="A2259" s="10" t="s">
        <v>37</v>
      </c>
      <c r="B2259" s="10" t="s">
        <v>126</v>
      </c>
      <c r="C2259" s="41">
        <f t="array" ref="C2259">IF(IFERROR(INDEX(CATALOG_POINTS,MATCH(A2259,CATALOG_TASK,0)),"")="",IF(MAX(IF(IFERROR(FIND(CATALOG_BASE,A2259),0)=1,CATALOG_POINTS,0))=0,DAILY_POST_POINTS,MAX(IF(IFERROR(FIND(CATALOG_BASE,A2259),0)=1,CATALOG_POINTS,0))),IFERROR(INDEX(CATALOG_POINTS,MATCH(A2259,CATALOG_TASK,0)),""))</f>
        <v>2</v>
      </c>
      <c r="D2259" s="10" t="s">
        <v>1385</v>
      </c>
      <c r="E2259" s="41" t="str">
        <f t="shared" si="1"/>
        <v>PROX3</v>
      </c>
    </row>
    <row r="2260" ht="15.75" customHeight="1">
      <c r="A2260" s="10" t="s">
        <v>37</v>
      </c>
      <c r="B2260" s="10" t="s">
        <v>128</v>
      </c>
      <c r="C2260" s="41">
        <f t="array" ref="C2260">IF(IFERROR(INDEX(CATALOG_POINTS,MATCH(A2260,CATALOG_TASK,0)),"")="",IF(MAX(IF(IFERROR(FIND(CATALOG_BASE,A2260),0)=1,CATALOG_POINTS,0))=0,DAILY_POST_POINTS,MAX(IF(IFERROR(FIND(CATALOG_BASE,A2260),0)=1,CATALOG_POINTS,0))),IFERROR(INDEX(CATALOG_POINTS,MATCH(A2260,CATALOG_TASK,0)),""))</f>
        <v>2</v>
      </c>
      <c r="D2260" s="10" t="s">
        <v>1385</v>
      </c>
      <c r="E2260" s="41" t="str">
        <f t="shared" si="1"/>
        <v>PROX3</v>
      </c>
    </row>
    <row r="2261" ht="15.75" customHeight="1">
      <c r="A2261" s="10" t="s">
        <v>1385</v>
      </c>
      <c r="B2261" s="10" t="s">
        <v>123</v>
      </c>
      <c r="C2261" s="41">
        <f t="array" ref="C2261">IF(IFERROR(INDEX(CATALOG_POINTS,MATCH(A2261,CATALOG_TASK,0)),"")="",IF(MAX(IF(IFERROR(FIND(CATALOG_BASE,A2261),0)=1,CATALOG_POINTS,0))=0,DAILY_POST_POINTS,MAX(IF(IFERROR(FIND(CATALOG_BASE,A2261),0)=1,CATALOG_POINTS,0))),IFERROR(INDEX(CATALOG_POINTS,MATCH(A2261,CATALOG_TASK,0)),""))</f>
        <v>1</v>
      </c>
      <c r="D2261" s="10" t="s">
        <v>1385</v>
      </c>
      <c r="E2261" s="41" t="str">
        <f t="shared" si="1"/>
        <v>PROX3</v>
      </c>
    </row>
    <row r="2262" ht="15.75" customHeight="1">
      <c r="A2262" s="10" t="s">
        <v>1386</v>
      </c>
      <c r="B2262" s="10" t="s">
        <v>131</v>
      </c>
      <c r="C2262" s="41">
        <f t="array" ref="C2262">IF(IFERROR(INDEX(CATALOG_POINTS,MATCH(A2262,CATALOG_TASK,0)),"")="",IF(MAX(IF(IFERROR(FIND(CATALOG_BASE,A2262),0)=1,CATALOG_POINTS,0))=0,DAILY_POST_POINTS,MAX(IF(IFERROR(FIND(CATALOG_BASE,A2262),0)=1,CATALOG_POINTS,0))),IFERROR(INDEX(CATALOG_POINTS,MATCH(A2262,CATALOG_TASK,0)),""))</f>
        <v>1</v>
      </c>
      <c r="D2262" s="10" t="s">
        <v>1387</v>
      </c>
      <c r="E2262" s="41" t="str">
        <f t="shared" si="1"/>
        <v/>
      </c>
    </row>
    <row r="2263" ht="15.75" customHeight="1">
      <c r="A2263" s="10" t="s">
        <v>1388</v>
      </c>
      <c r="B2263" s="10" t="s">
        <v>123</v>
      </c>
      <c r="C2263" s="41">
        <f t="array" ref="C2263">IF(IFERROR(INDEX(CATALOG_POINTS,MATCH(A2263,CATALOG_TASK,0)),"")="",IF(MAX(IF(IFERROR(FIND(CATALOG_BASE,A2263),0)=1,CATALOG_POINTS,0))=0,DAILY_POST_POINTS,MAX(IF(IFERROR(FIND(CATALOG_BASE,A2263),0)=1,CATALOG_POINTS,0))),IFERROR(INDEX(CATALOG_POINTS,MATCH(A2263,CATALOG_TASK,0)),""))</f>
        <v>1</v>
      </c>
      <c r="D2263" s="10" t="s">
        <v>1388</v>
      </c>
      <c r="E2263" s="41" t="str">
        <f t="shared" si="1"/>
        <v>PROX3</v>
      </c>
    </row>
    <row r="2264" ht="15.75" customHeight="1">
      <c r="A2264" s="10" t="s">
        <v>174</v>
      </c>
      <c r="B2264" s="10" t="s">
        <v>123</v>
      </c>
      <c r="C2264" s="41">
        <f t="array" ref="C2264">IF(IFERROR(INDEX(CATALOG_POINTS,MATCH(A2264,CATALOG_TASK,0)),"")="",IF(MAX(IF(IFERROR(FIND(CATALOG_BASE,A2264),0)=1,CATALOG_POINTS,0))=0,DAILY_POST_POINTS,MAX(IF(IFERROR(FIND(CATALOG_BASE,A2264),0)=1,CATALOG_POINTS,0))),IFERROR(INDEX(CATALOG_POINTS,MATCH(A2264,CATALOG_TASK,0)),""))</f>
        <v>1</v>
      </c>
      <c r="D2264" s="10" t="s">
        <v>1388</v>
      </c>
      <c r="E2264" s="41" t="str">
        <f t="shared" si="1"/>
        <v>PROX3</v>
      </c>
    </row>
    <row r="2265" ht="15.75" customHeight="1">
      <c r="A2265" s="10" t="s">
        <v>178</v>
      </c>
      <c r="B2265" s="10" t="s">
        <v>117</v>
      </c>
      <c r="C2265" s="41">
        <f t="array" ref="C2265">IF(IFERROR(INDEX(CATALOG_POINTS,MATCH(A2265,CATALOG_TASK,0)),"")="",IF(MAX(IF(IFERROR(FIND(CATALOG_BASE,A2265),0)=1,CATALOG_POINTS,0))=0,DAILY_POST_POINTS,MAX(IF(IFERROR(FIND(CATALOG_BASE,A2265),0)=1,CATALOG_POINTS,0))),IFERROR(INDEX(CATALOG_POINTS,MATCH(A2265,CATALOG_TASK,0)),""))</f>
        <v>1</v>
      </c>
      <c r="D2265" s="10" t="s">
        <v>1388</v>
      </c>
      <c r="E2265" s="41" t="str">
        <f t="shared" si="1"/>
        <v>PROX3</v>
      </c>
    </row>
    <row r="2266" ht="15.75" customHeight="1">
      <c r="A2266" s="10" t="s">
        <v>1389</v>
      </c>
      <c r="B2266" s="10" t="s">
        <v>133</v>
      </c>
      <c r="C2266" s="41">
        <f t="array" ref="C2266">IF(IFERROR(INDEX(CATALOG_POINTS,MATCH(A2266,CATALOG_TASK,0)),"")="",IF(MAX(IF(IFERROR(FIND(CATALOG_BASE,A2266),0)=1,CATALOG_POINTS,0))=0,DAILY_POST_POINTS,MAX(IF(IFERROR(FIND(CATALOG_BASE,A2266),0)=1,CATALOG_POINTS,0))),IFERROR(INDEX(CATALOG_POINTS,MATCH(A2266,CATALOG_TASK,0)),""))</f>
        <v>1</v>
      </c>
      <c r="D2266" s="10" t="s">
        <v>1389</v>
      </c>
      <c r="E2266" s="41" t="str">
        <f t="shared" si="1"/>
        <v>PROX3</v>
      </c>
    </row>
    <row r="2267" ht="15.75" customHeight="1">
      <c r="A2267" s="10" t="s">
        <v>37</v>
      </c>
      <c r="B2267" s="10" t="s">
        <v>120</v>
      </c>
      <c r="C2267" s="41">
        <f t="array" ref="C2267">IF(IFERROR(INDEX(CATALOG_POINTS,MATCH(A2267,CATALOG_TASK,0)),"")="",IF(MAX(IF(IFERROR(FIND(CATALOG_BASE,A2267),0)=1,CATALOG_POINTS,0))=0,DAILY_POST_POINTS,MAX(IF(IFERROR(FIND(CATALOG_BASE,A2267),0)=1,CATALOG_POINTS,0))),IFERROR(INDEX(CATALOG_POINTS,MATCH(A2267,CATALOG_TASK,0)),""))</f>
        <v>2</v>
      </c>
      <c r="D2267" s="10" t="s">
        <v>1389</v>
      </c>
      <c r="E2267" s="41" t="str">
        <f t="shared" si="1"/>
        <v>PROX3</v>
      </c>
    </row>
    <row r="2268" ht="15.75" customHeight="1">
      <c r="A2268" s="10" t="s">
        <v>37</v>
      </c>
      <c r="B2268" s="10" t="s">
        <v>122</v>
      </c>
      <c r="C2268" s="41">
        <f t="array" ref="C2268">IF(IFERROR(INDEX(CATALOG_POINTS,MATCH(A2268,CATALOG_TASK,0)),"")="",IF(MAX(IF(IFERROR(FIND(CATALOG_BASE,A2268),0)=1,CATALOG_POINTS,0))=0,DAILY_POST_POINTS,MAX(IF(IFERROR(FIND(CATALOG_BASE,A2268),0)=1,CATALOG_POINTS,0))),IFERROR(INDEX(CATALOG_POINTS,MATCH(A2268,CATALOG_TASK,0)),""))</f>
        <v>2</v>
      </c>
      <c r="D2268" s="10" t="s">
        <v>1390</v>
      </c>
      <c r="E2268" s="41" t="str">
        <f t="shared" si="1"/>
        <v>PROX4</v>
      </c>
    </row>
    <row r="2269" ht="15.75" customHeight="1">
      <c r="A2269" s="10" t="s">
        <v>1390</v>
      </c>
      <c r="B2269" s="10" t="s">
        <v>133</v>
      </c>
      <c r="C2269" s="41">
        <f t="array" ref="C2269">IF(IFERROR(INDEX(CATALOG_POINTS,MATCH(A2269,CATALOG_TASK,0)),"")="",IF(MAX(IF(IFERROR(FIND(CATALOG_BASE,A2269),0)=1,CATALOG_POINTS,0))=0,DAILY_POST_POINTS,MAX(IF(IFERROR(FIND(CATALOG_BASE,A2269),0)=1,CATALOG_POINTS,0))),IFERROR(INDEX(CATALOG_POINTS,MATCH(A2269,CATALOG_TASK,0)),""))</f>
        <v>1</v>
      </c>
      <c r="D2269" s="10" t="s">
        <v>1390</v>
      </c>
      <c r="E2269" s="41" t="str">
        <f t="shared" si="1"/>
        <v>PROX4</v>
      </c>
    </row>
    <row r="2270" ht="15.75" customHeight="1">
      <c r="A2270" s="10" t="s">
        <v>170</v>
      </c>
      <c r="B2270" s="10" t="s">
        <v>120</v>
      </c>
      <c r="C2270" s="41">
        <f t="array" ref="C2270">IF(IFERROR(INDEX(CATALOG_POINTS,MATCH(A2270,CATALOG_TASK,0)),"")="",IF(MAX(IF(IFERROR(FIND(CATALOG_BASE,A2270),0)=1,CATALOG_POINTS,0))=0,DAILY_POST_POINTS,MAX(IF(IFERROR(FIND(CATALOG_BASE,A2270),0)=1,CATALOG_POINTS,0))),IFERROR(INDEX(CATALOG_POINTS,MATCH(A2270,CATALOG_TASK,0)),""))</f>
        <v>1</v>
      </c>
      <c r="D2270" s="10" t="s">
        <v>1391</v>
      </c>
      <c r="E2270" s="41" t="str">
        <f t="shared" si="1"/>
        <v>PROX4</v>
      </c>
    </row>
    <row r="2271" ht="15.75" customHeight="1">
      <c r="A2271" s="10" t="s">
        <v>1391</v>
      </c>
      <c r="B2271" s="10" t="s">
        <v>127</v>
      </c>
      <c r="C2271" s="41">
        <f t="array" ref="C2271">IF(IFERROR(INDEX(CATALOG_POINTS,MATCH(A2271,CATALOG_TASK,0)),"")="",IF(MAX(IF(IFERROR(FIND(CATALOG_BASE,A2271),0)=1,CATALOG_POINTS,0))=0,DAILY_POST_POINTS,MAX(IF(IFERROR(FIND(CATALOG_BASE,A2271),0)=1,CATALOG_POINTS,0))),IFERROR(INDEX(CATALOG_POINTS,MATCH(A2271,CATALOG_TASK,0)),""))</f>
        <v>1</v>
      </c>
      <c r="D2271" s="10" t="s">
        <v>1391</v>
      </c>
      <c r="E2271" s="41" t="str">
        <f t="shared" si="1"/>
        <v>PROX4</v>
      </c>
    </row>
    <row r="2272" ht="15.75" customHeight="1">
      <c r="A2272" s="10" t="s">
        <v>170</v>
      </c>
      <c r="B2272" s="10" t="s">
        <v>120</v>
      </c>
      <c r="C2272" s="41">
        <f t="array" ref="C2272">IF(IFERROR(INDEX(CATALOG_POINTS,MATCH(A2272,CATALOG_TASK,0)),"")="",IF(MAX(IF(IFERROR(FIND(CATALOG_BASE,A2272),0)=1,CATALOG_POINTS,0))=0,DAILY_POST_POINTS,MAX(IF(IFERROR(FIND(CATALOG_BASE,A2272),0)=1,CATALOG_POINTS,0))),IFERROR(INDEX(CATALOG_POINTS,MATCH(A2272,CATALOG_TASK,0)),""))</f>
        <v>1</v>
      </c>
      <c r="D2272" s="10" t="s">
        <v>1391</v>
      </c>
      <c r="E2272" s="41" t="str">
        <f t="shared" si="1"/>
        <v>PROX4</v>
      </c>
    </row>
    <row r="2273" ht="15.75" customHeight="1">
      <c r="A2273" s="10" t="s">
        <v>52</v>
      </c>
      <c r="B2273" s="10" t="s">
        <v>142</v>
      </c>
      <c r="C2273" s="41">
        <f t="array" ref="C2273">IF(IFERROR(INDEX(CATALOG_POINTS,MATCH(A2273,CATALOG_TASK,0)),"")="",IF(MAX(IF(IFERROR(FIND(CATALOG_BASE,A2273),0)=1,CATALOG_POINTS,0))=0,DAILY_POST_POINTS,MAX(IF(IFERROR(FIND(CATALOG_BASE,A2273),0)=1,CATALOG_POINTS,0))),IFERROR(INDEX(CATALOG_POINTS,MATCH(A2273,CATALOG_TASK,0)),""))</f>
        <v>10</v>
      </c>
      <c r="D2273" s="10" t="s">
        <v>1391</v>
      </c>
      <c r="E2273" s="41" t="str">
        <f t="shared" si="1"/>
        <v>PROX4</v>
      </c>
    </row>
    <row r="2274" ht="15.75" customHeight="1">
      <c r="A2274" s="10" t="s">
        <v>37</v>
      </c>
      <c r="B2274" s="10" t="s">
        <v>122</v>
      </c>
      <c r="C2274" s="41">
        <f t="array" ref="C2274">IF(IFERROR(INDEX(CATALOG_POINTS,MATCH(A2274,CATALOG_TASK,0)),"")="",IF(MAX(IF(IFERROR(FIND(CATALOG_BASE,A2274),0)=1,CATALOG_POINTS,0))=0,DAILY_POST_POINTS,MAX(IF(IFERROR(FIND(CATALOG_BASE,A2274),0)=1,CATALOG_POINTS,0))),IFERROR(INDEX(CATALOG_POINTS,MATCH(A2274,CATALOG_TASK,0)),""))</f>
        <v>2</v>
      </c>
      <c r="D2274" s="10" t="s">
        <v>1392</v>
      </c>
      <c r="E2274" s="41" t="str">
        <f t="shared" si="1"/>
        <v>PROX4</v>
      </c>
    </row>
    <row r="2275" ht="15.75" customHeight="1">
      <c r="A2275" s="10" t="s">
        <v>37</v>
      </c>
      <c r="B2275" s="10" t="s">
        <v>122</v>
      </c>
      <c r="C2275" s="41">
        <f t="array" ref="C2275">IF(IFERROR(INDEX(CATALOG_POINTS,MATCH(A2275,CATALOG_TASK,0)),"")="",IF(MAX(IF(IFERROR(FIND(CATALOG_BASE,A2275),0)=1,CATALOG_POINTS,0))=0,DAILY_POST_POINTS,MAX(IF(IFERROR(FIND(CATALOG_BASE,A2275),0)=1,CATALOG_POINTS,0))),IFERROR(INDEX(CATALOG_POINTS,MATCH(A2275,CATALOG_TASK,0)),""))</f>
        <v>2</v>
      </c>
      <c r="D2275" s="10" t="s">
        <v>1392</v>
      </c>
      <c r="E2275" s="41" t="str">
        <f t="shared" si="1"/>
        <v>PROX4</v>
      </c>
    </row>
    <row r="2276" ht="15.75" customHeight="1">
      <c r="A2276" s="10" t="s">
        <v>1392</v>
      </c>
      <c r="B2276" s="10" t="s">
        <v>125</v>
      </c>
      <c r="C2276" s="41">
        <f t="array" ref="C2276">IF(IFERROR(INDEX(CATALOG_POINTS,MATCH(A2276,CATALOG_TASK,0)),"")="",IF(MAX(IF(IFERROR(FIND(CATALOG_BASE,A2276),0)=1,CATALOG_POINTS,0))=0,DAILY_POST_POINTS,MAX(IF(IFERROR(FIND(CATALOG_BASE,A2276),0)=1,CATALOG_POINTS,0))),IFERROR(INDEX(CATALOG_POINTS,MATCH(A2276,CATALOG_TASK,0)),""))</f>
        <v>1</v>
      </c>
      <c r="D2276" s="10" t="s">
        <v>1392</v>
      </c>
      <c r="E2276" s="41" t="str">
        <f t="shared" si="1"/>
        <v>PROX4</v>
      </c>
    </row>
    <row r="2277" ht="15.75" customHeight="1">
      <c r="A2277" s="10" t="s">
        <v>179</v>
      </c>
      <c r="B2277" s="10" t="s">
        <v>139</v>
      </c>
      <c r="C2277" s="41">
        <f t="array" ref="C2277">IF(IFERROR(INDEX(CATALOG_POINTS,MATCH(A2277,CATALOG_TASK,0)),"")="",IF(MAX(IF(IFERROR(FIND(CATALOG_BASE,A2277),0)=1,CATALOG_POINTS,0))=0,DAILY_POST_POINTS,MAX(IF(IFERROR(FIND(CATALOG_BASE,A2277),0)=1,CATALOG_POINTS,0))),IFERROR(INDEX(CATALOG_POINTS,MATCH(A2277,CATALOG_TASK,0)),""))</f>
        <v>1</v>
      </c>
      <c r="D2277" s="10" t="s">
        <v>1392</v>
      </c>
      <c r="E2277" s="41" t="str">
        <f t="shared" si="1"/>
        <v>PROX4</v>
      </c>
    </row>
    <row r="2278" ht="15.75" customHeight="1">
      <c r="A2278" s="10" t="s">
        <v>1393</v>
      </c>
      <c r="B2278" s="10" t="s">
        <v>133</v>
      </c>
      <c r="C2278" s="41">
        <f t="array" ref="C2278">IF(IFERROR(INDEX(CATALOG_POINTS,MATCH(A2278,CATALOG_TASK,0)),"")="",IF(MAX(IF(IFERROR(FIND(CATALOG_BASE,A2278),0)=1,CATALOG_POINTS,0))=0,DAILY_POST_POINTS,MAX(IF(IFERROR(FIND(CATALOG_BASE,A2278),0)=1,CATALOG_POINTS,0))),IFERROR(INDEX(CATALOG_POINTS,MATCH(A2278,CATALOG_TASK,0)),""))</f>
        <v>1</v>
      </c>
      <c r="D2278" s="10" t="s">
        <v>1393</v>
      </c>
      <c r="E2278" s="41" t="str">
        <f t="shared" si="1"/>
        <v/>
      </c>
    </row>
    <row r="2279" ht="15.75" customHeight="1">
      <c r="A2279" s="10" t="s">
        <v>1394</v>
      </c>
      <c r="B2279" s="10" t="s">
        <v>135</v>
      </c>
      <c r="C2279" s="41">
        <f t="array" ref="C2279">IF(IFERROR(INDEX(CATALOG_POINTS,MATCH(A2279,CATALOG_TASK,0)),"")="",IF(MAX(IF(IFERROR(FIND(CATALOG_BASE,A2279),0)=1,CATALOG_POINTS,0))=0,DAILY_POST_POINTS,MAX(IF(IFERROR(FIND(CATALOG_BASE,A2279),0)=1,CATALOG_POINTS,0))),IFERROR(INDEX(CATALOG_POINTS,MATCH(A2279,CATALOG_TASK,0)),""))</f>
        <v>1</v>
      </c>
      <c r="D2279" s="10" t="s">
        <v>1395</v>
      </c>
      <c r="E2279" s="41" t="str">
        <f t="shared" si="1"/>
        <v/>
      </c>
    </row>
    <row r="2280" ht="15.75" customHeight="1">
      <c r="A2280" s="10" t="s">
        <v>1396</v>
      </c>
      <c r="B2280" s="10" t="s">
        <v>119</v>
      </c>
      <c r="C2280" s="41">
        <f t="array" ref="C2280">IF(IFERROR(INDEX(CATALOG_POINTS,MATCH(A2280,CATALOG_TASK,0)),"")="",IF(MAX(IF(IFERROR(FIND(CATALOG_BASE,A2280),0)=1,CATALOG_POINTS,0))=0,DAILY_POST_POINTS,MAX(IF(IFERROR(FIND(CATALOG_BASE,A2280),0)=1,CATALOG_POINTS,0))),IFERROR(INDEX(CATALOG_POINTS,MATCH(A2280,CATALOG_TASK,0)),""))</f>
        <v>1</v>
      </c>
      <c r="D2280" s="10" t="s">
        <v>1396</v>
      </c>
      <c r="E2280" s="41" t="str">
        <f t="shared" si="1"/>
        <v>PROX4</v>
      </c>
    </row>
    <row r="2281" ht="15.75" customHeight="1">
      <c r="A2281" s="10" t="s">
        <v>37</v>
      </c>
      <c r="B2281" s="10" t="s">
        <v>126</v>
      </c>
      <c r="C2281" s="41">
        <f t="array" ref="C2281">IF(IFERROR(INDEX(CATALOG_POINTS,MATCH(A2281,CATALOG_TASK,0)),"")="",IF(MAX(IF(IFERROR(FIND(CATALOG_BASE,A2281),0)=1,CATALOG_POINTS,0))=0,DAILY_POST_POINTS,MAX(IF(IFERROR(FIND(CATALOG_BASE,A2281),0)=1,CATALOG_POINTS,0))),IFERROR(INDEX(CATALOG_POINTS,MATCH(A2281,CATALOG_TASK,0)),""))</f>
        <v>2</v>
      </c>
      <c r="D2281" s="10" t="s">
        <v>1396</v>
      </c>
      <c r="E2281" s="41" t="str">
        <f t="shared" si="1"/>
        <v>PROX4</v>
      </c>
    </row>
    <row r="2282" ht="15.75" customHeight="1">
      <c r="A2282" s="10" t="s">
        <v>1397</v>
      </c>
      <c r="B2282" s="10" t="s">
        <v>134</v>
      </c>
      <c r="C2282" s="41">
        <f t="array" ref="C2282">IF(IFERROR(INDEX(CATALOG_POINTS,MATCH(A2282,CATALOG_TASK,0)),"")="",IF(MAX(IF(IFERROR(FIND(CATALOG_BASE,A2282),0)=1,CATALOG_POINTS,0))=0,DAILY_POST_POINTS,MAX(IF(IFERROR(FIND(CATALOG_BASE,A2282),0)=1,CATALOG_POINTS,0))),IFERROR(INDEX(CATALOG_POINTS,MATCH(A2282,CATALOG_TASK,0)),""))</f>
        <v>1</v>
      </c>
      <c r="D2282" s="10" t="s">
        <v>1397</v>
      </c>
      <c r="E2282" s="41" t="str">
        <f t="shared" si="1"/>
        <v>PROX3</v>
      </c>
    </row>
    <row r="2283" ht="15.75" customHeight="1">
      <c r="A2283" s="10" t="s">
        <v>1398</v>
      </c>
      <c r="B2283" s="10" t="s">
        <v>133</v>
      </c>
      <c r="C2283" s="41">
        <f t="array" ref="C2283">IF(IFERROR(INDEX(CATALOG_POINTS,MATCH(A2283,CATALOG_TASK,0)),"")="",IF(MAX(IF(IFERROR(FIND(CATALOG_BASE,A2283),0)=1,CATALOG_POINTS,0))=0,DAILY_POST_POINTS,MAX(IF(IFERROR(FIND(CATALOG_BASE,A2283),0)=1,CATALOG_POINTS,0))),IFERROR(INDEX(CATALOG_POINTS,MATCH(A2283,CATALOG_TASK,0)),""))</f>
        <v>1</v>
      </c>
      <c r="D2283" s="10" t="s">
        <v>1398</v>
      </c>
      <c r="E2283" s="41" t="str">
        <f t="shared" si="1"/>
        <v>PROX3</v>
      </c>
    </row>
    <row r="2284" ht="15.75" customHeight="1">
      <c r="A2284" s="10" t="s">
        <v>1399</v>
      </c>
      <c r="B2284" s="10" t="s">
        <v>135</v>
      </c>
      <c r="C2284" s="41">
        <f t="array" ref="C2284">IF(IFERROR(INDEX(CATALOG_POINTS,MATCH(A2284,CATALOG_TASK,0)),"")="",IF(MAX(IF(IFERROR(FIND(CATALOG_BASE,A2284),0)=1,CATALOG_POINTS,0))=0,DAILY_POST_POINTS,MAX(IF(IFERROR(FIND(CATALOG_BASE,A2284),0)=1,CATALOG_POINTS,0))),IFERROR(INDEX(CATALOG_POINTS,MATCH(A2284,CATALOG_TASK,0)),""))</f>
        <v>1</v>
      </c>
      <c r="D2284" s="10" t="s">
        <v>1399</v>
      </c>
      <c r="E2284" s="41" t="str">
        <f t="shared" si="1"/>
        <v/>
      </c>
    </row>
    <row r="2285" ht="15.75" customHeight="1">
      <c r="A2285" s="10" t="s">
        <v>1400</v>
      </c>
      <c r="B2285" s="10" t="s">
        <v>123</v>
      </c>
      <c r="C2285" s="41">
        <f t="array" ref="C2285">IF(IFERROR(INDEX(CATALOG_POINTS,MATCH(A2285,CATALOG_TASK,0)),"")="",IF(MAX(IF(IFERROR(FIND(CATALOG_BASE,A2285),0)=1,CATALOG_POINTS,0))=0,DAILY_POST_POINTS,MAX(IF(IFERROR(FIND(CATALOG_BASE,A2285),0)=1,CATALOG_POINTS,0))),IFERROR(INDEX(CATALOG_POINTS,MATCH(A2285,CATALOG_TASK,0)),""))</f>
        <v>1</v>
      </c>
      <c r="D2285" s="10" t="s">
        <v>1400</v>
      </c>
      <c r="E2285" s="41" t="str">
        <f t="shared" si="1"/>
        <v/>
      </c>
    </row>
    <row r="2286" ht="15.75" customHeight="1">
      <c r="A2286" s="10" t="s">
        <v>37</v>
      </c>
      <c r="B2286" s="10" t="s">
        <v>120</v>
      </c>
      <c r="C2286" s="41">
        <f t="array" ref="C2286">IF(IFERROR(INDEX(CATALOG_POINTS,MATCH(A2286,CATALOG_TASK,0)),"")="",IF(MAX(IF(IFERROR(FIND(CATALOG_BASE,A2286),0)=1,CATALOG_POINTS,0))=0,DAILY_POST_POINTS,MAX(IF(IFERROR(FIND(CATALOG_BASE,A2286),0)=1,CATALOG_POINTS,0))),IFERROR(INDEX(CATALOG_POINTS,MATCH(A2286,CATALOG_TASK,0)),""))</f>
        <v>2</v>
      </c>
      <c r="D2286" s="10" t="s">
        <v>1400</v>
      </c>
      <c r="E2286" s="41" t="str">
        <f t="shared" si="1"/>
        <v/>
      </c>
    </row>
    <row r="2287" ht="15.75" customHeight="1">
      <c r="A2287" s="10" t="s">
        <v>1401</v>
      </c>
      <c r="B2287" s="10" t="s">
        <v>136</v>
      </c>
      <c r="C2287" s="41">
        <f t="array" ref="C2287">IF(IFERROR(INDEX(CATALOG_POINTS,MATCH(A2287,CATALOG_TASK,0)),"")="",IF(MAX(IF(IFERROR(FIND(CATALOG_BASE,A2287),0)=1,CATALOG_POINTS,0))=0,DAILY_POST_POINTS,MAX(IF(IFERROR(FIND(CATALOG_BASE,A2287),0)=1,CATALOG_POINTS,0))),IFERROR(INDEX(CATALOG_POINTS,MATCH(A2287,CATALOG_TASK,0)),""))</f>
        <v>1</v>
      </c>
      <c r="D2287" s="10" t="s">
        <v>1401</v>
      </c>
      <c r="E2287" s="41" t="str">
        <f t="shared" si="1"/>
        <v>PROX5</v>
      </c>
    </row>
    <row r="2288" ht="15.75" customHeight="1">
      <c r="A2288" s="10" t="s">
        <v>1402</v>
      </c>
      <c r="B2288" s="10" t="s">
        <v>123</v>
      </c>
      <c r="C2288" s="41">
        <f t="array" ref="C2288">IF(IFERROR(INDEX(CATALOG_POINTS,MATCH(A2288,CATALOG_TASK,0)),"")="",IF(MAX(IF(IFERROR(FIND(CATALOG_BASE,A2288),0)=1,CATALOG_POINTS,0))=0,DAILY_POST_POINTS,MAX(IF(IFERROR(FIND(CATALOG_BASE,A2288),0)=1,CATALOG_POINTS,0))),IFERROR(INDEX(CATALOG_POINTS,MATCH(A2288,CATALOG_TASK,0)),""))</f>
        <v>1</v>
      </c>
      <c r="D2288" s="10" t="s">
        <v>1402</v>
      </c>
      <c r="E2288" s="41" t="str">
        <f t="shared" si="1"/>
        <v>PROX3</v>
      </c>
    </row>
    <row r="2289" ht="15.75" customHeight="1">
      <c r="A2289" s="10" t="s">
        <v>180</v>
      </c>
      <c r="B2289" s="10" t="s">
        <v>138</v>
      </c>
      <c r="C2289" s="41">
        <f t="array" ref="C2289">IF(IFERROR(INDEX(CATALOG_POINTS,MATCH(A2289,CATALOG_TASK,0)),"")="",IF(MAX(IF(IFERROR(FIND(CATALOG_BASE,A2289),0)=1,CATALOG_POINTS,0))=0,DAILY_POST_POINTS,MAX(IF(IFERROR(FIND(CATALOG_BASE,A2289),0)=1,CATALOG_POINTS,0))),IFERROR(INDEX(CATALOG_POINTS,MATCH(A2289,CATALOG_TASK,0)),""))</f>
        <v>1</v>
      </c>
      <c r="D2289" s="10" t="s">
        <v>1402</v>
      </c>
      <c r="E2289" s="41" t="str">
        <f t="shared" si="1"/>
        <v>PROX3</v>
      </c>
    </row>
    <row r="2290" ht="15.75" customHeight="1">
      <c r="A2290" s="10" t="s">
        <v>1403</v>
      </c>
      <c r="B2290" s="10" t="s">
        <v>126</v>
      </c>
      <c r="C2290" s="41">
        <f t="array" ref="C2290">IF(IFERROR(INDEX(CATALOG_POINTS,MATCH(A2290,CATALOG_TASK,0)),"")="",IF(MAX(IF(IFERROR(FIND(CATALOG_BASE,A2290),0)=1,CATALOG_POINTS,0))=0,DAILY_POST_POINTS,MAX(IF(IFERROR(FIND(CATALOG_BASE,A2290),0)=1,CATALOG_POINTS,0))),IFERROR(INDEX(CATALOG_POINTS,MATCH(A2290,CATALOG_TASK,0)),""))</f>
        <v>2</v>
      </c>
      <c r="D2290" s="10" t="s">
        <v>1402</v>
      </c>
      <c r="E2290" s="41" t="str">
        <f t="shared" si="1"/>
        <v>PROX3</v>
      </c>
    </row>
    <row r="2291" ht="15.75" customHeight="1">
      <c r="A2291" s="10" t="s">
        <v>37</v>
      </c>
      <c r="B2291" s="10" t="s">
        <v>128</v>
      </c>
      <c r="C2291" s="41">
        <f t="array" ref="C2291">IF(IFERROR(INDEX(CATALOG_POINTS,MATCH(A2291,CATALOG_TASK,0)),"")="",IF(MAX(IF(IFERROR(FIND(CATALOG_BASE,A2291),0)=1,CATALOG_POINTS,0))=0,DAILY_POST_POINTS,MAX(IF(IFERROR(FIND(CATALOG_BASE,A2291),0)=1,CATALOG_POINTS,0))),IFERROR(INDEX(CATALOG_POINTS,MATCH(A2291,CATALOG_TASK,0)),""))</f>
        <v>2</v>
      </c>
      <c r="D2291" s="10" t="s">
        <v>1402</v>
      </c>
      <c r="E2291" s="41" t="str">
        <f t="shared" si="1"/>
        <v>PROX3</v>
      </c>
    </row>
    <row r="2292" ht="15.75" customHeight="1">
      <c r="A2292" s="10" t="s">
        <v>1404</v>
      </c>
      <c r="B2292" s="10" t="s">
        <v>137</v>
      </c>
      <c r="C2292" s="41">
        <f t="array" ref="C2292">IF(IFERROR(INDEX(CATALOG_POINTS,MATCH(A2292,CATALOG_TASK,0)),"")="",IF(MAX(IF(IFERROR(FIND(CATALOG_BASE,A2292),0)=1,CATALOG_POINTS,0))=0,DAILY_POST_POINTS,MAX(IF(IFERROR(FIND(CATALOG_BASE,A2292),0)=1,CATALOG_POINTS,0))),IFERROR(INDEX(CATALOG_POINTS,MATCH(A2292,CATALOG_TASK,0)),""))</f>
        <v>1</v>
      </c>
      <c r="D2292" s="10" t="s">
        <v>1405</v>
      </c>
      <c r="E2292" s="41" t="str">
        <f t="shared" si="1"/>
        <v/>
      </c>
    </row>
    <row r="2293" ht="15.75" customHeight="1">
      <c r="A2293" s="10" t="s">
        <v>1406</v>
      </c>
      <c r="B2293" s="10" t="s">
        <v>131</v>
      </c>
      <c r="C2293" s="41">
        <f t="array" ref="C2293">IF(IFERROR(INDEX(CATALOG_POINTS,MATCH(A2293,CATALOG_TASK,0)),"")="",IF(MAX(IF(IFERROR(FIND(CATALOG_BASE,A2293),0)=1,CATALOG_POINTS,0))=0,DAILY_POST_POINTS,MAX(IF(IFERROR(FIND(CATALOG_BASE,A2293),0)=1,CATALOG_POINTS,0))),IFERROR(INDEX(CATALOG_POINTS,MATCH(A2293,CATALOG_TASK,0)),""))</f>
        <v>1</v>
      </c>
      <c r="D2293" s="10" t="s">
        <v>1406</v>
      </c>
      <c r="E2293" s="41" t="str">
        <f t="shared" si="1"/>
        <v>PROX3</v>
      </c>
    </row>
    <row r="2294" ht="15.75" customHeight="1">
      <c r="A2294" s="10" t="s">
        <v>1407</v>
      </c>
      <c r="B2294" s="10" t="s">
        <v>126</v>
      </c>
      <c r="C2294" s="41">
        <f t="array" ref="C2294">IF(IFERROR(INDEX(CATALOG_POINTS,MATCH(A2294,CATALOG_TASK,0)),"")="",IF(MAX(IF(IFERROR(FIND(CATALOG_BASE,A2294),0)=1,CATALOG_POINTS,0))=0,DAILY_POST_POINTS,MAX(IF(IFERROR(FIND(CATALOG_BASE,A2294),0)=1,CATALOG_POINTS,0))),IFERROR(INDEX(CATALOG_POINTS,MATCH(A2294,CATALOG_TASK,0)),""))</f>
        <v>1</v>
      </c>
      <c r="D2294" s="10" t="s">
        <v>1407</v>
      </c>
      <c r="E2294" s="41" t="str">
        <f t="shared" si="1"/>
        <v>PROX3</v>
      </c>
    </row>
    <row r="2295" ht="15.75" customHeight="1">
      <c r="A2295" s="10" t="s">
        <v>1408</v>
      </c>
      <c r="B2295" s="10" t="s">
        <v>137</v>
      </c>
      <c r="C2295" s="41">
        <f t="array" ref="C2295">IF(IFERROR(INDEX(CATALOG_POINTS,MATCH(A2295,CATALOG_TASK,0)),"")="",IF(MAX(IF(IFERROR(FIND(CATALOG_BASE,A2295),0)=1,CATALOG_POINTS,0))=0,DAILY_POST_POINTS,MAX(IF(IFERROR(FIND(CATALOG_BASE,A2295),0)=1,CATALOG_POINTS,0))),IFERROR(INDEX(CATALOG_POINTS,MATCH(A2295,CATALOG_TASK,0)),""))</f>
        <v>1</v>
      </c>
      <c r="D2295" s="10" t="s">
        <v>1408</v>
      </c>
      <c r="E2295" s="41" t="str">
        <f t="shared" si="1"/>
        <v>PROX3</v>
      </c>
    </row>
    <row r="2296" ht="15.75" customHeight="1">
      <c r="A2296" s="10" t="s">
        <v>37</v>
      </c>
      <c r="B2296" s="10" t="s">
        <v>122</v>
      </c>
      <c r="C2296" s="41">
        <f t="array" ref="C2296">IF(IFERROR(INDEX(CATALOG_POINTS,MATCH(A2296,CATALOG_TASK,0)),"")="",IF(MAX(IF(IFERROR(FIND(CATALOG_BASE,A2296),0)=1,CATALOG_POINTS,0))=0,DAILY_POST_POINTS,MAX(IF(IFERROR(FIND(CATALOG_BASE,A2296),0)=1,CATALOG_POINTS,0))),IFERROR(INDEX(CATALOG_POINTS,MATCH(A2296,CATALOG_TASK,0)),""))</f>
        <v>2</v>
      </c>
      <c r="D2296" s="10" t="s">
        <v>1409</v>
      </c>
      <c r="E2296" s="41" t="str">
        <f t="shared" si="1"/>
        <v>PROX3</v>
      </c>
    </row>
    <row r="2297" ht="15.75" customHeight="1">
      <c r="A2297" s="10" t="s">
        <v>1409</v>
      </c>
      <c r="B2297" s="10" t="s">
        <v>126</v>
      </c>
      <c r="C2297" s="41">
        <f t="array" ref="C2297">IF(IFERROR(INDEX(CATALOG_POINTS,MATCH(A2297,CATALOG_TASK,0)),"")="",IF(MAX(IF(IFERROR(FIND(CATALOG_BASE,A2297),0)=1,CATALOG_POINTS,0))=0,DAILY_POST_POINTS,MAX(IF(IFERROR(FIND(CATALOG_BASE,A2297),0)=1,CATALOG_POINTS,0))),IFERROR(INDEX(CATALOG_POINTS,MATCH(A2297,CATALOG_TASK,0)),""))</f>
        <v>1</v>
      </c>
      <c r="D2297" s="10" t="s">
        <v>1409</v>
      </c>
      <c r="E2297" s="41" t="str">
        <f t="shared" si="1"/>
        <v>PROX3</v>
      </c>
    </row>
    <row r="2298" ht="15.75" customHeight="1">
      <c r="A2298" s="10" t="s">
        <v>168</v>
      </c>
      <c r="B2298" s="10" t="s">
        <v>122</v>
      </c>
      <c r="C2298" s="41">
        <f t="array" ref="C2298">IF(IFERROR(INDEX(CATALOG_POINTS,MATCH(A2298,CATALOG_TASK,0)),"")="",IF(MAX(IF(IFERROR(FIND(CATALOG_BASE,A2298),0)=1,CATALOG_POINTS,0))=0,DAILY_POST_POINTS,MAX(IF(IFERROR(FIND(CATALOG_BASE,A2298),0)=1,CATALOG_POINTS,0))),IFERROR(INDEX(CATALOG_POINTS,MATCH(A2298,CATALOG_TASK,0)),""))</f>
        <v>1</v>
      </c>
      <c r="D2298" s="10" t="s">
        <v>1409</v>
      </c>
      <c r="E2298" s="41" t="str">
        <f t="shared" si="1"/>
        <v>PROX3</v>
      </c>
    </row>
    <row r="2299" ht="15.75" customHeight="1">
      <c r="A2299" s="10" t="s">
        <v>1410</v>
      </c>
      <c r="B2299" s="10" t="s">
        <v>123</v>
      </c>
      <c r="C2299" s="41">
        <f t="array" ref="C2299">IF(IFERROR(INDEX(CATALOG_POINTS,MATCH(A2299,CATALOG_TASK,0)),"")="",IF(MAX(IF(IFERROR(FIND(CATALOG_BASE,A2299),0)=1,CATALOG_POINTS,0))=0,DAILY_POST_POINTS,MAX(IF(IFERROR(FIND(CATALOG_BASE,A2299),0)=1,CATALOG_POINTS,0))),IFERROR(INDEX(CATALOG_POINTS,MATCH(A2299,CATALOG_TASK,0)),""))</f>
        <v>1</v>
      </c>
      <c r="D2299" s="10" t="s">
        <v>1410</v>
      </c>
      <c r="E2299" s="41" t="str">
        <f t="shared" si="1"/>
        <v>E0</v>
      </c>
    </row>
    <row r="2300" ht="15.75" customHeight="1">
      <c r="A2300" s="10" t="s">
        <v>1411</v>
      </c>
      <c r="B2300" s="10" t="s">
        <v>127</v>
      </c>
      <c r="C2300" s="41">
        <f t="array" ref="C2300">IF(IFERROR(INDEX(CATALOG_POINTS,MATCH(A2300,CATALOG_TASK,0)),"")="",IF(MAX(IF(IFERROR(FIND(CATALOG_BASE,A2300),0)=1,CATALOG_POINTS,0))=0,DAILY_POST_POINTS,MAX(IF(IFERROR(FIND(CATALOG_BASE,A2300),0)=1,CATALOG_POINTS,0))),IFERROR(INDEX(CATALOG_POINTS,MATCH(A2300,CATALOG_TASK,0)),""))</f>
        <v>1</v>
      </c>
      <c r="D2300" s="10" t="s">
        <v>1411</v>
      </c>
      <c r="E2300" s="41" t="str">
        <f t="shared" si="1"/>
        <v>PROX3</v>
      </c>
    </row>
    <row r="2301" ht="15.75" customHeight="1">
      <c r="A2301" s="10" t="s">
        <v>170</v>
      </c>
      <c r="B2301" s="10" t="s">
        <v>120</v>
      </c>
      <c r="C2301" s="41">
        <f t="array" ref="C2301">IF(IFERROR(INDEX(CATALOG_POINTS,MATCH(A2301,CATALOG_TASK,0)),"")="",IF(MAX(IF(IFERROR(FIND(CATALOG_BASE,A2301),0)=1,CATALOG_POINTS,0))=0,DAILY_POST_POINTS,MAX(IF(IFERROR(FIND(CATALOG_BASE,A2301),0)=1,CATALOG_POINTS,0))),IFERROR(INDEX(CATALOG_POINTS,MATCH(A2301,CATALOG_TASK,0)),""))</f>
        <v>1</v>
      </c>
      <c r="D2301" s="10" t="s">
        <v>1411</v>
      </c>
      <c r="E2301" s="41" t="str">
        <f t="shared" si="1"/>
        <v>PROX3</v>
      </c>
    </row>
    <row r="2302" ht="15.75" customHeight="1">
      <c r="A2302" s="10" t="s">
        <v>168</v>
      </c>
      <c r="B2302" s="10" t="s">
        <v>120</v>
      </c>
      <c r="C2302" s="41">
        <f t="array" ref="C2302">IF(IFERROR(INDEX(CATALOG_POINTS,MATCH(A2302,CATALOG_TASK,0)),"")="",IF(MAX(IF(IFERROR(FIND(CATALOG_BASE,A2302),0)=1,CATALOG_POINTS,0))=0,DAILY_POST_POINTS,MAX(IF(IFERROR(FIND(CATALOG_BASE,A2302),0)=1,CATALOG_POINTS,0))),IFERROR(INDEX(CATALOG_POINTS,MATCH(A2302,CATALOG_TASK,0)),""))</f>
        <v>1</v>
      </c>
      <c r="D2302" s="10" t="s">
        <v>1411</v>
      </c>
      <c r="E2302" s="41" t="str">
        <f t="shared" si="1"/>
        <v>PROX3</v>
      </c>
    </row>
    <row r="2303" ht="15.75" customHeight="1">
      <c r="A2303" s="10" t="s">
        <v>1412</v>
      </c>
      <c r="B2303" s="10" t="s">
        <v>131</v>
      </c>
      <c r="C2303" s="41">
        <f t="array" ref="C2303">IF(IFERROR(INDEX(CATALOG_POINTS,MATCH(A2303,CATALOG_TASK,0)),"")="",IF(MAX(IF(IFERROR(FIND(CATALOG_BASE,A2303),0)=1,CATALOG_POINTS,0))=0,DAILY_POST_POINTS,MAX(IF(IFERROR(FIND(CATALOG_BASE,A2303),0)=1,CATALOG_POINTS,0))),IFERROR(INDEX(CATALOG_POINTS,MATCH(A2303,CATALOG_TASK,0)),""))</f>
        <v>1</v>
      </c>
      <c r="D2303" s="10" t="s">
        <v>1412</v>
      </c>
      <c r="E2303" s="41" t="str">
        <f t="shared" si="1"/>
        <v>PROX4</v>
      </c>
    </row>
    <row r="2304" ht="15.75" customHeight="1">
      <c r="A2304" s="10" t="s">
        <v>37</v>
      </c>
      <c r="B2304" s="10" t="s">
        <v>126</v>
      </c>
      <c r="C2304" s="41">
        <f t="array" ref="C2304">IF(IFERROR(INDEX(CATALOG_POINTS,MATCH(A2304,CATALOG_TASK,0)),"")="",IF(MAX(IF(IFERROR(FIND(CATALOG_BASE,A2304),0)=1,CATALOG_POINTS,0))=0,DAILY_POST_POINTS,MAX(IF(IFERROR(FIND(CATALOG_BASE,A2304),0)=1,CATALOG_POINTS,0))),IFERROR(INDEX(CATALOG_POINTS,MATCH(A2304,CATALOG_TASK,0)),""))</f>
        <v>2</v>
      </c>
      <c r="D2304" s="10" t="s">
        <v>1413</v>
      </c>
      <c r="E2304" s="41" t="str">
        <f t="shared" si="1"/>
        <v>PROX3</v>
      </c>
    </row>
    <row r="2305" ht="15.75" customHeight="1">
      <c r="A2305" s="10" t="s">
        <v>1413</v>
      </c>
      <c r="B2305" s="10" t="s">
        <v>136</v>
      </c>
      <c r="C2305" s="41">
        <f t="array" ref="C2305">IF(IFERROR(INDEX(CATALOG_POINTS,MATCH(A2305,CATALOG_TASK,0)),"")="",IF(MAX(IF(IFERROR(FIND(CATALOG_BASE,A2305),0)=1,CATALOG_POINTS,0))=0,DAILY_POST_POINTS,MAX(IF(IFERROR(FIND(CATALOG_BASE,A2305),0)=1,CATALOG_POINTS,0))),IFERROR(INDEX(CATALOG_POINTS,MATCH(A2305,CATALOG_TASK,0)),""))</f>
        <v>1</v>
      </c>
      <c r="D2305" s="10" t="s">
        <v>1413</v>
      </c>
      <c r="E2305" s="41" t="str">
        <f t="shared" si="1"/>
        <v>PROX3</v>
      </c>
    </row>
    <row r="2306" ht="15.75" customHeight="1">
      <c r="A2306" s="10" t="s">
        <v>37</v>
      </c>
      <c r="B2306" s="10" t="s">
        <v>122</v>
      </c>
      <c r="C2306" s="41">
        <f t="array" ref="C2306">IF(IFERROR(INDEX(CATALOG_POINTS,MATCH(A2306,CATALOG_TASK,0)),"")="",IF(MAX(IF(IFERROR(FIND(CATALOG_BASE,A2306),0)=1,CATALOG_POINTS,0))=0,DAILY_POST_POINTS,MAX(IF(IFERROR(FIND(CATALOG_BASE,A2306),0)=1,CATALOG_POINTS,0))),IFERROR(INDEX(CATALOG_POINTS,MATCH(A2306,CATALOG_TASK,0)),""))</f>
        <v>2</v>
      </c>
      <c r="D2306" s="10" t="s">
        <v>1413</v>
      </c>
      <c r="E2306" s="41" t="str">
        <f t="shared" si="1"/>
        <v>PROX3</v>
      </c>
    </row>
    <row r="2307" ht="15.75" customHeight="1">
      <c r="A2307" s="10" t="s">
        <v>37</v>
      </c>
      <c r="B2307" s="10" t="s">
        <v>122</v>
      </c>
      <c r="C2307" s="41">
        <f t="array" ref="C2307">IF(IFERROR(INDEX(CATALOG_POINTS,MATCH(A2307,CATALOG_TASK,0)),"")="",IF(MAX(IF(IFERROR(FIND(CATALOG_BASE,A2307),0)=1,CATALOG_POINTS,0))=0,DAILY_POST_POINTS,MAX(IF(IFERROR(FIND(CATALOG_BASE,A2307),0)=1,CATALOG_POINTS,0))),IFERROR(INDEX(CATALOG_POINTS,MATCH(A2307,CATALOG_TASK,0)),""))</f>
        <v>2</v>
      </c>
      <c r="D2307" s="10" t="s">
        <v>1414</v>
      </c>
      <c r="E2307" s="41" t="str">
        <f t="shared" si="1"/>
        <v>PROX4</v>
      </c>
    </row>
    <row r="2308" ht="15.75" customHeight="1">
      <c r="A2308" s="10" t="s">
        <v>37</v>
      </c>
      <c r="B2308" s="10" t="s">
        <v>125</v>
      </c>
      <c r="C2308" s="41">
        <f t="array" ref="C2308">IF(IFERROR(INDEX(CATALOG_POINTS,MATCH(A2308,CATALOG_TASK,0)),"")="",IF(MAX(IF(IFERROR(FIND(CATALOG_BASE,A2308),0)=1,CATALOG_POINTS,0))=0,DAILY_POST_POINTS,MAX(IF(IFERROR(FIND(CATALOG_BASE,A2308),0)=1,CATALOG_POINTS,0))),IFERROR(INDEX(CATALOG_POINTS,MATCH(A2308,CATALOG_TASK,0)),""))</f>
        <v>2</v>
      </c>
      <c r="D2308" s="10" t="s">
        <v>1414</v>
      </c>
      <c r="E2308" s="41" t="str">
        <f t="shared" si="1"/>
        <v>PROX4</v>
      </c>
    </row>
    <row r="2309" ht="15.75" customHeight="1">
      <c r="A2309" s="10" t="s">
        <v>1414</v>
      </c>
      <c r="B2309" s="10" t="s">
        <v>134</v>
      </c>
      <c r="C2309" s="41">
        <f t="array" ref="C2309">IF(IFERROR(INDEX(CATALOG_POINTS,MATCH(A2309,CATALOG_TASK,0)),"")="",IF(MAX(IF(IFERROR(FIND(CATALOG_BASE,A2309),0)=1,CATALOG_POINTS,0))=0,DAILY_POST_POINTS,MAX(IF(IFERROR(FIND(CATALOG_BASE,A2309),0)=1,CATALOG_POINTS,0))),IFERROR(INDEX(CATALOG_POINTS,MATCH(A2309,CATALOG_TASK,0)),""))</f>
        <v>1</v>
      </c>
      <c r="D2309" s="10" t="s">
        <v>1414</v>
      </c>
      <c r="E2309" s="41" t="str">
        <f t="shared" si="1"/>
        <v>PROX4</v>
      </c>
    </row>
    <row r="2310" ht="15.75" customHeight="1">
      <c r="A2310" s="10" t="s">
        <v>1415</v>
      </c>
      <c r="B2310" s="10" t="s">
        <v>134</v>
      </c>
      <c r="C2310" s="41">
        <f t="array" ref="C2310">IF(IFERROR(INDEX(CATALOG_POINTS,MATCH(A2310,CATALOG_TASK,0)),"")="",IF(MAX(IF(IFERROR(FIND(CATALOG_BASE,A2310),0)=1,CATALOG_POINTS,0))=0,DAILY_POST_POINTS,MAX(IF(IFERROR(FIND(CATALOG_BASE,A2310),0)=1,CATALOG_POINTS,0))),IFERROR(INDEX(CATALOG_POINTS,MATCH(A2310,CATALOG_TASK,0)),""))</f>
        <v>1</v>
      </c>
      <c r="D2310" s="10" t="s">
        <v>1415</v>
      </c>
      <c r="E2310" s="41" t="str">
        <f t="shared" si="1"/>
        <v>PROX3</v>
      </c>
    </row>
    <row r="2311" ht="15.75" customHeight="1">
      <c r="A2311" s="10" t="s">
        <v>1416</v>
      </c>
      <c r="B2311" s="10" t="s">
        <v>119</v>
      </c>
      <c r="C2311" s="41">
        <f t="array" ref="C2311">IF(IFERROR(INDEX(CATALOG_POINTS,MATCH(A2311,CATALOG_TASK,0)),"")="",IF(MAX(IF(IFERROR(FIND(CATALOG_BASE,A2311),0)=1,CATALOG_POINTS,0))=0,DAILY_POST_POINTS,MAX(IF(IFERROR(FIND(CATALOG_BASE,A2311),0)=1,CATALOG_POINTS,0))),IFERROR(INDEX(CATALOG_POINTS,MATCH(A2311,CATALOG_TASK,0)),""))</f>
        <v>1</v>
      </c>
      <c r="D2311" s="10" t="s">
        <v>1416</v>
      </c>
      <c r="E2311" s="41" t="str">
        <f t="shared" si="1"/>
        <v>PROX4</v>
      </c>
    </row>
    <row r="2312" ht="15.75" customHeight="1">
      <c r="A2312" s="10" t="s">
        <v>1417</v>
      </c>
      <c r="B2312" s="10" t="s">
        <v>135</v>
      </c>
      <c r="C2312" s="41">
        <f t="array" ref="C2312">IF(IFERROR(INDEX(CATALOG_POINTS,MATCH(A2312,CATALOG_TASK,0)),"")="",IF(MAX(IF(IFERROR(FIND(CATALOG_BASE,A2312),0)=1,CATALOG_POINTS,0))=0,DAILY_POST_POINTS,MAX(IF(IFERROR(FIND(CATALOG_BASE,A2312),0)=1,CATALOG_POINTS,0))),IFERROR(INDEX(CATALOG_POINTS,MATCH(A2312,CATALOG_TASK,0)),""))</f>
        <v>1</v>
      </c>
      <c r="D2312" s="10" t="s">
        <v>1417</v>
      </c>
      <c r="E2312" s="41" t="str">
        <f t="shared" si="1"/>
        <v>PROX3</v>
      </c>
    </row>
    <row r="2313" ht="15.75" customHeight="1">
      <c r="A2313" s="10" t="s">
        <v>37</v>
      </c>
      <c r="B2313" s="10" t="s">
        <v>122</v>
      </c>
      <c r="C2313" s="41">
        <f t="array" ref="C2313">IF(IFERROR(INDEX(CATALOG_POINTS,MATCH(A2313,CATALOG_TASK,0)),"")="",IF(MAX(IF(IFERROR(FIND(CATALOG_BASE,A2313),0)=1,CATALOG_POINTS,0))=0,DAILY_POST_POINTS,MAX(IF(IFERROR(FIND(CATALOG_BASE,A2313),0)=1,CATALOG_POINTS,0))),IFERROR(INDEX(CATALOG_POINTS,MATCH(A2313,CATALOG_TASK,0)),""))</f>
        <v>2</v>
      </c>
      <c r="D2313" s="10" t="s">
        <v>1418</v>
      </c>
      <c r="E2313" s="41" t="str">
        <f t="shared" si="1"/>
        <v>PROX3</v>
      </c>
    </row>
    <row r="2314" ht="15.75" customHeight="1">
      <c r="A2314" s="10" t="s">
        <v>37</v>
      </c>
      <c r="B2314" s="10" t="s">
        <v>122</v>
      </c>
      <c r="C2314" s="41">
        <f t="array" ref="C2314">IF(IFERROR(INDEX(CATALOG_POINTS,MATCH(A2314,CATALOG_TASK,0)),"")="",IF(MAX(IF(IFERROR(FIND(CATALOG_BASE,A2314),0)=1,CATALOG_POINTS,0))=0,DAILY_POST_POINTS,MAX(IF(IFERROR(FIND(CATALOG_BASE,A2314),0)=1,CATALOG_POINTS,0))),IFERROR(INDEX(CATALOG_POINTS,MATCH(A2314,CATALOG_TASK,0)),""))</f>
        <v>2</v>
      </c>
      <c r="D2314" s="10" t="s">
        <v>1419</v>
      </c>
      <c r="E2314" s="41" t="str">
        <f t="shared" si="1"/>
        <v>PROX3</v>
      </c>
    </row>
    <row r="2315" ht="15.75" customHeight="1">
      <c r="A2315" s="10" t="s">
        <v>168</v>
      </c>
      <c r="B2315" s="10" t="s">
        <v>120</v>
      </c>
      <c r="C2315" s="41">
        <f t="array" ref="C2315">IF(IFERROR(INDEX(CATALOG_POINTS,MATCH(A2315,CATALOG_TASK,0)),"")="",IF(MAX(IF(IFERROR(FIND(CATALOG_BASE,A2315),0)=1,CATALOG_POINTS,0))=0,DAILY_POST_POINTS,MAX(IF(IFERROR(FIND(CATALOG_BASE,A2315),0)=1,CATALOG_POINTS,0))),IFERROR(INDEX(CATALOG_POINTS,MATCH(A2315,CATALOG_TASK,0)),""))</f>
        <v>1</v>
      </c>
      <c r="D2315" s="10" t="s">
        <v>1419</v>
      </c>
      <c r="E2315" s="41" t="str">
        <f t="shared" si="1"/>
        <v>PROX3</v>
      </c>
    </row>
    <row r="2316" ht="15.75" customHeight="1">
      <c r="A2316" s="10" t="s">
        <v>168</v>
      </c>
      <c r="B2316" s="10" t="s">
        <v>124</v>
      </c>
      <c r="C2316" s="41">
        <f t="array" ref="C2316">IF(IFERROR(INDEX(CATALOG_POINTS,MATCH(A2316,CATALOG_TASK,0)),"")="",IF(MAX(IF(IFERROR(FIND(CATALOG_BASE,A2316),0)=1,CATALOG_POINTS,0))=0,DAILY_POST_POINTS,MAX(IF(IFERROR(FIND(CATALOG_BASE,A2316),0)=1,CATALOG_POINTS,0))),IFERROR(INDEX(CATALOG_POINTS,MATCH(A2316,CATALOG_TASK,0)),""))</f>
        <v>1</v>
      </c>
      <c r="D2316" s="10" t="s">
        <v>1419</v>
      </c>
      <c r="E2316" s="41" t="str">
        <f t="shared" si="1"/>
        <v>PROX3</v>
      </c>
    </row>
    <row r="2317" ht="15.75" customHeight="1">
      <c r="A2317" s="10" t="s">
        <v>1419</v>
      </c>
      <c r="B2317" s="10" t="s">
        <v>132</v>
      </c>
      <c r="C2317" s="41">
        <f t="array" ref="C2317">IF(IFERROR(INDEX(CATALOG_POINTS,MATCH(A2317,CATALOG_TASK,0)),"")="",IF(MAX(IF(IFERROR(FIND(CATALOG_BASE,A2317),0)=1,CATALOG_POINTS,0))=0,DAILY_POST_POINTS,MAX(IF(IFERROR(FIND(CATALOG_BASE,A2317),0)=1,CATALOG_POINTS,0))),IFERROR(INDEX(CATALOG_POINTS,MATCH(A2317,CATALOG_TASK,0)),""))</f>
        <v>1</v>
      </c>
      <c r="D2317" s="10" t="s">
        <v>1419</v>
      </c>
      <c r="E2317" s="41" t="str">
        <f t="shared" si="1"/>
        <v>PROX3</v>
      </c>
    </row>
    <row r="2318" ht="15.75" customHeight="1">
      <c r="A2318" s="10" t="s">
        <v>37</v>
      </c>
      <c r="B2318" s="10" t="s">
        <v>124</v>
      </c>
      <c r="C2318" s="41">
        <f t="array" ref="C2318">IF(IFERROR(INDEX(CATALOG_POINTS,MATCH(A2318,CATALOG_TASK,0)),"")="",IF(MAX(IF(IFERROR(FIND(CATALOG_BASE,A2318),0)=1,CATALOG_POINTS,0))=0,DAILY_POST_POINTS,MAX(IF(IFERROR(FIND(CATALOG_BASE,A2318),0)=1,CATALOG_POINTS,0))),IFERROR(INDEX(CATALOG_POINTS,MATCH(A2318,CATALOG_TASK,0)),""))</f>
        <v>2</v>
      </c>
      <c r="D2318" s="10" t="s">
        <v>1419</v>
      </c>
      <c r="E2318" s="41" t="str">
        <f t="shared" si="1"/>
        <v>PROX3</v>
      </c>
    </row>
    <row r="2319" ht="15.75" customHeight="1">
      <c r="A2319" s="10" t="s">
        <v>1420</v>
      </c>
      <c r="B2319" s="10" t="s">
        <v>132</v>
      </c>
      <c r="C2319" s="41">
        <f t="array" ref="C2319">IF(IFERROR(INDEX(CATALOG_POINTS,MATCH(A2319,CATALOG_TASK,0)),"")="",IF(MAX(IF(IFERROR(FIND(CATALOG_BASE,A2319),0)=1,CATALOG_POINTS,0))=0,DAILY_POST_POINTS,MAX(IF(IFERROR(FIND(CATALOG_BASE,A2319),0)=1,CATALOG_POINTS,0))),IFERROR(INDEX(CATALOG_POINTS,MATCH(A2319,CATALOG_TASK,0)),""))</f>
        <v>1</v>
      </c>
      <c r="D2319" s="10" t="s">
        <v>1420</v>
      </c>
      <c r="E2319" s="41" t="str">
        <f t="shared" si="1"/>
        <v>PROX3</v>
      </c>
    </row>
    <row r="2320" ht="15.75" customHeight="1">
      <c r="A2320" s="10" t="s">
        <v>168</v>
      </c>
      <c r="B2320" s="10" t="s">
        <v>122</v>
      </c>
      <c r="C2320" s="41">
        <f t="array" ref="C2320">IF(IFERROR(INDEX(CATALOG_POINTS,MATCH(A2320,CATALOG_TASK,0)),"")="",IF(MAX(IF(IFERROR(FIND(CATALOG_BASE,A2320),0)=1,CATALOG_POINTS,0))=0,DAILY_POST_POINTS,MAX(IF(IFERROR(FIND(CATALOG_BASE,A2320),0)=1,CATALOG_POINTS,0))),IFERROR(INDEX(CATALOG_POINTS,MATCH(A2320,CATALOG_TASK,0)),""))</f>
        <v>1</v>
      </c>
      <c r="D2320" s="10" t="s">
        <v>1420</v>
      </c>
      <c r="E2320" s="41" t="str">
        <f t="shared" si="1"/>
        <v>PROX3</v>
      </c>
    </row>
    <row r="2321" ht="15.75" customHeight="1">
      <c r="A2321" s="10" t="s">
        <v>37</v>
      </c>
      <c r="B2321" s="10" t="s">
        <v>122</v>
      </c>
      <c r="C2321" s="41">
        <f t="array" ref="C2321">IF(IFERROR(INDEX(CATALOG_POINTS,MATCH(A2321,CATALOG_TASK,0)),"")="",IF(MAX(IF(IFERROR(FIND(CATALOG_BASE,A2321),0)=1,CATALOG_POINTS,0))=0,DAILY_POST_POINTS,MAX(IF(IFERROR(FIND(CATALOG_BASE,A2321),0)=1,CATALOG_POINTS,0))),IFERROR(INDEX(CATALOG_POINTS,MATCH(A2321,CATALOG_TASK,0)),""))</f>
        <v>2</v>
      </c>
      <c r="D2321" s="10" t="s">
        <v>1420</v>
      </c>
      <c r="E2321" s="41" t="str">
        <f t="shared" si="1"/>
        <v>PROX3</v>
      </c>
    </row>
    <row r="2322" ht="15.75" customHeight="1">
      <c r="A2322" s="10" t="s">
        <v>174</v>
      </c>
      <c r="B2322" s="10" t="s">
        <v>127</v>
      </c>
      <c r="C2322" s="41">
        <f t="array" ref="C2322">IF(IFERROR(INDEX(CATALOG_POINTS,MATCH(A2322,CATALOG_TASK,0)),"")="",IF(MAX(IF(IFERROR(FIND(CATALOG_BASE,A2322),0)=1,CATALOG_POINTS,0))=0,DAILY_POST_POINTS,MAX(IF(IFERROR(FIND(CATALOG_BASE,A2322),0)=1,CATALOG_POINTS,0))),IFERROR(INDEX(CATALOG_POINTS,MATCH(A2322,CATALOG_TASK,0)),""))</f>
        <v>1</v>
      </c>
      <c r="D2322" s="10" t="s">
        <v>1421</v>
      </c>
      <c r="E2322" s="41" t="str">
        <f t="shared" si="1"/>
        <v>PROX4</v>
      </c>
    </row>
    <row r="2323" ht="15.75" customHeight="1">
      <c r="A2323" s="10" t="s">
        <v>37</v>
      </c>
      <c r="B2323" s="10" t="s">
        <v>128</v>
      </c>
      <c r="C2323" s="41">
        <f t="array" ref="C2323">IF(IFERROR(INDEX(CATALOG_POINTS,MATCH(A2323,CATALOG_TASK,0)),"")="",IF(MAX(IF(IFERROR(FIND(CATALOG_BASE,A2323),0)=1,CATALOG_POINTS,0))=0,DAILY_POST_POINTS,MAX(IF(IFERROR(FIND(CATALOG_BASE,A2323),0)=1,CATALOG_POINTS,0))),IFERROR(INDEX(CATALOG_POINTS,MATCH(A2323,CATALOG_TASK,0)),""))</f>
        <v>2</v>
      </c>
      <c r="D2323" s="10" t="s">
        <v>1421</v>
      </c>
      <c r="E2323" s="41" t="str">
        <f t="shared" si="1"/>
        <v>PROX4</v>
      </c>
    </row>
    <row r="2324" ht="15.75" customHeight="1">
      <c r="A2324" s="10" t="s">
        <v>180</v>
      </c>
      <c r="B2324" s="10" t="s">
        <v>138</v>
      </c>
      <c r="C2324" s="41">
        <f t="array" ref="C2324">IF(IFERROR(INDEX(CATALOG_POINTS,MATCH(A2324,CATALOG_TASK,0)),"")="",IF(MAX(IF(IFERROR(FIND(CATALOG_BASE,A2324),0)=1,CATALOG_POINTS,0))=0,DAILY_POST_POINTS,MAX(IF(IFERROR(FIND(CATALOG_BASE,A2324),0)=1,CATALOG_POINTS,0))),IFERROR(INDEX(CATALOG_POINTS,MATCH(A2324,CATALOG_TASK,0)),""))</f>
        <v>1</v>
      </c>
      <c r="D2324" s="10" t="s">
        <v>1421</v>
      </c>
      <c r="E2324" s="41" t="str">
        <f t="shared" si="1"/>
        <v>PROX4</v>
      </c>
    </row>
    <row r="2325" ht="15.75" customHeight="1">
      <c r="A2325" s="10" t="s">
        <v>34</v>
      </c>
      <c r="B2325" s="10" t="s">
        <v>119</v>
      </c>
      <c r="C2325" s="41">
        <f t="array" ref="C2325">IF(IFERROR(INDEX(CATALOG_POINTS,MATCH(A2325,CATALOG_TASK,0)),"")="",IF(MAX(IF(IFERROR(FIND(CATALOG_BASE,A2325),0)=1,CATALOG_POINTS,0))=0,DAILY_POST_POINTS,MAX(IF(IFERROR(FIND(CATALOG_BASE,A2325),0)=1,CATALOG_POINTS,0))),IFERROR(INDEX(CATALOG_POINTS,MATCH(A2325,CATALOG_TASK,0)),""))</f>
        <v>2</v>
      </c>
      <c r="D2325" s="10" t="s">
        <v>1421</v>
      </c>
      <c r="E2325" s="41" t="str">
        <f t="shared" si="1"/>
        <v>PROX4</v>
      </c>
    </row>
    <row r="2326" ht="15.75" customHeight="1">
      <c r="A2326" s="10" t="s">
        <v>168</v>
      </c>
      <c r="B2326" s="10" t="s">
        <v>119</v>
      </c>
      <c r="C2326" s="41">
        <f t="array" ref="C2326">IF(IFERROR(INDEX(CATALOG_POINTS,MATCH(A2326,CATALOG_TASK,0)),"")="",IF(MAX(IF(IFERROR(FIND(CATALOG_BASE,A2326),0)=1,CATALOG_POINTS,0))=0,DAILY_POST_POINTS,MAX(IF(IFERROR(FIND(CATALOG_BASE,A2326),0)=1,CATALOG_POINTS,0))),IFERROR(INDEX(CATALOG_POINTS,MATCH(A2326,CATALOG_TASK,0)),""))</f>
        <v>1</v>
      </c>
      <c r="D2326" s="10" t="s">
        <v>1421</v>
      </c>
      <c r="E2326" s="41" t="str">
        <f t="shared" si="1"/>
        <v>PROX4</v>
      </c>
    </row>
    <row r="2327" ht="15.75" customHeight="1">
      <c r="A2327" s="10" t="s">
        <v>1422</v>
      </c>
      <c r="B2327" s="10" t="s">
        <v>123</v>
      </c>
      <c r="C2327" s="41">
        <f t="array" ref="C2327">IF(IFERROR(INDEX(CATALOG_POINTS,MATCH(A2327,CATALOG_TASK,0)),"")="",IF(MAX(IF(IFERROR(FIND(CATALOG_BASE,A2327),0)=1,CATALOG_POINTS,0))=0,DAILY_POST_POINTS,MAX(IF(IFERROR(FIND(CATALOG_BASE,A2327),0)=1,CATALOG_POINTS,0))),IFERROR(INDEX(CATALOG_POINTS,MATCH(A2327,CATALOG_TASK,0)),""))</f>
        <v>1</v>
      </c>
      <c r="D2327" s="10" t="s">
        <v>1422</v>
      </c>
      <c r="E2327" s="41" t="str">
        <f t="shared" si="1"/>
        <v>E0</v>
      </c>
    </row>
    <row r="2328" ht="15.75" customHeight="1">
      <c r="A2328" s="10" t="s">
        <v>37</v>
      </c>
      <c r="B2328" s="10" t="s">
        <v>120</v>
      </c>
      <c r="C2328" s="41">
        <f t="array" ref="C2328">IF(IFERROR(INDEX(CATALOG_POINTS,MATCH(A2328,CATALOG_TASK,0)),"")="",IF(MAX(IF(IFERROR(FIND(CATALOG_BASE,A2328),0)=1,CATALOG_POINTS,0))=0,DAILY_POST_POINTS,MAX(IF(IFERROR(FIND(CATALOG_BASE,A2328),0)=1,CATALOG_POINTS,0))),IFERROR(INDEX(CATALOG_POINTS,MATCH(A2328,CATALOG_TASK,0)),""))</f>
        <v>2</v>
      </c>
      <c r="D2328" s="10" t="s">
        <v>1423</v>
      </c>
      <c r="E2328" s="41" t="str">
        <f t="shared" si="1"/>
        <v>PROX3</v>
      </c>
    </row>
    <row r="2329" ht="15.75" customHeight="1">
      <c r="A2329" s="10" t="s">
        <v>1423</v>
      </c>
      <c r="B2329" s="10" t="s">
        <v>120</v>
      </c>
      <c r="C2329" s="41">
        <f t="array" ref="C2329">IF(IFERROR(INDEX(CATALOG_POINTS,MATCH(A2329,CATALOG_TASK,0)),"")="",IF(MAX(IF(IFERROR(FIND(CATALOG_BASE,A2329),0)=1,CATALOG_POINTS,0))=0,DAILY_POST_POINTS,MAX(IF(IFERROR(FIND(CATALOG_BASE,A2329),0)=1,CATALOG_POINTS,0))),IFERROR(INDEX(CATALOG_POINTS,MATCH(A2329,CATALOG_TASK,0)),""))</f>
        <v>1</v>
      </c>
      <c r="D2329" s="10" t="s">
        <v>1423</v>
      </c>
      <c r="E2329" s="41" t="str">
        <f t="shared" si="1"/>
        <v>PROX3</v>
      </c>
    </row>
    <row r="2330" ht="15.75" customHeight="1">
      <c r="A2330" s="10" t="s">
        <v>178</v>
      </c>
      <c r="B2330" s="10" t="s">
        <v>125</v>
      </c>
      <c r="C2330" s="41">
        <f t="array" ref="C2330">IF(IFERROR(INDEX(CATALOG_POINTS,MATCH(A2330,CATALOG_TASK,0)),"")="",IF(MAX(IF(IFERROR(FIND(CATALOG_BASE,A2330),0)=1,CATALOG_POINTS,0))=0,DAILY_POST_POINTS,MAX(IF(IFERROR(FIND(CATALOG_BASE,A2330),0)=1,CATALOG_POINTS,0))),IFERROR(INDEX(CATALOG_POINTS,MATCH(A2330,CATALOG_TASK,0)),""))</f>
        <v>1</v>
      </c>
      <c r="D2330" s="10" t="s">
        <v>1423</v>
      </c>
      <c r="E2330" s="41" t="str">
        <f t="shared" si="1"/>
        <v>PROX3</v>
      </c>
    </row>
    <row r="2331" ht="15.75" customHeight="1">
      <c r="A2331" s="10" t="s">
        <v>37</v>
      </c>
      <c r="B2331" s="10" t="s">
        <v>126</v>
      </c>
      <c r="C2331" s="41">
        <f t="array" ref="C2331">IF(IFERROR(INDEX(CATALOG_POINTS,MATCH(A2331,CATALOG_TASK,0)),"")="",IF(MAX(IF(IFERROR(FIND(CATALOG_BASE,A2331),0)=1,CATALOG_POINTS,0))=0,DAILY_POST_POINTS,MAX(IF(IFERROR(FIND(CATALOG_BASE,A2331),0)=1,CATALOG_POINTS,0))),IFERROR(INDEX(CATALOG_POINTS,MATCH(A2331,CATALOG_TASK,0)),""))</f>
        <v>2</v>
      </c>
      <c r="D2331" s="10" t="s">
        <v>1423</v>
      </c>
      <c r="E2331" s="41" t="str">
        <f t="shared" si="1"/>
        <v>PROX3</v>
      </c>
    </row>
    <row r="2332" ht="15.75" customHeight="1">
      <c r="A2332" s="10" t="s">
        <v>1424</v>
      </c>
      <c r="B2332" s="10" t="s">
        <v>125</v>
      </c>
      <c r="C2332" s="41">
        <f t="array" ref="C2332">IF(IFERROR(INDEX(CATALOG_POINTS,MATCH(A2332,CATALOG_TASK,0)),"")="",IF(MAX(IF(IFERROR(FIND(CATALOG_BASE,A2332),0)=1,CATALOG_POINTS,0))=0,DAILY_POST_POINTS,MAX(IF(IFERROR(FIND(CATALOG_BASE,A2332),0)=1,CATALOG_POINTS,0))),IFERROR(INDEX(CATALOG_POINTS,MATCH(A2332,CATALOG_TASK,0)),""))</f>
        <v>1</v>
      </c>
      <c r="D2332" s="10" t="s">
        <v>1424</v>
      </c>
      <c r="E2332" s="41" t="str">
        <f t="shared" si="1"/>
        <v>PROX3</v>
      </c>
    </row>
    <row r="2333" ht="15.75" customHeight="1">
      <c r="A2333" s="10" t="s">
        <v>1425</v>
      </c>
      <c r="B2333" s="10" t="s">
        <v>124</v>
      </c>
      <c r="C2333" s="41">
        <f t="array" ref="C2333">IF(IFERROR(INDEX(CATALOG_POINTS,MATCH(A2333,CATALOG_TASK,0)),"")="",IF(MAX(IF(IFERROR(FIND(CATALOG_BASE,A2333),0)=1,CATALOG_POINTS,0))=0,DAILY_POST_POINTS,MAX(IF(IFERROR(FIND(CATALOG_BASE,A2333),0)=1,CATALOG_POINTS,0))),IFERROR(INDEX(CATALOG_POINTS,MATCH(A2333,CATALOG_TASK,0)),""))</f>
        <v>1</v>
      </c>
      <c r="D2333" s="10" t="s">
        <v>1425</v>
      </c>
      <c r="E2333" s="41" t="str">
        <f t="shared" si="1"/>
        <v>PROX4</v>
      </c>
    </row>
    <row r="2334" ht="15.75" customHeight="1">
      <c r="A2334" s="10" t="s">
        <v>1426</v>
      </c>
      <c r="B2334" s="10" t="s">
        <v>125</v>
      </c>
      <c r="C2334" s="41">
        <f t="array" ref="C2334">IF(IFERROR(INDEX(CATALOG_POINTS,MATCH(A2334,CATALOG_TASK,0)),"")="",IF(MAX(IF(IFERROR(FIND(CATALOG_BASE,A2334),0)=1,CATALOG_POINTS,0))=0,DAILY_POST_POINTS,MAX(IF(IFERROR(FIND(CATALOG_BASE,A2334),0)=1,CATALOG_POINTS,0))),IFERROR(INDEX(CATALOG_POINTS,MATCH(A2334,CATALOG_TASK,0)),""))</f>
        <v>1</v>
      </c>
      <c r="D2334" s="10" t="s">
        <v>1426</v>
      </c>
      <c r="E2334" s="41" t="str">
        <f t="shared" si="1"/>
        <v>PROX3</v>
      </c>
    </row>
    <row r="2335" ht="15.75" customHeight="1">
      <c r="A2335" s="10" t="s">
        <v>1427</v>
      </c>
      <c r="B2335" s="10" t="s">
        <v>129</v>
      </c>
      <c r="C2335" s="41">
        <f t="array" ref="C2335">IF(IFERROR(INDEX(CATALOG_POINTS,MATCH(A2335,CATALOG_TASK,0)),"")="",IF(MAX(IF(IFERROR(FIND(CATALOG_BASE,A2335),0)=1,CATALOG_POINTS,0))=0,DAILY_POST_POINTS,MAX(IF(IFERROR(FIND(CATALOG_BASE,A2335),0)=1,CATALOG_POINTS,0))),IFERROR(INDEX(CATALOG_POINTS,MATCH(A2335,CATALOG_TASK,0)),""))</f>
        <v>1</v>
      </c>
      <c r="D2335" s="10" t="s">
        <v>1427</v>
      </c>
      <c r="E2335" s="41" t="str">
        <f t="shared" si="1"/>
        <v>E0</v>
      </c>
    </row>
    <row r="2336" ht="15.75" customHeight="1">
      <c r="A2336" s="10" t="s">
        <v>1428</v>
      </c>
      <c r="B2336" s="10" t="s">
        <v>117</v>
      </c>
      <c r="C2336" s="41">
        <f t="array" ref="C2336">IF(IFERROR(INDEX(CATALOG_POINTS,MATCH(A2336,CATALOG_TASK,0)),"")="",IF(MAX(IF(IFERROR(FIND(CATALOG_BASE,A2336),0)=1,CATALOG_POINTS,0))=0,DAILY_POST_POINTS,MAX(IF(IFERROR(FIND(CATALOG_BASE,A2336),0)=1,CATALOG_POINTS,0))),IFERROR(INDEX(CATALOG_POINTS,MATCH(A2336,CATALOG_TASK,0)),""))</f>
        <v>1</v>
      </c>
      <c r="D2336" s="10" t="s">
        <v>1428</v>
      </c>
      <c r="E2336" s="41" t="str">
        <f t="shared" si="1"/>
        <v>PROX3</v>
      </c>
    </row>
    <row r="2337" ht="15.75" customHeight="1">
      <c r="A2337" s="10" t="s">
        <v>37</v>
      </c>
      <c r="B2337" s="10" t="s">
        <v>124</v>
      </c>
      <c r="C2337" s="41">
        <f t="array" ref="C2337">IF(IFERROR(INDEX(CATALOG_POINTS,MATCH(A2337,CATALOG_TASK,0)),"")="",IF(MAX(IF(IFERROR(FIND(CATALOG_BASE,A2337),0)=1,CATALOG_POINTS,0))=0,DAILY_POST_POINTS,MAX(IF(IFERROR(FIND(CATALOG_BASE,A2337),0)=1,CATALOG_POINTS,0))),IFERROR(INDEX(CATALOG_POINTS,MATCH(A2337,CATALOG_TASK,0)),""))</f>
        <v>2</v>
      </c>
      <c r="D2337" s="10" t="s">
        <v>1429</v>
      </c>
      <c r="E2337" s="41" t="str">
        <f t="shared" si="1"/>
        <v>PROX3</v>
      </c>
    </row>
    <row r="2338" ht="15.75" customHeight="1">
      <c r="A2338" s="10" t="s">
        <v>1429</v>
      </c>
      <c r="B2338" s="10" t="s">
        <v>127</v>
      </c>
      <c r="C2338" s="41">
        <f t="array" ref="C2338">IF(IFERROR(INDEX(CATALOG_POINTS,MATCH(A2338,CATALOG_TASK,0)),"")="",IF(MAX(IF(IFERROR(FIND(CATALOG_BASE,A2338),0)=1,CATALOG_POINTS,0))=0,DAILY_POST_POINTS,MAX(IF(IFERROR(FIND(CATALOG_BASE,A2338),0)=1,CATALOG_POINTS,0))),IFERROR(INDEX(CATALOG_POINTS,MATCH(A2338,CATALOG_TASK,0)),""))</f>
        <v>1</v>
      </c>
      <c r="D2338" s="10" t="s">
        <v>1429</v>
      </c>
      <c r="E2338" s="41" t="str">
        <f t="shared" si="1"/>
        <v>PROX3</v>
      </c>
    </row>
    <row r="2339" ht="15.75" customHeight="1">
      <c r="A2339" s="10" t="s">
        <v>1430</v>
      </c>
      <c r="B2339" s="10" t="s">
        <v>121</v>
      </c>
      <c r="C2339" s="41">
        <f t="array" ref="C2339">IF(IFERROR(INDEX(CATALOG_POINTS,MATCH(A2339,CATALOG_TASK,0)),"")="",IF(MAX(IF(IFERROR(FIND(CATALOG_BASE,A2339),0)=1,CATALOG_POINTS,0))=0,DAILY_POST_POINTS,MAX(IF(IFERROR(FIND(CATALOG_BASE,A2339),0)=1,CATALOG_POINTS,0))),IFERROR(INDEX(CATALOG_POINTS,MATCH(A2339,CATALOG_TASK,0)),""))</f>
        <v>1</v>
      </c>
      <c r="D2339" s="10" t="s">
        <v>1430</v>
      </c>
      <c r="E2339" s="41" t="str">
        <f t="shared" si="1"/>
        <v>PROX4</v>
      </c>
    </row>
    <row r="2340" ht="15.75" customHeight="1">
      <c r="A2340" s="10" t="s">
        <v>1431</v>
      </c>
      <c r="B2340" s="10" t="s">
        <v>120</v>
      </c>
      <c r="C2340" s="41">
        <f t="array" ref="C2340">IF(IFERROR(INDEX(CATALOG_POINTS,MATCH(A2340,CATALOG_TASK,0)),"")="",IF(MAX(IF(IFERROR(FIND(CATALOG_BASE,A2340),0)=1,CATALOG_POINTS,0))=0,DAILY_POST_POINTS,MAX(IF(IFERROR(FIND(CATALOG_BASE,A2340),0)=1,CATALOG_POINTS,0))),IFERROR(INDEX(CATALOG_POINTS,MATCH(A2340,CATALOG_TASK,0)),""))</f>
        <v>1</v>
      </c>
      <c r="D2340" s="10" t="s">
        <v>1431</v>
      </c>
      <c r="E2340" s="41" t="str">
        <f t="shared" si="1"/>
        <v>PROX3</v>
      </c>
    </row>
    <row r="2341" ht="15.75" customHeight="1">
      <c r="A2341" s="10" t="s">
        <v>1432</v>
      </c>
      <c r="B2341" s="10" t="s">
        <v>131</v>
      </c>
      <c r="C2341" s="41">
        <f t="array" ref="C2341">IF(IFERROR(INDEX(CATALOG_POINTS,MATCH(A2341,CATALOG_TASK,0)),"")="",IF(MAX(IF(IFERROR(FIND(CATALOG_BASE,A2341),0)=1,CATALOG_POINTS,0))=0,DAILY_POST_POINTS,MAX(IF(IFERROR(FIND(CATALOG_BASE,A2341),0)=1,CATALOG_POINTS,0))),IFERROR(INDEX(CATALOG_POINTS,MATCH(A2341,CATALOG_TASK,0)),""))</f>
        <v>1</v>
      </c>
      <c r="D2341" s="10" t="s">
        <v>1432</v>
      </c>
      <c r="E2341" s="41" t="str">
        <f t="shared" si="1"/>
        <v>PROX3</v>
      </c>
    </row>
    <row r="2342" ht="15.75" customHeight="1">
      <c r="A2342" s="10" t="s">
        <v>1433</v>
      </c>
      <c r="B2342" s="10" t="s">
        <v>121</v>
      </c>
      <c r="C2342" s="41">
        <f t="array" ref="C2342">IF(IFERROR(INDEX(CATALOG_POINTS,MATCH(A2342,CATALOG_TASK,0)),"")="",IF(MAX(IF(IFERROR(FIND(CATALOG_BASE,A2342),0)=1,CATALOG_POINTS,0))=0,DAILY_POST_POINTS,MAX(IF(IFERROR(FIND(CATALOG_BASE,A2342),0)=1,CATALOG_POINTS,0))),IFERROR(INDEX(CATALOG_POINTS,MATCH(A2342,CATALOG_TASK,0)),""))</f>
        <v>1</v>
      </c>
      <c r="D2342" s="10" t="s">
        <v>1433</v>
      </c>
      <c r="E2342" s="41" t="str">
        <f t="shared" si="1"/>
        <v>PROX3</v>
      </c>
    </row>
    <row r="2343" ht="15.75" customHeight="1">
      <c r="A2343" s="10" t="s">
        <v>1434</v>
      </c>
      <c r="B2343" s="10" t="s">
        <v>117</v>
      </c>
      <c r="C2343" s="41">
        <f t="array" ref="C2343">IF(IFERROR(INDEX(CATALOG_POINTS,MATCH(A2343,CATALOG_TASK,0)),"")="",IF(MAX(IF(IFERROR(FIND(CATALOG_BASE,A2343),0)=1,CATALOG_POINTS,0))=0,DAILY_POST_POINTS,MAX(IF(IFERROR(FIND(CATALOG_BASE,A2343),0)=1,CATALOG_POINTS,0))),IFERROR(INDEX(CATALOG_POINTS,MATCH(A2343,CATALOG_TASK,0)),""))</f>
        <v>1</v>
      </c>
      <c r="D2343" s="10" t="s">
        <v>1434</v>
      </c>
      <c r="E2343" s="41" t="str">
        <f t="shared" si="1"/>
        <v>PROX3</v>
      </c>
    </row>
    <row r="2344" ht="15.75" customHeight="1">
      <c r="A2344" s="10" t="s">
        <v>1435</v>
      </c>
      <c r="B2344" s="10" t="s">
        <v>137</v>
      </c>
      <c r="C2344" s="41">
        <f t="array" ref="C2344">IF(IFERROR(INDEX(CATALOG_POINTS,MATCH(A2344,CATALOG_TASK,0)),"")="",IF(MAX(IF(IFERROR(FIND(CATALOG_BASE,A2344),0)=1,CATALOG_POINTS,0))=0,DAILY_POST_POINTS,MAX(IF(IFERROR(FIND(CATALOG_BASE,A2344),0)=1,CATALOG_POINTS,0))),IFERROR(INDEX(CATALOG_POINTS,MATCH(A2344,CATALOG_TASK,0)),""))</f>
        <v>1</v>
      </c>
      <c r="D2344" s="10" t="s">
        <v>1435</v>
      </c>
      <c r="E2344" s="41" t="str">
        <f t="shared" si="1"/>
        <v>PROX3</v>
      </c>
    </row>
    <row r="2345" ht="15.75" customHeight="1">
      <c r="A2345" s="10" t="s">
        <v>1436</v>
      </c>
      <c r="B2345" s="10" t="s">
        <v>119</v>
      </c>
      <c r="C2345" s="41">
        <f t="array" ref="C2345">IF(IFERROR(INDEX(CATALOG_POINTS,MATCH(A2345,CATALOG_TASK,0)),"")="",IF(MAX(IF(IFERROR(FIND(CATALOG_BASE,A2345),0)=1,CATALOG_POINTS,0))=0,DAILY_POST_POINTS,MAX(IF(IFERROR(FIND(CATALOG_BASE,A2345),0)=1,CATALOG_POINTS,0))),IFERROR(INDEX(CATALOG_POINTS,MATCH(A2345,CATALOG_TASK,0)),""))</f>
        <v>1</v>
      </c>
      <c r="D2345" s="10" t="s">
        <v>1436</v>
      </c>
      <c r="E2345" s="41" t="str">
        <f t="shared" si="1"/>
        <v>PROX3</v>
      </c>
    </row>
    <row r="2346" ht="15.75" customHeight="1">
      <c r="A2346" s="10" t="s">
        <v>177</v>
      </c>
      <c r="B2346" s="10" t="s">
        <v>140</v>
      </c>
      <c r="C2346" s="41">
        <f t="array" ref="C2346">IF(IFERROR(INDEX(CATALOG_POINTS,MATCH(A2346,CATALOG_TASK,0)),"")="",IF(MAX(IF(IFERROR(FIND(CATALOG_BASE,A2346),0)=1,CATALOG_POINTS,0))=0,DAILY_POST_POINTS,MAX(IF(IFERROR(FIND(CATALOG_BASE,A2346),0)=1,CATALOG_POINTS,0))),IFERROR(INDEX(CATALOG_POINTS,MATCH(A2346,CATALOG_TASK,0)),""))</f>
        <v>6</v>
      </c>
      <c r="D2346" s="10" t="s">
        <v>1437</v>
      </c>
      <c r="E2346" s="41" t="str">
        <f t="shared" si="1"/>
        <v>PROX4</v>
      </c>
    </row>
    <row r="2347" ht="15.75" customHeight="1">
      <c r="A2347" s="10" t="s">
        <v>37</v>
      </c>
      <c r="B2347" s="10" t="s">
        <v>117</v>
      </c>
      <c r="C2347" s="41">
        <f t="array" ref="C2347">IF(IFERROR(INDEX(CATALOG_POINTS,MATCH(A2347,CATALOG_TASK,0)),"")="",IF(MAX(IF(IFERROR(FIND(CATALOG_BASE,A2347),0)=1,CATALOG_POINTS,0))=0,DAILY_POST_POINTS,MAX(IF(IFERROR(FIND(CATALOG_BASE,A2347),0)=1,CATALOG_POINTS,0))),IFERROR(INDEX(CATALOG_POINTS,MATCH(A2347,CATALOG_TASK,0)),""))</f>
        <v>2</v>
      </c>
      <c r="D2347" s="10" t="s">
        <v>1437</v>
      </c>
      <c r="E2347" s="41" t="str">
        <f t="shared" si="1"/>
        <v>PROX4</v>
      </c>
    </row>
    <row r="2348" ht="15.75" customHeight="1">
      <c r="A2348" s="10" t="s">
        <v>1437</v>
      </c>
      <c r="B2348" s="10" t="s">
        <v>128</v>
      </c>
      <c r="C2348" s="41">
        <f t="array" ref="C2348">IF(IFERROR(INDEX(CATALOG_POINTS,MATCH(A2348,CATALOG_TASK,0)),"")="",IF(MAX(IF(IFERROR(FIND(CATALOG_BASE,A2348),0)=1,CATALOG_POINTS,0))=0,DAILY_POST_POINTS,MAX(IF(IFERROR(FIND(CATALOG_BASE,A2348),0)=1,CATALOG_POINTS,0))),IFERROR(INDEX(CATALOG_POINTS,MATCH(A2348,CATALOG_TASK,0)),""))</f>
        <v>1</v>
      </c>
      <c r="D2348" s="10" t="s">
        <v>1437</v>
      </c>
      <c r="E2348" s="41" t="str">
        <f t="shared" si="1"/>
        <v>PROX4</v>
      </c>
    </row>
    <row r="2349" ht="15.75" customHeight="1">
      <c r="A2349" s="10" t="s">
        <v>37</v>
      </c>
      <c r="B2349" s="10" t="s">
        <v>123</v>
      </c>
      <c r="C2349" s="41">
        <f t="array" ref="C2349">IF(IFERROR(INDEX(CATALOG_POINTS,MATCH(A2349,CATALOG_TASK,0)),"")="",IF(MAX(IF(IFERROR(FIND(CATALOG_BASE,A2349),0)=1,CATALOG_POINTS,0))=0,DAILY_POST_POINTS,MAX(IF(IFERROR(FIND(CATALOG_BASE,A2349),0)=1,CATALOG_POINTS,0))),IFERROR(INDEX(CATALOG_POINTS,MATCH(A2349,CATALOG_TASK,0)),""))</f>
        <v>2</v>
      </c>
      <c r="D2349" s="10" t="s">
        <v>1437</v>
      </c>
      <c r="E2349" s="41" t="str">
        <f t="shared" si="1"/>
        <v>PROX4</v>
      </c>
    </row>
    <row r="2350" ht="15.75" customHeight="1">
      <c r="A2350" s="10" t="s">
        <v>177</v>
      </c>
      <c r="B2350" s="10" t="s">
        <v>140</v>
      </c>
      <c r="C2350" s="41">
        <f t="array" ref="C2350">IF(IFERROR(INDEX(CATALOG_POINTS,MATCH(A2350,CATALOG_TASK,0)),"")="",IF(MAX(IF(IFERROR(FIND(CATALOG_BASE,A2350),0)=1,CATALOG_POINTS,0))=0,DAILY_POST_POINTS,MAX(IF(IFERROR(FIND(CATALOG_BASE,A2350),0)=1,CATALOG_POINTS,0))),IFERROR(INDEX(CATALOG_POINTS,MATCH(A2350,CATALOG_TASK,0)),""))</f>
        <v>6</v>
      </c>
      <c r="D2350" s="10" t="s">
        <v>1437</v>
      </c>
      <c r="E2350" s="41" t="str">
        <f t="shared" si="1"/>
        <v>PROX4</v>
      </c>
    </row>
    <row r="2351" ht="15.75" customHeight="1">
      <c r="A2351" s="10" t="s">
        <v>37</v>
      </c>
      <c r="B2351" s="10" t="s">
        <v>119</v>
      </c>
      <c r="C2351" s="41">
        <f t="array" ref="C2351">IF(IFERROR(INDEX(CATALOG_POINTS,MATCH(A2351,CATALOG_TASK,0)),"")="",IF(MAX(IF(IFERROR(FIND(CATALOG_BASE,A2351),0)=1,CATALOG_POINTS,0))=0,DAILY_POST_POINTS,MAX(IF(IFERROR(FIND(CATALOG_BASE,A2351),0)=1,CATALOG_POINTS,0))),IFERROR(INDEX(CATALOG_POINTS,MATCH(A2351,CATALOG_TASK,0)),""))</f>
        <v>2</v>
      </c>
      <c r="D2351" s="10" t="s">
        <v>1437</v>
      </c>
      <c r="E2351" s="41" t="str">
        <f t="shared" si="1"/>
        <v>PROX4</v>
      </c>
    </row>
    <row r="2352" ht="15.75" customHeight="1">
      <c r="A2352" s="10" t="s">
        <v>1438</v>
      </c>
      <c r="B2352" s="10" t="s">
        <v>132</v>
      </c>
      <c r="C2352" s="41">
        <f t="array" ref="C2352">IF(IFERROR(INDEX(CATALOG_POINTS,MATCH(A2352,CATALOG_TASK,0)),"")="",IF(MAX(IF(IFERROR(FIND(CATALOG_BASE,A2352),0)=1,CATALOG_POINTS,0))=0,DAILY_POST_POINTS,MAX(IF(IFERROR(FIND(CATALOG_BASE,A2352),0)=1,CATALOG_POINTS,0))),IFERROR(INDEX(CATALOG_POINTS,MATCH(A2352,CATALOG_TASK,0)),""))</f>
        <v>1</v>
      </c>
      <c r="D2352" s="10" t="s">
        <v>1438</v>
      </c>
      <c r="E2352" s="41" t="str">
        <f t="shared" si="1"/>
        <v>E0</v>
      </c>
    </row>
    <row r="2353" ht="15.75" customHeight="1">
      <c r="A2353" s="10" t="s">
        <v>1439</v>
      </c>
      <c r="B2353" s="10" t="s">
        <v>122</v>
      </c>
      <c r="C2353" s="41">
        <f t="array" ref="C2353">IF(IFERROR(INDEX(CATALOG_POINTS,MATCH(A2353,CATALOG_TASK,0)),"")="",IF(MAX(IF(IFERROR(FIND(CATALOG_BASE,A2353),0)=1,CATALOG_POINTS,0))=0,DAILY_POST_POINTS,MAX(IF(IFERROR(FIND(CATALOG_BASE,A2353),0)=1,CATALOG_POINTS,0))),IFERROR(INDEX(CATALOG_POINTS,MATCH(A2353,CATALOG_TASK,0)),""))</f>
        <v>1</v>
      </c>
      <c r="D2353" s="10" t="s">
        <v>1439</v>
      </c>
      <c r="E2353" s="41" t="str">
        <f t="shared" si="1"/>
        <v>PROX4</v>
      </c>
    </row>
    <row r="2354" ht="15.75" customHeight="1">
      <c r="A2354" s="10" t="s">
        <v>1440</v>
      </c>
      <c r="B2354" s="10" t="s">
        <v>117</v>
      </c>
      <c r="C2354" s="41">
        <f t="array" ref="C2354">IF(IFERROR(INDEX(CATALOG_POINTS,MATCH(A2354,CATALOG_TASK,0)),"")="",IF(MAX(IF(IFERROR(FIND(CATALOG_BASE,A2354),0)=1,CATALOG_POINTS,0))=0,DAILY_POST_POINTS,MAX(IF(IFERROR(FIND(CATALOG_BASE,A2354),0)=1,CATALOG_POINTS,0))),IFERROR(INDEX(CATALOG_POINTS,MATCH(A2354,CATALOG_TASK,0)),""))</f>
        <v>1</v>
      </c>
      <c r="D2354" s="10" t="s">
        <v>1440</v>
      </c>
      <c r="E2354" s="41" t="str">
        <f t="shared" si="1"/>
        <v>PROX3</v>
      </c>
    </row>
    <row r="2355" ht="15.75" customHeight="1">
      <c r="A2355" s="10" t="s">
        <v>37</v>
      </c>
      <c r="B2355" s="10" t="s">
        <v>120</v>
      </c>
      <c r="C2355" s="41">
        <f t="array" ref="C2355">IF(IFERROR(INDEX(CATALOG_POINTS,MATCH(A2355,CATALOG_TASK,0)),"")="",IF(MAX(IF(IFERROR(FIND(CATALOG_BASE,A2355),0)=1,CATALOG_POINTS,0))=0,DAILY_POST_POINTS,MAX(IF(IFERROR(FIND(CATALOG_BASE,A2355),0)=1,CATALOG_POINTS,0))),IFERROR(INDEX(CATALOG_POINTS,MATCH(A2355,CATALOG_TASK,0)),""))</f>
        <v>2</v>
      </c>
      <c r="D2355" s="10" t="s">
        <v>1440</v>
      </c>
      <c r="E2355" s="41" t="str">
        <f t="shared" si="1"/>
        <v>PROX3</v>
      </c>
    </row>
    <row r="2356" ht="15.75" customHeight="1">
      <c r="A2356" s="10" t="s">
        <v>1441</v>
      </c>
      <c r="B2356" s="10" t="s">
        <v>119</v>
      </c>
      <c r="C2356" s="41">
        <f t="array" ref="C2356">IF(IFERROR(INDEX(CATALOG_POINTS,MATCH(A2356,CATALOG_TASK,0)),"")="",IF(MAX(IF(IFERROR(FIND(CATALOG_BASE,A2356),0)=1,CATALOG_POINTS,0))=0,DAILY_POST_POINTS,MAX(IF(IFERROR(FIND(CATALOG_BASE,A2356),0)=1,CATALOG_POINTS,0))),IFERROR(INDEX(CATALOG_POINTS,MATCH(A2356,CATALOG_TASK,0)),""))</f>
        <v>1</v>
      </c>
      <c r="D2356" s="10" t="s">
        <v>1441</v>
      </c>
      <c r="E2356" s="41" t="str">
        <f t="shared" si="1"/>
        <v>PROX3</v>
      </c>
    </row>
    <row r="2357" ht="15.75" customHeight="1">
      <c r="A2357" s="10" t="s">
        <v>37</v>
      </c>
      <c r="B2357" s="10" t="s">
        <v>125</v>
      </c>
      <c r="C2357" s="41">
        <f t="array" ref="C2357">IF(IFERROR(INDEX(CATALOG_POINTS,MATCH(A2357,CATALOG_TASK,0)),"")="",IF(MAX(IF(IFERROR(FIND(CATALOG_BASE,A2357),0)=1,CATALOG_POINTS,0))=0,DAILY_POST_POINTS,MAX(IF(IFERROR(FIND(CATALOG_BASE,A2357),0)=1,CATALOG_POINTS,0))),IFERROR(INDEX(CATALOG_POINTS,MATCH(A2357,CATALOG_TASK,0)),""))</f>
        <v>2</v>
      </c>
      <c r="D2357" s="10" t="s">
        <v>1441</v>
      </c>
      <c r="E2357" s="41" t="str">
        <f t="shared" si="1"/>
        <v>PROX3</v>
      </c>
    </row>
    <row r="2358" ht="15.75" customHeight="1">
      <c r="A2358" s="10" t="s">
        <v>1442</v>
      </c>
      <c r="B2358" s="10" t="s">
        <v>134</v>
      </c>
      <c r="C2358" s="41">
        <f t="array" ref="C2358">IF(IFERROR(INDEX(CATALOG_POINTS,MATCH(A2358,CATALOG_TASK,0)),"")="",IF(MAX(IF(IFERROR(FIND(CATALOG_BASE,A2358),0)=1,CATALOG_POINTS,0))=0,DAILY_POST_POINTS,MAX(IF(IFERROR(FIND(CATALOG_BASE,A2358),0)=1,CATALOG_POINTS,0))),IFERROR(INDEX(CATALOG_POINTS,MATCH(A2358,CATALOG_TASK,0)),""))</f>
        <v>1</v>
      </c>
      <c r="D2358" s="10" t="s">
        <v>1442</v>
      </c>
      <c r="E2358" s="41" t="str">
        <f t="shared" si="1"/>
        <v>PROX3</v>
      </c>
    </row>
    <row r="2359" ht="15.75" customHeight="1">
      <c r="A2359" s="10" t="s">
        <v>1443</v>
      </c>
      <c r="B2359" s="10" t="s">
        <v>124</v>
      </c>
      <c r="C2359" s="41">
        <f t="array" ref="C2359">IF(IFERROR(INDEX(CATALOG_POINTS,MATCH(A2359,CATALOG_TASK,0)),"")="",IF(MAX(IF(IFERROR(FIND(CATALOG_BASE,A2359),0)=1,CATALOG_POINTS,0))=0,DAILY_POST_POINTS,MAX(IF(IFERROR(FIND(CATALOG_BASE,A2359),0)=1,CATALOG_POINTS,0))),IFERROR(INDEX(CATALOG_POINTS,MATCH(A2359,CATALOG_TASK,0)),""))</f>
        <v>2</v>
      </c>
      <c r="D2359" s="10" t="s">
        <v>1444</v>
      </c>
      <c r="E2359" s="41" t="str">
        <f t="shared" si="1"/>
        <v>PROX3</v>
      </c>
    </row>
    <row r="2360" ht="15.75" customHeight="1">
      <c r="A2360" s="10" t="s">
        <v>1444</v>
      </c>
      <c r="B2360" s="10" t="s">
        <v>120</v>
      </c>
      <c r="C2360" s="41">
        <f t="array" ref="C2360">IF(IFERROR(INDEX(CATALOG_POINTS,MATCH(A2360,CATALOG_TASK,0)),"")="",IF(MAX(IF(IFERROR(FIND(CATALOG_BASE,A2360),0)=1,CATALOG_POINTS,0))=0,DAILY_POST_POINTS,MAX(IF(IFERROR(FIND(CATALOG_BASE,A2360),0)=1,CATALOG_POINTS,0))),IFERROR(INDEX(CATALOG_POINTS,MATCH(A2360,CATALOG_TASK,0)),""))</f>
        <v>1</v>
      </c>
      <c r="D2360" s="10" t="s">
        <v>1444</v>
      </c>
      <c r="E2360" s="41" t="str">
        <f t="shared" si="1"/>
        <v>PROX3</v>
      </c>
    </row>
    <row r="2361" ht="15.75" customHeight="1">
      <c r="A2361" s="10" t="s">
        <v>55</v>
      </c>
      <c r="B2361" s="10" t="s">
        <v>140</v>
      </c>
      <c r="C2361" s="41">
        <f t="array" ref="C2361">IF(IFERROR(INDEX(CATALOG_POINTS,MATCH(A2361,CATALOG_TASK,0)),"")="",IF(MAX(IF(IFERROR(FIND(CATALOG_BASE,A2361),0)=1,CATALOG_POINTS,0))=0,DAILY_POST_POINTS,MAX(IF(IFERROR(FIND(CATALOG_BASE,A2361),0)=1,CATALOG_POINTS,0))),IFERROR(INDEX(CATALOG_POINTS,MATCH(A2361,CATALOG_TASK,0)),""))</f>
        <v>8</v>
      </c>
      <c r="D2361" s="10" t="s">
        <v>1445</v>
      </c>
      <c r="E2361" s="41" t="str">
        <f t="shared" si="1"/>
        <v>PROX4</v>
      </c>
    </row>
    <row r="2362" ht="15.75" customHeight="1">
      <c r="A2362" s="10" t="s">
        <v>177</v>
      </c>
      <c r="B2362" s="10" t="s">
        <v>139</v>
      </c>
      <c r="C2362" s="41">
        <f t="array" ref="C2362">IF(IFERROR(INDEX(CATALOG_POINTS,MATCH(A2362,CATALOG_TASK,0)),"")="",IF(MAX(IF(IFERROR(FIND(CATALOG_BASE,A2362),0)=1,CATALOG_POINTS,0))=0,DAILY_POST_POINTS,MAX(IF(IFERROR(FIND(CATALOG_BASE,A2362),0)=1,CATALOG_POINTS,0))),IFERROR(INDEX(CATALOG_POINTS,MATCH(A2362,CATALOG_TASK,0)),""))</f>
        <v>6</v>
      </c>
      <c r="D2362" s="10" t="s">
        <v>1445</v>
      </c>
      <c r="E2362" s="41" t="str">
        <f t="shared" si="1"/>
        <v>PROX4</v>
      </c>
    </row>
    <row r="2363" ht="15.75" customHeight="1">
      <c r="A2363" s="10" t="s">
        <v>177</v>
      </c>
      <c r="B2363" s="10" t="s">
        <v>139</v>
      </c>
      <c r="C2363" s="41">
        <f t="array" ref="C2363">IF(IFERROR(INDEX(CATALOG_POINTS,MATCH(A2363,CATALOG_TASK,0)),"")="",IF(MAX(IF(IFERROR(FIND(CATALOG_BASE,A2363),0)=1,CATALOG_POINTS,0))=0,DAILY_POST_POINTS,MAX(IF(IFERROR(FIND(CATALOG_BASE,A2363),0)=1,CATALOG_POINTS,0))),IFERROR(INDEX(CATALOG_POINTS,MATCH(A2363,CATALOG_TASK,0)),""))</f>
        <v>6</v>
      </c>
      <c r="D2363" s="10" t="s">
        <v>1445</v>
      </c>
      <c r="E2363" s="41" t="str">
        <f t="shared" si="1"/>
        <v>PROX4</v>
      </c>
    </row>
    <row r="2364" ht="15.75" customHeight="1">
      <c r="A2364" s="10" t="s">
        <v>177</v>
      </c>
      <c r="B2364" s="10" t="s">
        <v>139</v>
      </c>
      <c r="C2364" s="41">
        <f t="array" ref="C2364">IF(IFERROR(INDEX(CATALOG_POINTS,MATCH(A2364,CATALOG_TASK,0)),"")="",IF(MAX(IF(IFERROR(FIND(CATALOG_BASE,A2364),0)=1,CATALOG_POINTS,0))=0,DAILY_POST_POINTS,MAX(IF(IFERROR(FIND(CATALOG_BASE,A2364),0)=1,CATALOG_POINTS,0))),IFERROR(INDEX(CATALOG_POINTS,MATCH(A2364,CATALOG_TASK,0)),""))</f>
        <v>6</v>
      </c>
      <c r="D2364" s="10" t="s">
        <v>1445</v>
      </c>
      <c r="E2364" s="41" t="str">
        <f t="shared" si="1"/>
        <v>PROX4</v>
      </c>
    </row>
    <row r="2365" ht="15.75" customHeight="1">
      <c r="A2365" s="10" t="s">
        <v>55</v>
      </c>
      <c r="B2365" s="10" t="s">
        <v>139</v>
      </c>
      <c r="C2365" s="41">
        <f t="array" ref="C2365">IF(IFERROR(INDEX(CATALOG_POINTS,MATCH(A2365,CATALOG_TASK,0)),"")="",IF(MAX(IF(IFERROR(FIND(CATALOG_BASE,A2365),0)=1,CATALOG_POINTS,0))=0,DAILY_POST_POINTS,MAX(IF(IFERROR(FIND(CATALOG_BASE,A2365),0)=1,CATALOG_POINTS,0))),IFERROR(INDEX(CATALOG_POINTS,MATCH(A2365,CATALOG_TASK,0)),""))</f>
        <v>8</v>
      </c>
      <c r="D2365" s="10" t="s">
        <v>1445</v>
      </c>
      <c r="E2365" s="41" t="str">
        <f t="shared" si="1"/>
        <v>PROX4</v>
      </c>
    </row>
    <row r="2366" ht="15.75" customHeight="1">
      <c r="A2366" s="10" t="s">
        <v>1446</v>
      </c>
      <c r="B2366" s="10" t="s">
        <v>127</v>
      </c>
      <c r="C2366" s="41">
        <f t="array" ref="C2366">IF(IFERROR(INDEX(CATALOG_POINTS,MATCH(A2366,CATALOG_TASK,0)),"")="",IF(MAX(IF(IFERROR(FIND(CATALOG_BASE,A2366),0)=1,CATALOG_POINTS,0))=0,DAILY_POST_POINTS,MAX(IF(IFERROR(FIND(CATALOG_BASE,A2366),0)=1,CATALOG_POINTS,0))),IFERROR(INDEX(CATALOG_POINTS,MATCH(A2366,CATALOG_TASK,0)),""))</f>
        <v>1</v>
      </c>
      <c r="D2366" s="10" t="s">
        <v>1445</v>
      </c>
      <c r="E2366" s="41" t="str">
        <f t="shared" si="1"/>
        <v>PROX4</v>
      </c>
    </row>
    <row r="2367" ht="15.75" customHeight="1">
      <c r="A2367" s="10" t="s">
        <v>55</v>
      </c>
      <c r="B2367" s="10" t="s">
        <v>139</v>
      </c>
      <c r="C2367" s="41">
        <f t="array" ref="C2367">IF(IFERROR(INDEX(CATALOG_POINTS,MATCH(A2367,CATALOG_TASK,0)),"")="",IF(MAX(IF(IFERROR(FIND(CATALOG_BASE,A2367),0)=1,CATALOG_POINTS,0))=0,DAILY_POST_POINTS,MAX(IF(IFERROR(FIND(CATALOG_BASE,A2367),0)=1,CATALOG_POINTS,0))),IFERROR(INDEX(CATALOG_POINTS,MATCH(A2367,CATALOG_TASK,0)),""))</f>
        <v>8</v>
      </c>
      <c r="D2367" s="10" t="s">
        <v>1445</v>
      </c>
      <c r="E2367" s="41" t="str">
        <f t="shared" si="1"/>
        <v>PROX4</v>
      </c>
    </row>
    <row r="2368" ht="15.75" customHeight="1">
      <c r="A2368" s="10" t="s">
        <v>177</v>
      </c>
      <c r="B2368" s="10" t="s">
        <v>140</v>
      </c>
      <c r="C2368" s="41">
        <f t="array" ref="C2368">IF(IFERROR(INDEX(CATALOG_POINTS,MATCH(A2368,CATALOG_TASK,0)),"")="",IF(MAX(IF(IFERROR(FIND(CATALOG_BASE,A2368),0)=1,CATALOG_POINTS,0))=0,DAILY_POST_POINTS,MAX(IF(IFERROR(FIND(CATALOG_BASE,A2368),0)=1,CATALOG_POINTS,0))),IFERROR(INDEX(CATALOG_POINTS,MATCH(A2368,CATALOG_TASK,0)),""))</f>
        <v>6</v>
      </c>
      <c r="D2368" s="10" t="s">
        <v>1445</v>
      </c>
      <c r="E2368" s="41" t="str">
        <f t="shared" si="1"/>
        <v>PROX4</v>
      </c>
    </row>
    <row r="2369" ht="15.75" customHeight="1">
      <c r="A2369" s="10" t="s">
        <v>177</v>
      </c>
      <c r="B2369" s="10" t="s">
        <v>121</v>
      </c>
      <c r="C2369" s="41">
        <f t="array" ref="C2369">IF(IFERROR(INDEX(CATALOG_POINTS,MATCH(A2369,CATALOG_TASK,0)),"")="",IF(MAX(IF(IFERROR(FIND(CATALOG_BASE,A2369),0)=1,CATALOG_POINTS,0))=0,DAILY_POST_POINTS,MAX(IF(IFERROR(FIND(CATALOG_BASE,A2369),0)=1,CATALOG_POINTS,0))),IFERROR(INDEX(CATALOG_POINTS,MATCH(A2369,CATALOG_TASK,0)),""))</f>
        <v>6</v>
      </c>
      <c r="D2369" s="10" t="s">
        <v>1445</v>
      </c>
      <c r="E2369" s="41" t="str">
        <f t="shared" si="1"/>
        <v>PROX4</v>
      </c>
    </row>
    <row r="2370" ht="15.75" customHeight="1">
      <c r="A2370" s="10" t="s">
        <v>52</v>
      </c>
      <c r="B2370" s="10" t="s">
        <v>139</v>
      </c>
      <c r="C2370" s="41">
        <f t="array" ref="C2370">IF(IFERROR(INDEX(CATALOG_POINTS,MATCH(A2370,CATALOG_TASK,0)),"")="",IF(MAX(IF(IFERROR(FIND(CATALOG_BASE,A2370),0)=1,CATALOG_POINTS,0))=0,DAILY_POST_POINTS,MAX(IF(IFERROR(FIND(CATALOG_BASE,A2370),0)=1,CATALOG_POINTS,0))),IFERROR(INDEX(CATALOG_POINTS,MATCH(A2370,CATALOG_TASK,0)),""))</f>
        <v>10</v>
      </c>
      <c r="D2370" s="10" t="s">
        <v>1445</v>
      </c>
      <c r="E2370" s="41" t="str">
        <f t="shared" si="1"/>
        <v>PROX4</v>
      </c>
    </row>
    <row r="2371" ht="15.75" customHeight="1">
      <c r="A2371" s="10" t="s">
        <v>177</v>
      </c>
      <c r="B2371" s="10" t="s">
        <v>139</v>
      </c>
      <c r="C2371" s="41">
        <f t="array" ref="C2371">IF(IFERROR(INDEX(CATALOG_POINTS,MATCH(A2371,CATALOG_TASK,0)),"")="",IF(MAX(IF(IFERROR(FIND(CATALOG_BASE,A2371),0)=1,CATALOG_POINTS,0))=0,DAILY_POST_POINTS,MAX(IF(IFERROR(FIND(CATALOG_BASE,A2371),0)=1,CATALOG_POINTS,0))),IFERROR(INDEX(CATALOG_POINTS,MATCH(A2371,CATALOG_TASK,0)),""))</f>
        <v>6</v>
      </c>
      <c r="D2371" s="10" t="s">
        <v>1445</v>
      </c>
      <c r="E2371" s="41" t="str">
        <f t="shared" si="1"/>
        <v>PROX4</v>
      </c>
    </row>
    <row r="2372" ht="15.75" customHeight="1">
      <c r="A2372" s="10" t="s">
        <v>174</v>
      </c>
      <c r="B2372" s="10" t="s">
        <v>124</v>
      </c>
      <c r="C2372" s="41">
        <f t="array" ref="C2372">IF(IFERROR(INDEX(CATALOG_POINTS,MATCH(A2372,CATALOG_TASK,0)),"")="",IF(MAX(IF(IFERROR(FIND(CATALOG_BASE,A2372),0)=1,CATALOG_POINTS,0))=0,DAILY_POST_POINTS,MAX(IF(IFERROR(FIND(CATALOG_BASE,A2372),0)=1,CATALOG_POINTS,0))),IFERROR(INDEX(CATALOG_POINTS,MATCH(A2372,CATALOG_TASK,0)),""))</f>
        <v>1</v>
      </c>
      <c r="D2372" s="10" t="s">
        <v>1447</v>
      </c>
      <c r="E2372" s="41" t="str">
        <f t="shared" si="1"/>
        <v>PROX4</v>
      </c>
    </row>
    <row r="2373" ht="15.75" customHeight="1">
      <c r="A2373" s="10" t="s">
        <v>168</v>
      </c>
      <c r="B2373" s="10" t="s">
        <v>124</v>
      </c>
      <c r="C2373" s="41">
        <f t="array" ref="C2373">IF(IFERROR(INDEX(CATALOG_POINTS,MATCH(A2373,CATALOG_TASK,0)),"")="",IF(MAX(IF(IFERROR(FIND(CATALOG_BASE,A2373),0)=1,CATALOG_POINTS,0))=0,DAILY_POST_POINTS,MAX(IF(IFERROR(FIND(CATALOG_BASE,A2373),0)=1,CATALOG_POINTS,0))),IFERROR(INDEX(CATALOG_POINTS,MATCH(A2373,CATALOG_TASK,0)),""))</f>
        <v>1</v>
      </c>
      <c r="D2373" s="10" t="s">
        <v>1447</v>
      </c>
      <c r="E2373" s="41" t="str">
        <f t="shared" si="1"/>
        <v>PROX4</v>
      </c>
    </row>
    <row r="2374" ht="15.75" customHeight="1">
      <c r="A2374" s="10" t="s">
        <v>37</v>
      </c>
      <c r="B2374" s="10" t="s">
        <v>125</v>
      </c>
      <c r="C2374" s="41">
        <f t="array" ref="C2374">IF(IFERROR(INDEX(CATALOG_POINTS,MATCH(A2374,CATALOG_TASK,0)),"")="",IF(MAX(IF(IFERROR(FIND(CATALOG_BASE,A2374),0)=1,CATALOG_POINTS,0))=0,DAILY_POST_POINTS,MAX(IF(IFERROR(FIND(CATALOG_BASE,A2374),0)=1,CATALOG_POINTS,0))),IFERROR(INDEX(CATALOG_POINTS,MATCH(A2374,CATALOG_TASK,0)),""))</f>
        <v>2</v>
      </c>
      <c r="D2374" s="10" t="s">
        <v>1447</v>
      </c>
      <c r="E2374" s="41" t="str">
        <f t="shared" si="1"/>
        <v>PROX4</v>
      </c>
    </row>
    <row r="2375" ht="15.75" customHeight="1">
      <c r="A2375" s="10" t="s">
        <v>37</v>
      </c>
      <c r="B2375" s="10" t="s">
        <v>117</v>
      </c>
      <c r="C2375" s="41">
        <f t="array" ref="C2375">IF(IFERROR(INDEX(CATALOG_POINTS,MATCH(A2375,CATALOG_TASK,0)),"")="",IF(MAX(IF(IFERROR(FIND(CATALOG_BASE,A2375),0)=1,CATALOG_POINTS,0))=0,DAILY_POST_POINTS,MAX(IF(IFERROR(FIND(CATALOG_BASE,A2375),0)=1,CATALOG_POINTS,0))),IFERROR(INDEX(CATALOG_POINTS,MATCH(A2375,CATALOG_TASK,0)),""))</f>
        <v>2</v>
      </c>
      <c r="D2375" s="10" t="s">
        <v>1448</v>
      </c>
      <c r="E2375" s="41" t="str">
        <f t="shared" si="1"/>
        <v>PROX4</v>
      </c>
    </row>
    <row r="2376" ht="15.75" customHeight="1">
      <c r="A2376" s="10" t="s">
        <v>1448</v>
      </c>
      <c r="B2376" s="10" t="s">
        <v>132</v>
      </c>
      <c r="C2376" s="41">
        <f t="array" ref="C2376">IF(IFERROR(INDEX(CATALOG_POINTS,MATCH(A2376,CATALOG_TASK,0)),"")="",IF(MAX(IF(IFERROR(FIND(CATALOG_BASE,A2376),0)=1,CATALOG_POINTS,0))=0,DAILY_POST_POINTS,MAX(IF(IFERROR(FIND(CATALOG_BASE,A2376),0)=1,CATALOG_POINTS,0))),IFERROR(INDEX(CATALOG_POINTS,MATCH(A2376,CATALOG_TASK,0)),""))</f>
        <v>1</v>
      </c>
      <c r="D2376" s="10" t="s">
        <v>1448</v>
      </c>
      <c r="E2376" s="41" t="str">
        <f t="shared" si="1"/>
        <v>PROX4</v>
      </c>
    </row>
    <row r="2377" ht="15.75" customHeight="1">
      <c r="A2377" s="10" t="s">
        <v>1449</v>
      </c>
      <c r="B2377" s="10" t="s">
        <v>132</v>
      </c>
      <c r="C2377" s="41">
        <f t="array" ref="C2377">IF(IFERROR(INDEX(CATALOG_POINTS,MATCH(A2377,CATALOG_TASK,0)),"")="",IF(MAX(IF(IFERROR(FIND(CATALOG_BASE,A2377),0)=1,CATALOG_POINTS,0))=0,DAILY_POST_POINTS,MAX(IF(IFERROR(FIND(CATALOG_BASE,A2377),0)=1,CATALOG_POINTS,0))),IFERROR(INDEX(CATALOG_POINTS,MATCH(A2377,CATALOG_TASK,0)),""))</f>
        <v>1</v>
      </c>
      <c r="D2377" s="10" t="s">
        <v>1449</v>
      </c>
      <c r="E2377" s="41" t="str">
        <f t="shared" si="1"/>
        <v>PROX4</v>
      </c>
    </row>
    <row r="2378" ht="15.75" customHeight="1">
      <c r="A2378" s="10" t="s">
        <v>1450</v>
      </c>
      <c r="B2378" s="10" t="s">
        <v>123</v>
      </c>
      <c r="C2378" s="41">
        <f t="array" ref="C2378">IF(IFERROR(INDEX(CATALOG_POINTS,MATCH(A2378,CATALOG_TASK,0)),"")="",IF(MAX(IF(IFERROR(FIND(CATALOG_BASE,A2378),0)=1,CATALOG_POINTS,0))=0,DAILY_POST_POINTS,MAX(IF(IFERROR(FIND(CATALOG_BASE,A2378),0)=1,CATALOG_POINTS,0))),IFERROR(INDEX(CATALOG_POINTS,MATCH(A2378,CATALOG_TASK,0)),""))</f>
        <v>1</v>
      </c>
      <c r="D2378" s="10" t="s">
        <v>1450</v>
      </c>
      <c r="E2378" s="41" t="str">
        <f t="shared" si="1"/>
        <v>PROX3</v>
      </c>
    </row>
    <row r="2379" ht="15.75" customHeight="1">
      <c r="A2379" s="10" t="s">
        <v>178</v>
      </c>
      <c r="B2379" s="10" t="s">
        <v>123</v>
      </c>
      <c r="C2379" s="41">
        <f t="array" ref="C2379">IF(IFERROR(INDEX(CATALOG_POINTS,MATCH(A2379,CATALOG_TASK,0)),"")="",IF(MAX(IF(IFERROR(FIND(CATALOG_BASE,A2379),0)=1,CATALOG_POINTS,0))=0,DAILY_POST_POINTS,MAX(IF(IFERROR(FIND(CATALOG_BASE,A2379),0)=1,CATALOG_POINTS,0))),IFERROR(INDEX(CATALOG_POINTS,MATCH(A2379,CATALOG_TASK,0)),""))</f>
        <v>1</v>
      </c>
      <c r="D2379" s="10" t="s">
        <v>1450</v>
      </c>
      <c r="E2379" s="41" t="str">
        <f t="shared" si="1"/>
        <v>PROX3</v>
      </c>
    </row>
    <row r="2380" ht="15.75" customHeight="1">
      <c r="A2380" s="10" t="s">
        <v>24</v>
      </c>
      <c r="B2380" s="10" t="s">
        <v>117</v>
      </c>
      <c r="C2380" s="41">
        <f t="array" ref="C2380">IF(IFERROR(INDEX(CATALOG_POINTS,MATCH(A2380,CATALOG_TASK,0)),"")="",IF(MAX(IF(IFERROR(FIND(CATALOG_BASE,A2380),0)=1,CATALOG_POINTS,0))=0,DAILY_POST_POINTS,MAX(IF(IFERROR(FIND(CATALOG_BASE,A2380),0)=1,CATALOG_POINTS,0))),IFERROR(INDEX(CATALOG_POINTS,MATCH(A2380,CATALOG_TASK,0)),""))</f>
        <v>2</v>
      </c>
      <c r="D2380" s="10" t="s">
        <v>1451</v>
      </c>
      <c r="E2380" s="41" t="str">
        <f t="shared" si="1"/>
        <v>PROX4</v>
      </c>
    </row>
    <row r="2381" ht="15.75" customHeight="1">
      <c r="A2381" s="10" t="s">
        <v>178</v>
      </c>
      <c r="B2381" s="10" t="s">
        <v>125</v>
      </c>
      <c r="C2381" s="41">
        <f t="array" ref="C2381">IF(IFERROR(INDEX(CATALOG_POINTS,MATCH(A2381,CATALOG_TASK,0)),"")="",IF(MAX(IF(IFERROR(FIND(CATALOG_BASE,A2381),0)=1,CATALOG_POINTS,0))=0,DAILY_POST_POINTS,MAX(IF(IFERROR(FIND(CATALOG_BASE,A2381),0)=1,CATALOG_POINTS,0))),IFERROR(INDEX(CATALOG_POINTS,MATCH(A2381,CATALOG_TASK,0)),""))</f>
        <v>1</v>
      </c>
      <c r="D2381" s="10" t="s">
        <v>1451</v>
      </c>
      <c r="E2381" s="41" t="str">
        <f t="shared" si="1"/>
        <v>PROX4</v>
      </c>
    </row>
    <row r="2382" ht="15.75" customHeight="1">
      <c r="A2382" s="10" t="s">
        <v>174</v>
      </c>
      <c r="B2382" s="10" t="s">
        <v>149</v>
      </c>
      <c r="C2382" s="41">
        <f t="array" ref="C2382">IF(IFERROR(INDEX(CATALOG_POINTS,MATCH(A2382,CATALOG_TASK,0)),"")="",IF(MAX(IF(IFERROR(FIND(CATALOG_BASE,A2382),0)=1,CATALOG_POINTS,0))=0,DAILY_POST_POINTS,MAX(IF(IFERROR(FIND(CATALOG_BASE,A2382),0)=1,CATALOG_POINTS,0))),IFERROR(INDEX(CATALOG_POINTS,MATCH(A2382,CATALOG_TASK,0)),""))</f>
        <v>1</v>
      </c>
      <c r="D2382" s="10" t="s">
        <v>1451</v>
      </c>
      <c r="E2382" s="41" t="str">
        <f t="shared" si="1"/>
        <v>PROX4</v>
      </c>
    </row>
    <row r="2383" ht="15.75" customHeight="1">
      <c r="A2383" s="10" t="s">
        <v>1452</v>
      </c>
      <c r="B2383" s="10" t="s">
        <v>137</v>
      </c>
      <c r="C2383" s="41">
        <f t="array" ref="C2383">IF(IFERROR(INDEX(CATALOG_POINTS,MATCH(A2383,CATALOG_TASK,0)),"")="",IF(MAX(IF(IFERROR(FIND(CATALOG_BASE,A2383),0)=1,CATALOG_POINTS,0))=0,DAILY_POST_POINTS,MAX(IF(IFERROR(FIND(CATALOG_BASE,A2383),0)=1,CATALOG_POINTS,0))),IFERROR(INDEX(CATALOG_POINTS,MATCH(A2383,CATALOG_TASK,0)),""))</f>
        <v>1</v>
      </c>
      <c r="D2383" s="10" t="s">
        <v>1452</v>
      </c>
      <c r="E2383" s="41" t="str">
        <f t="shared" si="1"/>
        <v>PROX3</v>
      </c>
    </row>
    <row r="2384" ht="15.75" customHeight="1">
      <c r="A2384" s="10" t="s">
        <v>52</v>
      </c>
      <c r="B2384" s="10" t="s">
        <v>139</v>
      </c>
      <c r="C2384" s="41">
        <f t="array" ref="C2384">IF(IFERROR(INDEX(CATALOG_POINTS,MATCH(A2384,CATALOG_TASK,0)),"")="",IF(MAX(IF(IFERROR(FIND(CATALOG_BASE,A2384),0)=1,CATALOG_POINTS,0))=0,DAILY_POST_POINTS,MAX(IF(IFERROR(FIND(CATALOG_BASE,A2384),0)=1,CATALOG_POINTS,0))),IFERROR(INDEX(CATALOG_POINTS,MATCH(A2384,CATALOG_TASK,0)),""))</f>
        <v>10</v>
      </c>
      <c r="D2384" s="10" t="s">
        <v>1453</v>
      </c>
      <c r="E2384" s="41" t="str">
        <f t="shared" si="1"/>
        <v>PROX4</v>
      </c>
    </row>
    <row r="2385" ht="15.75" customHeight="1">
      <c r="A2385" s="10" t="s">
        <v>37</v>
      </c>
      <c r="B2385" s="10" t="s">
        <v>125</v>
      </c>
      <c r="C2385" s="41">
        <f t="array" ref="C2385">IF(IFERROR(INDEX(CATALOG_POINTS,MATCH(A2385,CATALOG_TASK,0)),"")="",IF(MAX(IF(IFERROR(FIND(CATALOG_BASE,A2385),0)=1,CATALOG_POINTS,0))=0,DAILY_POST_POINTS,MAX(IF(IFERROR(FIND(CATALOG_BASE,A2385),0)=1,CATALOG_POINTS,0))),IFERROR(INDEX(CATALOG_POINTS,MATCH(A2385,CATALOG_TASK,0)),""))</f>
        <v>2</v>
      </c>
      <c r="D2385" s="10" t="s">
        <v>1453</v>
      </c>
      <c r="E2385" s="41" t="str">
        <f t="shared" si="1"/>
        <v>PROX4</v>
      </c>
    </row>
    <row r="2386" ht="15.75" customHeight="1">
      <c r="A2386" s="10" t="s">
        <v>1453</v>
      </c>
      <c r="B2386" s="10" t="s">
        <v>128</v>
      </c>
      <c r="C2386" s="41">
        <f t="array" ref="C2386">IF(IFERROR(INDEX(CATALOG_POINTS,MATCH(A2386,CATALOG_TASK,0)),"")="",IF(MAX(IF(IFERROR(FIND(CATALOG_BASE,A2386),0)=1,CATALOG_POINTS,0))=0,DAILY_POST_POINTS,MAX(IF(IFERROR(FIND(CATALOG_BASE,A2386),0)=1,CATALOG_POINTS,0))),IFERROR(INDEX(CATALOG_POINTS,MATCH(A2386,CATALOG_TASK,0)),""))</f>
        <v>1</v>
      </c>
      <c r="D2386" s="10" t="s">
        <v>1453</v>
      </c>
      <c r="E2386" s="41" t="str">
        <f t="shared" si="1"/>
        <v>PROX4</v>
      </c>
    </row>
    <row r="2387" ht="15.75" customHeight="1">
      <c r="A2387" s="10" t="s">
        <v>37</v>
      </c>
      <c r="B2387" s="10" t="s">
        <v>117</v>
      </c>
      <c r="C2387" s="41">
        <f t="array" ref="C2387">IF(IFERROR(INDEX(CATALOG_POINTS,MATCH(A2387,CATALOG_TASK,0)),"")="",IF(MAX(IF(IFERROR(FIND(CATALOG_BASE,A2387),0)=1,CATALOG_POINTS,0))=0,DAILY_POST_POINTS,MAX(IF(IFERROR(FIND(CATALOG_BASE,A2387),0)=1,CATALOG_POINTS,0))),IFERROR(INDEX(CATALOG_POINTS,MATCH(A2387,CATALOG_TASK,0)),""))</f>
        <v>2</v>
      </c>
      <c r="D2387" s="10" t="s">
        <v>1453</v>
      </c>
      <c r="E2387" s="41" t="str">
        <f t="shared" si="1"/>
        <v>PROX4</v>
      </c>
    </row>
    <row r="2388" ht="15.75" customHeight="1">
      <c r="A2388" s="10" t="s">
        <v>1454</v>
      </c>
      <c r="B2388" s="10" t="s">
        <v>128</v>
      </c>
      <c r="C2388" s="41">
        <f t="array" ref="C2388">IF(IFERROR(INDEX(CATALOG_POINTS,MATCH(A2388,CATALOG_TASK,0)),"")="",IF(MAX(IF(IFERROR(FIND(CATALOG_BASE,A2388),0)=1,CATALOG_POINTS,0))=0,DAILY_POST_POINTS,MAX(IF(IFERROR(FIND(CATALOG_BASE,A2388),0)=1,CATALOG_POINTS,0))),IFERROR(INDEX(CATALOG_POINTS,MATCH(A2388,CATALOG_TASK,0)),""))</f>
        <v>1</v>
      </c>
      <c r="D2388" s="10" t="s">
        <v>1454</v>
      </c>
      <c r="E2388" s="41" t="str">
        <f t="shared" si="1"/>
        <v>PROX4</v>
      </c>
    </row>
    <row r="2389" ht="15.75" customHeight="1">
      <c r="A2389" s="10" t="s">
        <v>37</v>
      </c>
      <c r="B2389" s="10" t="s">
        <v>117</v>
      </c>
      <c r="C2389" s="41">
        <f t="array" ref="C2389">IF(IFERROR(INDEX(CATALOG_POINTS,MATCH(A2389,CATALOG_TASK,0)),"")="",IF(MAX(IF(IFERROR(FIND(CATALOG_BASE,A2389),0)=1,CATALOG_POINTS,0))=0,DAILY_POST_POINTS,MAX(IF(IFERROR(FIND(CATALOG_BASE,A2389),0)=1,CATALOG_POINTS,0))),IFERROR(INDEX(CATALOG_POINTS,MATCH(A2389,CATALOG_TASK,0)),""))</f>
        <v>2</v>
      </c>
      <c r="D2389" s="10" t="s">
        <v>1454</v>
      </c>
      <c r="E2389" s="41" t="str">
        <f t="shared" si="1"/>
        <v>PROX4</v>
      </c>
    </row>
    <row r="2390" ht="15.75" customHeight="1">
      <c r="A2390" s="10" t="s">
        <v>37</v>
      </c>
      <c r="B2390" s="10" t="s">
        <v>125</v>
      </c>
      <c r="C2390" s="41">
        <f t="array" ref="C2390">IF(IFERROR(INDEX(CATALOG_POINTS,MATCH(A2390,CATALOG_TASK,0)),"")="",IF(MAX(IF(IFERROR(FIND(CATALOG_BASE,A2390),0)=1,CATALOG_POINTS,0))=0,DAILY_POST_POINTS,MAX(IF(IFERROR(FIND(CATALOG_BASE,A2390),0)=1,CATALOG_POINTS,0))),IFERROR(INDEX(CATALOG_POINTS,MATCH(A2390,CATALOG_TASK,0)),""))</f>
        <v>2</v>
      </c>
      <c r="D2390" s="10" t="s">
        <v>1454</v>
      </c>
      <c r="E2390" s="41" t="str">
        <f t="shared" si="1"/>
        <v>PROX4</v>
      </c>
    </row>
    <row r="2391" ht="15.75" customHeight="1">
      <c r="A2391" s="10" t="s">
        <v>52</v>
      </c>
      <c r="B2391" s="10" t="s">
        <v>139</v>
      </c>
      <c r="C2391" s="41">
        <f t="array" ref="C2391">IF(IFERROR(INDEX(CATALOG_POINTS,MATCH(A2391,CATALOG_TASK,0)),"")="",IF(MAX(IF(IFERROR(FIND(CATALOG_BASE,A2391),0)=1,CATALOG_POINTS,0))=0,DAILY_POST_POINTS,MAX(IF(IFERROR(FIND(CATALOG_BASE,A2391),0)=1,CATALOG_POINTS,0))),IFERROR(INDEX(CATALOG_POINTS,MATCH(A2391,CATALOG_TASK,0)),""))</f>
        <v>10</v>
      </c>
      <c r="D2391" s="10" t="s">
        <v>1454</v>
      </c>
      <c r="E2391" s="41" t="str">
        <f t="shared" si="1"/>
        <v>PROX4</v>
      </c>
    </row>
    <row r="2392" ht="15.75" customHeight="1">
      <c r="A2392" s="10" t="s">
        <v>1455</v>
      </c>
      <c r="B2392" s="10" t="s">
        <v>132</v>
      </c>
      <c r="C2392" s="41">
        <f t="array" ref="C2392">IF(IFERROR(INDEX(CATALOG_POINTS,MATCH(A2392,CATALOG_TASK,0)),"")="",IF(MAX(IF(IFERROR(FIND(CATALOG_BASE,A2392),0)=1,CATALOG_POINTS,0))=0,DAILY_POST_POINTS,MAX(IF(IFERROR(FIND(CATALOG_BASE,A2392),0)=1,CATALOG_POINTS,0))),IFERROR(INDEX(CATALOG_POINTS,MATCH(A2392,CATALOG_TASK,0)),""))</f>
        <v>1</v>
      </c>
      <c r="D2392" s="10" t="s">
        <v>1456</v>
      </c>
      <c r="E2392" s="41" t="str">
        <f t="shared" si="1"/>
        <v>E0</v>
      </c>
    </row>
    <row r="2393" ht="15.75" customHeight="1">
      <c r="A2393" s="10" t="s">
        <v>1457</v>
      </c>
      <c r="B2393" s="10" t="s">
        <v>129</v>
      </c>
      <c r="C2393" s="41">
        <f t="array" ref="C2393">IF(IFERROR(INDEX(CATALOG_POINTS,MATCH(A2393,CATALOG_TASK,0)),"")="",IF(MAX(IF(IFERROR(FIND(CATALOG_BASE,A2393),0)=1,CATALOG_POINTS,0))=0,DAILY_POST_POINTS,MAX(IF(IFERROR(FIND(CATALOG_BASE,A2393),0)=1,CATALOG_POINTS,0))),IFERROR(INDEX(CATALOG_POINTS,MATCH(A2393,CATALOG_TASK,0)),""))</f>
        <v>1</v>
      </c>
      <c r="D2393" s="10" t="s">
        <v>1457</v>
      </c>
      <c r="E2393" s="41" t="str">
        <f t="shared" si="1"/>
        <v>PROX3</v>
      </c>
    </row>
    <row r="2394" ht="15.75" customHeight="1">
      <c r="A2394" s="10" t="s">
        <v>1458</v>
      </c>
      <c r="B2394" s="10" t="s">
        <v>132</v>
      </c>
      <c r="C2394" s="41">
        <f t="array" ref="C2394">IF(IFERROR(INDEX(CATALOG_POINTS,MATCH(A2394,CATALOG_TASK,0)),"")="",IF(MAX(IF(IFERROR(FIND(CATALOG_BASE,A2394),0)=1,CATALOG_POINTS,0))=0,DAILY_POST_POINTS,MAX(IF(IFERROR(FIND(CATALOG_BASE,A2394),0)=1,CATALOG_POINTS,0))),IFERROR(INDEX(CATALOG_POINTS,MATCH(A2394,CATALOG_TASK,0)),""))</f>
        <v>1</v>
      </c>
      <c r="D2394" s="10" t="s">
        <v>1458</v>
      </c>
      <c r="E2394" s="41" t="str">
        <f t="shared" si="1"/>
        <v>E0</v>
      </c>
    </row>
    <row r="2395" ht="15.75" customHeight="1">
      <c r="A2395" s="10" t="s">
        <v>37</v>
      </c>
      <c r="B2395" s="10" t="s">
        <v>122</v>
      </c>
      <c r="C2395" s="41">
        <f t="array" ref="C2395">IF(IFERROR(INDEX(CATALOG_POINTS,MATCH(A2395,CATALOG_TASK,0)),"")="",IF(MAX(IF(IFERROR(FIND(CATALOG_BASE,A2395),0)=1,CATALOG_POINTS,0))=0,DAILY_POST_POINTS,MAX(IF(IFERROR(FIND(CATALOG_BASE,A2395),0)=1,CATALOG_POINTS,0))),IFERROR(INDEX(CATALOG_POINTS,MATCH(A2395,CATALOG_TASK,0)),""))</f>
        <v>2</v>
      </c>
      <c r="D2395" s="10" t="s">
        <v>1458</v>
      </c>
      <c r="E2395" s="41" t="str">
        <f t="shared" si="1"/>
        <v>E0</v>
      </c>
    </row>
    <row r="2396" ht="15.75" customHeight="1">
      <c r="A2396" s="10" t="s">
        <v>1459</v>
      </c>
      <c r="B2396" s="10" t="s">
        <v>132</v>
      </c>
      <c r="C2396" s="41">
        <f t="array" ref="C2396">IF(IFERROR(INDEX(CATALOG_POINTS,MATCH(A2396,CATALOG_TASK,0)),"")="",IF(MAX(IF(IFERROR(FIND(CATALOG_BASE,A2396),0)=1,CATALOG_POINTS,0))=0,DAILY_POST_POINTS,MAX(IF(IFERROR(FIND(CATALOG_BASE,A2396),0)=1,CATALOG_POINTS,0))),IFERROR(INDEX(CATALOG_POINTS,MATCH(A2396,CATALOG_TASK,0)),""))</f>
        <v>1</v>
      </c>
      <c r="D2396" s="10" t="s">
        <v>1459</v>
      </c>
      <c r="E2396" s="41" t="str">
        <f t="shared" si="1"/>
        <v>E0</v>
      </c>
    </row>
    <row r="2397" ht="15.75" customHeight="1">
      <c r="A2397" s="10" t="s">
        <v>37</v>
      </c>
      <c r="B2397" s="10" t="s">
        <v>122</v>
      </c>
      <c r="C2397" s="41">
        <f t="array" ref="C2397">IF(IFERROR(INDEX(CATALOG_POINTS,MATCH(A2397,CATALOG_TASK,0)),"")="",IF(MAX(IF(IFERROR(FIND(CATALOG_BASE,A2397),0)=1,CATALOG_POINTS,0))=0,DAILY_POST_POINTS,MAX(IF(IFERROR(FIND(CATALOG_BASE,A2397),0)=1,CATALOG_POINTS,0))),IFERROR(INDEX(CATALOG_POINTS,MATCH(A2397,CATALOG_TASK,0)),""))</f>
        <v>2</v>
      </c>
      <c r="D2397" s="10" t="s">
        <v>1459</v>
      </c>
      <c r="E2397" s="41" t="str">
        <f t="shared" si="1"/>
        <v>E0</v>
      </c>
    </row>
    <row r="2398" ht="15.75" customHeight="1">
      <c r="A2398" s="10" t="s">
        <v>1460</v>
      </c>
      <c r="B2398" s="10" t="s">
        <v>122</v>
      </c>
      <c r="C2398" s="41">
        <f t="array" ref="C2398">IF(IFERROR(INDEX(CATALOG_POINTS,MATCH(A2398,CATALOG_TASK,0)),"")="",IF(MAX(IF(IFERROR(FIND(CATALOG_BASE,A2398),0)=1,CATALOG_POINTS,0))=0,DAILY_POST_POINTS,MAX(IF(IFERROR(FIND(CATALOG_BASE,A2398),0)=1,CATALOG_POINTS,0))),IFERROR(INDEX(CATALOG_POINTS,MATCH(A2398,CATALOG_TASK,0)),""))</f>
        <v>1</v>
      </c>
      <c r="D2398" s="10" t="s">
        <v>1460</v>
      </c>
      <c r="E2398" s="41" t="str">
        <f t="shared" si="1"/>
        <v>PROX3</v>
      </c>
    </row>
    <row r="2399" ht="15.75" customHeight="1">
      <c r="A2399" s="10" t="s">
        <v>1461</v>
      </c>
      <c r="B2399" s="10" t="s">
        <v>137</v>
      </c>
      <c r="C2399" s="41">
        <f t="array" ref="C2399">IF(IFERROR(INDEX(CATALOG_POINTS,MATCH(A2399,CATALOG_TASK,0)),"")="",IF(MAX(IF(IFERROR(FIND(CATALOG_BASE,A2399),0)=1,CATALOG_POINTS,0))=0,DAILY_POST_POINTS,MAX(IF(IFERROR(FIND(CATALOG_BASE,A2399),0)=1,CATALOG_POINTS,0))),IFERROR(INDEX(CATALOG_POINTS,MATCH(A2399,CATALOG_TASK,0)),""))</f>
        <v>1</v>
      </c>
      <c r="D2399" s="10" t="s">
        <v>1461</v>
      </c>
      <c r="E2399" s="41" t="str">
        <f t="shared" si="1"/>
        <v>PROX3</v>
      </c>
    </row>
    <row r="2400" ht="15.75" customHeight="1">
      <c r="A2400" s="10" t="s">
        <v>1462</v>
      </c>
      <c r="B2400" s="10" t="s">
        <v>122</v>
      </c>
      <c r="C2400" s="41">
        <f t="array" ref="C2400">IF(IFERROR(INDEX(CATALOG_POINTS,MATCH(A2400,CATALOG_TASK,0)),"")="",IF(MAX(IF(IFERROR(FIND(CATALOG_BASE,A2400),0)=1,CATALOG_POINTS,0))=0,DAILY_POST_POINTS,MAX(IF(IFERROR(FIND(CATALOG_BASE,A2400),0)=1,CATALOG_POINTS,0))),IFERROR(INDEX(CATALOG_POINTS,MATCH(A2400,CATALOG_TASK,0)),""))</f>
        <v>1</v>
      </c>
      <c r="D2400" s="10" t="s">
        <v>1462</v>
      </c>
      <c r="E2400" s="41" t="str">
        <f t="shared" si="1"/>
        <v>SEM</v>
      </c>
    </row>
    <row r="2401" ht="15.75" customHeight="1">
      <c r="A2401" s="10" t="s">
        <v>1463</v>
      </c>
      <c r="B2401" s="10" t="s">
        <v>124</v>
      </c>
      <c r="C2401" s="41">
        <f t="array" ref="C2401">IF(IFERROR(INDEX(CATALOG_POINTS,MATCH(A2401,CATALOG_TASK,0)),"")="",IF(MAX(IF(IFERROR(FIND(CATALOG_BASE,A2401),0)=1,CATALOG_POINTS,0))=0,DAILY_POST_POINTS,MAX(IF(IFERROR(FIND(CATALOG_BASE,A2401),0)=1,CATALOG_POINTS,0))),IFERROR(INDEX(CATALOG_POINTS,MATCH(A2401,CATALOG_TASK,0)),""))</f>
        <v>1</v>
      </c>
      <c r="D2401" s="10" t="s">
        <v>1463</v>
      </c>
      <c r="E2401" s="41" t="str">
        <f t="shared" si="1"/>
        <v>PROX4</v>
      </c>
    </row>
    <row r="2402" ht="15.75" customHeight="1">
      <c r="A2402" s="10" t="s">
        <v>37</v>
      </c>
      <c r="B2402" s="10" t="s">
        <v>127</v>
      </c>
      <c r="C2402" s="41">
        <f t="array" ref="C2402">IF(IFERROR(INDEX(CATALOG_POINTS,MATCH(A2402,CATALOG_TASK,0)),"")="",IF(MAX(IF(IFERROR(FIND(CATALOG_BASE,A2402),0)=1,CATALOG_POINTS,0))=0,DAILY_POST_POINTS,MAX(IF(IFERROR(FIND(CATALOG_BASE,A2402),0)=1,CATALOG_POINTS,0))),IFERROR(INDEX(CATALOG_POINTS,MATCH(A2402,CATALOG_TASK,0)),""))</f>
        <v>2</v>
      </c>
      <c r="D2402" s="10" t="s">
        <v>1463</v>
      </c>
      <c r="E2402" s="41" t="str">
        <f t="shared" si="1"/>
        <v>PROX4</v>
      </c>
    </row>
    <row r="2403" ht="15.75" customHeight="1">
      <c r="A2403" s="10" t="s">
        <v>37</v>
      </c>
      <c r="B2403" s="10" t="s">
        <v>124</v>
      </c>
      <c r="C2403" s="41">
        <f t="array" ref="C2403">IF(IFERROR(INDEX(CATALOG_POINTS,MATCH(A2403,CATALOG_TASK,0)),"")="",IF(MAX(IF(IFERROR(FIND(CATALOG_BASE,A2403),0)=1,CATALOG_POINTS,0))=0,DAILY_POST_POINTS,MAX(IF(IFERROR(FIND(CATALOG_BASE,A2403),0)=1,CATALOG_POINTS,0))),IFERROR(INDEX(CATALOG_POINTS,MATCH(A2403,CATALOG_TASK,0)),""))</f>
        <v>2</v>
      </c>
      <c r="D2403" s="10" t="s">
        <v>1464</v>
      </c>
      <c r="E2403" s="41" t="str">
        <f t="shared" si="1"/>
        <v>PROX3</v>
      </c>
    </row>
    <row r="2404" ht="15.75" customHeight="1">
      <c r="A2404" s="10" t="s">
        <v>1464</v>
      </c>
      <c r="B2404" s="10" t="s">
        <v>127</v>
      </c>
      <c r="C2404" s="41">
        <f t="array" ref="C2404">IF(IFERROR(INDEX(CATALOG_POINTS,MATCH(A2404,CATALOG_TASK,0)),"")="",IF(MAX(IF(IFERROR(FIND(CATALOG_BASE,A2404),0)=1,CATALOG_POINTS,0))=0,DAILY_POST_POINTS,MAX(IF(IFERROR(FIND(CATALOG_BASE,A2404),0)=1,CATALOG_POINTS,0))),IFERROR(INDEX(CATALOG_POINTS,MATCH(A2404,CATALOG_TASK,0)),""))</f>
        <v>1</v>
      </c>
      <c r="D2404" s="10" t="s">
        <v>1464</v>
      </c>
      <c r="E2404" s="41" t="str">
        <f t="shared" si="1"/>
        <v>PROX3</v>
      </c>
    </row>
    <row r="2405" ht="15.75" customHeight="1">
      <c r="A2405" s="10" t="s">
        <v>37</v>
      </c>
      <c r="B2405" s="10" t="s">
        <v>117</v>
      </c>
      <c r="C2405" s="41">
        <f t="array" ref="C2405">IF(IFERROR(INDEX(CATALOG_POINTS,MATCH(A2405,CATALOG_TASK,0)),"")="",IF(MAX(IF(IFERROR(FIND(CATALOG_BASE,A2405),0)=1,CATALOG_POINTS,0))=0,DAILY_POST_POINTS,MAX(IF(IFERROR(FIND(CATALOG_BASE,A2405),0)=1,CATALOG_POINTS,0))),IFERROR(INDEX(CATALOG_POINTS,MATCH(A2405,CATALOG_TASK,0)),""))</f>
        <v>2</v>
      </c>
      <c r="D2405" s="10" t="s">
        <v>1464</v>
      </c>
      <c r="E2405" s="41" t="str">
        <f t="shared" si="1"/>
        <v>PROX3</v>
      </c>
    </row>
    <row r="2406" ht="15.75" customHeight="1">
      <c r="A2406" s="10" t="s">
        <v>1465</v>
      </c>
      <c r="B2406" s="10" t="s">
        <v>131</v>
      </c>
      <c r="C2406" s="41">
        <f t="array" ref="C2406">IF(IFERROR(INDEX(CATALOG_POINTS,MATCH(A2406,CATALOG_TASK,0)),"")="",IF(MAX(IF(IFERROR(FIND(CATALOG_BASE,A2406),0)=1,CATALOG_POINTS,0))=0,DAILY_POST_POINTS,MAX(IF(IFERROR(FIND(CATALOG_BASE,A2406),0)=1,CATALOG_POINTS,0))),IFERROR(INDEX(CATALOG_POINTS,MATCH(A2406,CATALOG_TASK,0)),""))</f>
        <v>1</v>
      </c>
      <c r="D2406" s="10" t="s">
        <v>1466</v>
      </c>
      <c r="E2406" s="41" t="str">
        <f t="shared" si="1"/>
        <v/>
      </c>
    </row>
    <row r="2407" ht="15.75" customHeight="1">
      <c r="A2407" s="10" t="s">
        <v>1467</v>
      </c>
      <c r="B2407" s="10" t="s">
        <v>131</v>
      </c>
      <c r="C2407" s="41">
        <f t="array" ref="C2407">IF(IFERROR(INDEX(CATALOG_POINTS,MATCH(A2407,CATALOG_TASK,0)),"")="",IF(MAX(IF(IFERROR(FIND(CATALOG_BASE,A2407),0)=1,CATALOG_POINTS,0))=0,DAILY_POST_POINTS,MAX(IF(IFERROR(FIND(CATALOG_BASE,A2407),0)=1,CATALOG_POINTS,0))),IFERROR(INDEX(CATALOG_POINTS,MATCH(A2407,CATALOG_TASK,0)),""))</f>
        <v>1</v>
      </c>
      <c r="D2407" s="10" t="s">
        <v>1468</v>
      </c>
      <c r="E2407" s="41" t="str">
        <f t="shared" si="1"/>
        <v/>
      </c>
    </row>
    <row r="2408" ht="15.75" customHeight="1">
      <c r="A2408" s="10" t="s">
        <v>1469</v>
      </c>
      <c r="B2408" s="10" t="s">
        <v>131</v>
      </c>
      <c r="C2408" s="41">
        <f t="array" ref="C2408">IF(IFERROR(INDEX(CATALOG_POINTS,MATCH(A2408,CATALOG_TASK,0)),"")="",IF(MAX(IF(IFERROR(FIND(CATALOG_BASE,A2408),0)=1,CATALOG_POINTS,0))=0,DAILY_POST_POINTS,MAX(IF(IFERROR(FIND(CATALOG_BASE,A2408),0)=1,CATALOG_POINTS,0))),IFERROR(INDEX(CATALOG_POINTS,MATCH(A2408,CATALOG_TASK,0)),""))</f>
        <v>1</v>
      </c>
      <c r="D2408" s="10" t="s">
        <v>1469</v>
      </c>
      <c r="E2408" s="41" t="str">
        <f t="shared" si="1"/>
        <v>PROX3</v>
      </c>
    </row>
    <row r="2409" ht="15.75" customHeight="1">
      <c r="A2409" s="10" t="s">
        <v>1470</v>
      </c>
      <c r="B2409" s="10" t="s">
        <v>133</v>
      </c>
      <c r="C2409" s="41">
        <f t="array" ref="C2409">IF(IFERROR(INDEX(CATALOG_POINTS,MATCH(A2409,CATALOG_TASK,0)),"")="",IF(MAX(IF(IFERROR(FIND(CATALOG_BASE,A2409),0)=1,CATALOG_POINTS,0))=0,DAILY_POST_POINTS,MAX(IF(IFERROR(FIND(CATALOG_BASE,A2409),0)=1,CATALOG_POINTS,0))),IFERROR(INDEX(CATALOG_POINTS,MATCH(A2409,CATALOG_TASK,0)),""))</f>
        <v>1</v>
      </c>
      <c r="D2409" s="10" t="s">
        <v>1470</v>
      </c>
      <c r="E2409" s="41" t="str">
        <f t="shared" si="1"/>
        <v>PROX3</v>
      </c>
    </row>
    <row r="2410" ht="15.75" customHeight="1">
      <c r="A2410" s="10" t="s">
        <v>1471</v>
      </c>
      <c r="B2410" s="10" t="s">
        <v>125</v>
      </c>
      <c r="C2410" s="41">
        <f t="array" ref="C2410">IF(IFERROR(INDEX(CATALOG_POINTS,MATCH(A2410,CATALOG_TASK,0)),"")="",IF(MAX(IF(IFERROR(FIND(CATALOG_BASE,A2410),0)=1,CATALOG_POINTS,0))=0,DAILY_POST_POINTS,MAX(IF(IFERROR(FIND(CATALOG_BASE,A2410),0)=1,CATALOG_POINTS,0))),IFERROR(INDEX(CATALOG_POINTS,MATCH(A2410,CATALOG_TASK,0)),""))</f>
        <v>1</v>
      </c>
      <c r="D2410" s="10" t="s">
        <v>1471</v>
      </c>
      <c r="E2410" s="41" t="str">
        <f t="shared" si="1"/>
        <v>PROX3</v>
      </c>
    </row>
    <row r="2411" ht="15.75" customHeight="1">
      <c r="A2411" s="10" t="s">
        <v>170</v>
      </c>
      <c r="B2411" s="10" t="s">
        <v>126</v>
      </c>
      <c r="C2411" s="41">
        <f t="array" ref="C2411">IF(IFERROR(INDEX(CATALOG_POINTS,MATCH(A2411,CATALOG_TASK,0)),"")="",IF(MAX(IF(IFERROR(FIND(CATALOG_BASE,A2411),0)=1,CATALOG_POINTS,0))=0,DAILY_POST_POINTS,MAX(IF(IFERROR(FIND(CATALOG_BASE,A2411),0)=1,CATALOG_POINTS,0))),IFERROR(INDEX(CATALOG_POINTS,MATCH(A2411,CATALOG_TASK,0)),""))</f>
        <v>1</v>
      </c>
      <c r="D2411" s="10" t="s">
        <v>1471</v>
      </c>
      <c r="E2411" s="41" t="str">
        <f t="shared" si="1"/>
        <v>PROX3</v>
      </c>
    </row>
    <row r="2412" ht="15.75" customHeight="1">
      <c r="A2412" s="10" t="s">
        <v>37</v>
      </c>
      <c r="B2412" s="10" t="s">
        <v>124</v>
      </c>
      <c r="C2412" s="41">
        <f t="array" ref="C2412">IF(IFERROR(INDEX(CATALOG_POINTS,MATCH(A2412,CATALOG_TASK,0)),"")="",IF(MAX(IF(IFERROR(FIND(CATALOG_BASE,A2412),0)=1,CATALOG_POINTS,0))=0,DAILY_POST_POINTS,MAX(IF(IFERROR(FIND(CATALOG_BASE,A2412),0)=1,CATALOG_POINTS,0))),IFERROR(INDEX(CATALOG_POINTS,MATCH(A2412,CATALOG_TASK,0)),""))</f>
        <v>2</v>
      </c>
      <c r="D2412" s="10" t="s">
        <v>1471</v>
      </c>
      <c r="E2412" s="41" t="str">
        <f t="shared" si="1"/>
        <v>PROX3</v>
      </c>
    </row>
    <row r="2413" ht="15.75" customHeight="1">
      <c r="A2413" s="10" t="s">
        <v>168</v>
      </c>
      <c r="B2413" s="10" t="s">
        <v>124</v>
      </c>
      <c r="C2413" s="41">
        <f t="array" ref="C2413">IF(IFERROR(INDEX(CATALOG_POINTS,MATCH(A2413,CATALOG_TASK,0)),"")="",IF(MAX(IF(IFERROR(FIND(CATALOG_BASE,A2413),0)=1,CATALOG_POINTS,0))=0,DAILY_POST_POINTS,MAX(IF(IFERROR(FIND(CATALOG_BASE,A2413),0)=1,CATALOG_POINTS,0))),IFERROR(INDEX(CATALOG_POINTS,MATCH(A2413,CATALOG_TASK,0)),""))</f>
        <v>1</v>
      </c>
      <c r="D2413" s="10" t="s">
        <v>1471</v>
      </c>
      <c r="E2413" s="41" t="str">
        <f t="shared" si="1"/>
        <v>PROX3</v>
      </c>
    </row>
    <row r="2414" ht="15.75" customHeight="1">
      <c r="A2414" s="10" t="s">
        <v>37</v>
      </c>
      <c r="B2414" s="10" t="s">
        <v>149</v>
      </c>
      <c r="C2414" s="41">
        <f t="array" ref="C2414">IF(IFERROR(INDEX(CATALOG_POINTS,MATCH(A2414,CATALOG_TASK,0)),"")="",IF(MAX(IF(IFERROR(FIND(CATALOG_BASE,A2414),0)=1,CATALOG_POINTS,0))=0,DAILY_POST_POINTS,MAX(IF(IFERROR(FIND(CATALOG_BASE,A2414),0)=1,CATALOG_POINTS,0))),IFERROR(INDEX(CATALOG_POINTS,MATCH(A2414,CATALOG_TASK,0)),""))</f>
        <v>2</v>
      </c>
      <c r="D2414" s="10" t="s">
        <v>1472</v>
      </c>
      <c r="E2414" s="41" t="str">
        <f t="shared" si="1"/>
        <v>PROX4</v>
      </c>
    </row>
    <row r="2415" ht="15.75" customHeight="1">
      <c r="A2415" s="10" t="s">
        <v>1472</v>
      </c>
      <c r="B2415" s="10" t="s">
        <v>119</v>
      </c>
      <c r="C2415" s="41">
        <f t="array" ref="C2415">IF(IFERROR(INDEX(CATALOG_POINTS,MATCH(A2415,CATALOG_TASK,0)),"")="",IF(MAX(IF(IFERROR(FIND(CATALOG_BASE,A2415),0)=1,CATALOG_POINTS,0))=0,DAILY_POST_POINTS,MAX(IF(IFERROR(FIND(CATALOG_BASE,A2415),0)=1,CATALOG_POINTS,0))),IFERROR(INDEX(CATALOG_POINTS,MATCH(A2415,CATALOG_TASK,0)),""))</f>
        <v>1</v>
      </c>
      <c r="D2415" s="10" t="s">
        <v>1472</v>
      </c>
      <c r="E2415" s="41" t="str">
        <f t="shared" si="1"/>
        <v>PROX4</v>
      </c>
    </row>
    <row r="2416" ht="15.75" customHeight="1">
      <c r="A2416" s="10" t="s">
        <v>1473</v>
      </c>
      <c r="B2416" s="10" t="s">
        <v>122</v>
      </c>
      <c r="C2416" s="41">
        <f t="array" ref="C2416">IF(IFERROR(INDEX(CATALOG_POINTS,MATCH(A2416,CATALOG_TASK,0)),"")="",IF(MAX(IF(IFERROR(FIND(CATALOG_BASE,A2416),0)=1,CATALOG_POINTS,0))=0,DAILY_POST_POINTS,MAX(IF(IFERROR(FIND(CATALOG_BASE,A2416),0)=1,CATALOG_POINTS,0))),IFERROR(INDEX(CATALOG_POINTS,MATCH(A2416,CATALOG_TASK,0)),""))</f>
        <v>1</v>
      </c>
      <c r="D2416" s="10" t="s">
        <v>1473</v>
      </c>
      <c r="E2416" s="41" t="str">
        <f t="shared" si="1"/>
        <v>PROX4</v>
      </c>
    </row>
    <row r="2417" ht="15.75" customHeight="1">
      <c r="A2417" s="10" t="s">
        <v>177</v>
      </c>
      <c r="B2417" s="10" t="s">
        <v>141</v>
      </c>
      <c r="C2417" s="41">
        <f t="array" ref="C2417">IF(IFERROR(INDEX(CATALOG_POINTS,MATCH(A2417,CATALOG_TASK,0)),"")="",IF(MAX(IF(IFERROR(FIND(CATALOG_BASE,A2417),0)=1,CATALOG_POINTS,0))=0,DAILY_POST_POINTS,MAX(IF(IFERROR(FIND(CATALOG_BASE,A2417),0)=1,CATALOG_POINTS,0))),IFERROR(INDEX(CATALOG_POINTS,MATCH(A2417,CATALOG_TASK,0)),""))</f>
        <v>6</v>
      </c>
      <c r="D2417" s="10" t="s">
        <v>1474</v>
      </c>
      <c r="E2417" s="41" t="str">
        <f t="shared" si="1"/>
        <v/>
      </c>
    </row>
    <row r="2418" ht="15.75" customHeight="1">
      <c r="A2418" s="10" t="s">
        <v>55</v>
      </c>
      <c r="B2418" s="10" t="s">
        <v>140</v>
      </c>
      <c r="C2418" s="41">
        <f t="array" ref="C2418">IF(IFERROR(INDEX(CATALOG_POINTS,MATCH(A2418,CATALOG_TASK,0)),"")="",IF(MAX(IF(IFERROR(FIND(CATALOG_BASE,A2418),0)=1,CATALOG_POINTS,0))=0,DAILY_POST_POINTS,MAX(IF(IFERROR(FIND(CATALOG_BASE,A2418),0)=1,CATALOG_POINTS,0))),IFERROR(INDEX(CATALOG_POINTS,MATCH(A2418,CATALOG_TASK,0)),""))</f>
        <v>8</v>
      </c>
      <c r="D2418" s="10" t="s">
        <v>1474</v>
      </c>
      <c r="E2418" s="41" t="str">
        <f t="shared" si="1"/>
        <v/>
      </c>
    </row>
    <row r="2419" ht="15.75" customHeight="1">
      <c r="A2419" s="10" t="s">
        <v>380</v>
      </c>
      <c r="B2419" s="10" t="s">
        <v>151</v>
      </c>
      <c r="C2419" s="41">
        <f t="array" ref="C2419">IF(IFERROR(INDEX(CATALOG_POINTS,MATCH(A2419,CATALOG_TASK,0)),"")="",IF(MAX(IF(IFERROR(FIND(CATALOG_BASE,A2419),0)=1,CATALOG_POINTS,0))=0,DAILY_POST_POINTS,MAX(IF(IFERROR(FIND(CATALOG_BASE,A2419),0)=1,CATALOG_POINTS,0))),IFERROR(INDEX(CATALOG_POINTS,MATCH(A2419,CATALOG_TASK,0)),""))</f>
        <v>1</v>
      </c>
      <c r="D2419" s="10" t="s">
        <v>1474</v>
      </c>
      <c r="E2419" s="41" t="str">
        <f t="shared" si="1"/>
        <v/>
      </c>
    </row>
    <row r="2420" ht="15.75" customHeight="1">
      <c r="A2420" s="10" t="s">
        <v>177</v>
      </c>
      <c r="B2420" s="10" t="s">
        <v>140</v>
      </c>
      <c r="C2420" s="41">
        <f t="array" ref="C2420">IF(IFERROR(INDEX(CATALOG_POINTS,MATCH(A2420,CATALOG_TASK,0)),"")="",IF(MAX(IF(IFERROR(FIND(CATALOG_BASE,A2420),0)=1,CATALOG_POINTS,0))=0,DAILY_POST_POINTS,MAX(IF(IFERROR(FIND(CATALOG_BASE,A2420),0)=1,CATALOG_POINTS,0))),IFERROR(INDEX(CATALOG_POINTS,MATCH(A2420,CATALOG_TASK,0)),""))</f>
        <v>6</v>
      </c>
      <c r="D2420" s="10" t="s">
        <v>1474</v>
      </c>
      <c r="E2420" s="41" t="str">
        <f t="shared" si="1"/>
        <v/>
      </c>
    </row>
    <row r="2421" ht="15.75" customHeight="1">
      <c r="A2421" s="10" t="s">
        <v>55</v>
      </c>
      <c r="B2421" s="10" t="s">
        <v>140</v>
      </c>
      <c r="C2421" s="41">
        <f t="array" ref="C2421">IF(IFERROR(INDEX(CATALOG_POINTS,MATCH(A2421,CATALOG_TASK,0)),"")="",IF(MAX(IF(IFERROR(FIND(CATALOG_BASE,A2421),0)=1,CATALOG_POINTS,0))=0,DAILY_POST_POINTS,MAX(IF(IFERROR(FIND(CATALOG_BASE,A2421),0)=1,CATALOG_POINTS,0))),IFERROR(INDEX(CATALOG_POINTS,MATCH(A2421,CATALOG_TASK,0)),""))</f>
        <v>8</v>
      </c>
      <c r="D2421" s="10" t="s">
        <v>1474</v>
      </c>
      <c r="E2421" s="41" t="str">
        <f t="shared" si="1"/>
        <v/>
      </c>
    </row>
    <row r="2422" ht="15.75" customHeight="1">
      <c r="A2422" s="10" t="s">
        <v>55</v>
      </c>
      <c r="B2422" s="10" t="s">
        <v>141</v>
      </c>
      <c r="C2422" s="41">
        <f t="array" ref="C2422">IF(IFERROR(INDEX(CATALOG_POINTS,MATCH(A2422,CATALOG_TASK,0)),"")="",IF(MAX(IF(IFERROR(FIND(CATALOG_BASE,A2422),0)=1,CATALOG_POINTS,0))=0,DAILY_POST_POINTS,MAX(IF(IFERROR(FIND(CATALOG_BASE,A2422),0)=1,CATALOG_POINTS,0))),IFERROR(INDEX(CATALOG_POINTS,MATCH(A2422,CATALOG_TASK,0)),""))</f>
        <v>8</v>
      </c>
      <c r="D2422" s="10" t="s">
        <v>1474</v>
      </c>
      <c r="E2422" s="41" t="str">
        <f t="shared" si="1"/>
        <v/>
      </c>
    </row>
    <row r="2423" ht="15.75" customHeight="1">
      <c r="A2423" s="10" t="s">
        <v>177</v>
      </c>
      <c r="B2423" s="10" t="s">
        <v>141</v>
      </c>
      <c r="C2423" s="41">
        <f t="array" ref="C2423">IF(IFERROR(INDEX(CATALOG_POINTS,MATCH(A2423,CATALOG_TASK,0)),"")="",IF(MAX(IF(IFERROR(FIND(CATALOG_BASE,A2423),0)=1,CATALOG_POINTS,0))=0,DAILY_POST_POINTS,MAX(IF(IFERROR(FIND(CATALOG_BASE,A2423),0)=1,CATALOG_POINTS,0))),IFERROR(INDEX(CATALOG_POINTS,MATCH(A2423,CATALOG_TASK,0)),""))</f>
        <v>6</v>
      </c>
      <c r="D2423" s="10" t="s">
        <v>1474</v>
      </c>
      <c r="E2423" s="41" t="str">
        <f t="shared" si="1"/>
        <v/>
      </c>
    </row>
    <row r="2424" ht="15.75" customHeight="1">
      <c r="A2424" s="10" t="s">
        <v>55</v>
      </c>
      <c r="B2424" s="10" t="s">
        <v>141</v>
      </c>
      <c r="C2424" s="41">
        <f t="array" ref="C2424">IF(IFERROR(INDEX(CATALOG_POINTS,MATCH(A2424,CATALOG_TASK,0)),"")="",IF(MAX(IF(IFERROR(FIND(CATALOG_BASE,A2424),0)=1,CATALOG_POINTS,0))=0,DAILY_POST_POINTS,MAX(IF(IFERROR(FIND(CATALOG_BASE,A2424),0)=1,CATALOG_POINTS,0))),IFERROR(INDEX(CATALOG_POINTS,MATCH(A2424,CATALOG_TASK,0)),""))</f>
        <v>8</v>
      </c>
      <c r="D2424" s="10" t="s">
        <v>1474</v>
      </c>
      <c r="E2424" s="41" t="str">
        <f t="shared" si="1"/>
        <v/>
      </c>
    </row>
    <row r="2425" ht="15.75" customHeight="1">
      <c r="A2425" s="10" t="s">
        <v>55</v>
      </c>
      <c r="B2425" s="10" t="s">
        <v>140</v>
      </c>
      <c r="C2425" s="41">
        <f t="array" ref="C2425">IF(IFERROR(INDEX(CATALOG_POINTS,MATCH(A2425,CATALOG_TASK,0)),"")="",IF(MAX(IF(IFERROR(FIND(CATALOG_BASE,A2425),0)=1,CATALOG_POINTS,0))=0,DAILY_POST_POINTS,MAX(IF(IFERROR(FIND(CATALOG_BASE,A2425),0)=1,CATALOG_POINTS,0))),IFERROR(INDEX(CATALOG_POINTS,MATCH(A2425,CATALOG_TASK,0)),""))</f>
        <v>8</v>
      </c>
      <c r="D2425" s="10" t="s">
        <v>1474</v>
      </c>
      <c r="E2425" s="41" t="str">
        <f t="shared" si="1"/>
        <v/>
      </c>
    </row>
    <row r="2426" ht="15.75" customHeight="1">
      <c r="A2426" s="10" t="s">
        <v>52</v>
      </c>
      <c r="B2426" s="10" t="s">
        <v>141</v>
      </c>
      <c r="C2426" s="41">
        <f t="array" ref="C2426">IF(IFERROR(INDEX(CATALOG_POINTS,MATCH(A2426,CATALOG_TASK,0)),"")="",IF(MAX(IF(IFERROR(FIND(CATALOG_BASE,A2426),0)=1,CATALOG_POINTS,0))=0,DAILY_POST_POINTS,MAX(IF(IFERROR(FIND(CATALOG_BASE,A2426),0)=1,CATALOG_POINTS,0))),IFERROR(INDEX(CATALOG_POINTS,MATCH(A2426,CATALOG_TASK,0)),""))</f>
        <v>10</v>
      </c>
      <c r="D2426" s="10" t="s">
        <v>1474</v>
      </c>
      <c r="E2426" s="41" t="str">
        <f t="shared" si="1"/>
        <v/>
      </c>
    </row>
    <row r="2427" ht="15.75" customHeight="1">
      <c r="A2427" s="10" t="s">
        <v>1475</v>
      </c>
      <c r="B2427" s="10" t="s">
        <v>123</v>
      </c>
      <c r="C2427" s="41">
        <f t="array" ref="C2427">IF(IFERROR(INDEX(CATALOG_POINTS,MATCH(A2427,CATALOG_TASK,0)),"")="",IF(MAX(IF(IFERROR(FIND(CATALOG_BASE,A2427),0)=1,CATALOG_POINTS,0))=0,DAILY_POST_POINTS,MAX(IF(IFERROR(FIND(CATALOG_BASE,A2427),0)=1,CATALOG_POINTS,0))),IFERROR(INDEX(CATALOG_POINTS,MATCH(A2427,CATALOG_TASK,0)),""))</f>
        <v>1</v>
      </c>
      <c r="D2427" s="10" t="s">
        <v>1475</v>
      </c>
      <c r="E2427" s="41" t="str">
        <f t="shared" si="1"/>
        <v>E0</v>
      </c>
    </row>
    <row r="2428" ht="15.75" customHeight="1">
      <c r="A2428" s="10" t="s">
        <v>1476</v>
      </c>
      <c r="B2428" s="10" t="s">
        <v>121</v>
      </c>
      <c r="C2428" s="41">
        <f t="array" ref="C2428">IF(IFERROR(INDEX(CATALOG_POINTS,MATCH(A2428,CATALOG_TASK,0)),"")="",IF(MAX(IF(IFERROR(FIND(CATALOG_BASE,A2428),0)=1,CATALOG_POINTS,0))=0,DAILY_POST_POINTS,MAX(IF(IFERROR(FIND(CATALOG_BASE,A2428),0)=1,CATALOG_POINTS,0))),IFERROR(INDEX(CATALOG_POINTS,MATCH(A2428,CATALOG_TASK,0)),""))</f>
        <v>1</v>
      </c>
      <c r="D2428" s="10" t="s">
        <v>1476</v>
      </c>
      <c r="E2428" s="41" t="str">
        <f t="shared" si="1"/>
        <v>PROX4</v>
      </c>
    </row>
    <row r="2429" ht="15.75" customHeight="1">
      <c r="A2429" s="10" t="s">
        <v>1477</v>
      </c>
      <c r="B2429" s="10" t="s">
        <v>128</v>
      </c>
      <c r="C2429" s="41">
        <f t="array" ref="C2429">IF(IFERROR(INDEX(CATALOG_POINTS,MATCH(A2429,CATALOG_TASK,0)),"")="",IF(MAX(IF(IFERROR(FIND(CATALOG_BASE,A2429),0)=1,CATALOG_POINTS,0))=0,DAILY_POST_POINTS,MAX(IF(IFERROR(FIND(CATALOG_BASE,A2429),0)=1,CATALOG_POINTS,0))),IFERROR(INDEX(CATALOG_POINTS,MATCH(A2429,CATALOG_TASK,0)),""))</f>
        <v>1</v>
      </c>
      <c r="D2429" s="10" t="s">
        <v>1477</v>
      </c>
      <c r="E2429" s="41" t="str">
        <f t="shared" si="1"/>
        <v>PROX3</v>
      </c>
    </row>
    <row r="2430" ht="15.75" customHeight="1">
      <c r="A2430" s="10" t="s">
        <v>37</v>
      </c>
      <c r="B2430" s="10" t="s">
        <v>117</v>
      </c>
      <c r="C2430" s="41">
        <f t="array" ref="C2430">IF(IFERROR(INDEX(CATALOG_POINTS,MATCH(A2430,CATALOG_TASK,0)),"")="",IF(MAX(IF(IFERROR(FIND(CATALOG_BASE,A2430),0)=1,CATALOG_POINTS,0))=0,DAILY_POST_POINTS,MAX(IF(IFERROR(FIND(CATALOG_BASE,A2430),0)=1,CATALOG_POINTS,0))),IFERROR(INDEX(CATALOG_POINTS,MATCH(A2430,CATALOG_TASK,0)),""))</f>
        <v>2</v>
      </c>
      <c r="D2430" s="10" t="s">
        <v>1478</v>
      </c>
      <c r="E2430" s="41" t="str">
        <f t="shared" si="1"/>
        <v>PROX4</v>
      </c>
    </row>
    <row r="2431" ht="15.75" customHeight="1">
      <c r="A2431" s="10" t="s">
        <v>1478</v>
      </c>
      <c r="B2431" s="10" t="s">
        <v>135</v>
      </c>
      <c r="C2431" s="41">
        <f t="array" ref="C2431">IF(IFERROR(INDEX(CATALOG_POINTS,MATCH(A2431,CATALOG_TASK,0)),"")="",IF(MAX(IF(IFERROR(FIND(CATALOG_BASE,A2431),0)=1,CATALOG_POINTS,0))=0,DAILY_POST_POINTS,MAX(IF(IFERROR(FIND(CATALOG_BASE,A2431),0)=1,CATALOG_POINTS,0))),IFERROR(INDEX(CATALOG_POINTS,MATCH(A2431,CATALOG_TASK,0)),""))</f>
        <v>1</v>
      </c>
      <c r="D2431" s="10" t="s">
        <v>1478</v>
      </c>
      <c r="E2431" s="41" t="str">
        <f t="shared" si="1"/>
        <v>PROX4</v>
      </c>
    </row>
    <row r="2432" ht="15.75" customHeight="1">
      <c r="A2432" s="10" t="s">
        <v>1479</v>
      </c>
      <c r="B2432" s="10" t="s">
        <v>119</v>
      </c>
      <c r="C2432" s="41">
        <f t="array" ref="C2432">IF(IFERROR(INDEX(CATALOG_POINTS,MATCH(A2432,CATALOG_TASK,0)),"")="",IF(MAX(IF(IFERROR(FIND(CATALOG_BASE,A2432),0)=1,CATALOG_POINTS,0))=0,DAILY_POST_POINTS,MAX(IF(IFERROR(FIND(CATALOG_BASE,A2432),0)=1,CATALOG_POINTS,0))),IFERROR(INDEX(CATALOG_POINTS,MATCH(A2432,CATALOG_TASK,0)),""))</f>
        <v>1</v>
      </c>
      <c r="D2432" s="10" t="s">
        <v>1479</v>
      </c>
      <c r="E2432" s="41" t="str">
        <f t="shared" si="1"/>
        <v>PROX4</v>
      </c>
    </row>
    <row r="2433" ht="15.75" customHeight="1">
      <c r="A2433" s="10" t="s">
        <v>1480</v>
      </c>
      <c r="B2433" s="10" t="s">
        <v>122</v>
      </c>
      <c r="C2433" s="41">
        <f t="array" ref="C2433">IF(IFERROR(INDEX(CATALOG_POINTS,MATCH(A2433,CATALOG_TASK,0)),"")="",IF(MAX(IF(IFERROR(FIND(CATALOG_BASE,A2433),0)=1,CATALOG_POINTS,0))=0,DAILY_POST_POINTS,MAX(IF(IFERROR(FIND(CATALOG_BASE,A2433),0)=1,CATALOG_POINTS,0))),IFERROR(INDEX(CATALOG_POINTS,MATCH(A2433,CATALOG_TASK,0)),""))</f>
        <v>1</v>
      </c>
      <c r="D2433" s="10" t="s">
        <v>1480</v>
      </c>
      <c r="E2433" s="41" t="str">
        <f t="shared" si="1"/>
        <v>PROX4</v>
      </c>
    </row>
    <row r="2434" ht="15.75" customHeight="1">
      <c r="A2434" s="10" t="s">
        <v>1481</v>
      </c>
      <c r="B2434" s="10" t="s">
        <v>121</v>
      </c>
      <c r="C2434" s="41">
        <f t="array" ref="C2434">IF(IFERROR(INDEX(CATALOG_POINTS,MATCH(A2434,CATALOG_TASK,0)),"")="",IF(MAX(IF(IFERROR(FIND(CATALOG_BASE,A2434),0)=1,CATALOG_POINTS,0))=0,DAILY_POST_POINTS,MAX(IF(IFERROR(FIND(CATALOG_BASE,A2434),0)=1,CATALOG_POINTS,0))),IFERROR(INDEX(CATALOG_POINTS,MATCH(A2434,CATALOG_TASK,0)),""))</f>
        <v>1</v>
      </c>
      <c r="D2434" s="10" t="s">
        <v>1481</v>
      </c>
      <c r="E2434" s="41" t="str">
        <f t="shared" si="1"/>
        <v>PROX3</v>
      </c>
    </row>
    <row r="2435" ht="15.75" customHeight="1">
      <c r="A2435" s="10" t="s">
        <v>1482</v>
      </c>
      <c r="B2435" s="10" t="s">
        <v>137</v>
      </c>
      <c r="C2435" s="41">
        <f t="array" ref="C2435">IF(IFERROR(INDEX(CATALOG_POINTS,MATCH(A2435,CATALOG_TASK,0)),"")="",IF(MAX(IF(IFERROR(FIND(CATALOG_BASE,A2435),0)=1,CATALOG_POINTS,0))=0,DAILY_POST_POINTS,MAX(IF(IFERROR(FIND(CATALOG_BASE,A2435),0)=1,CATALOG_POINTS,0))),IFERROR(INDEX(CATALOG_POINTS,MATCH(A2435,CATALOG_TASK,0)),""))</f>
        <v>1</v>
      </c>
      <c r="D2435" s="10" t="s">
        <v>1482</v>
      </c>
      <c r="E2435" s="41" t="str">
        <f t="shared" si="1"/>
        <v>PROX3</v>
      </c>
    </row>
    <row r="2436" ht="15.75" customHeight="1">
      <c r="A2436" s="10" t="s">
        <v>37</v>
      </c>
      <c r="B2436" s="10" t="s">
        <v>127</v>
      </c>
      <c r="C2436" s="41">
        <f t="array" ref="C2436">IF(IFERROR(INDEX(CATALOG_POINTS,MATCH(A2436,CATALOG_TASK,0)),"")="",IF(MAX(IF(IFERROR(FIND(CATALOG_BASE,A2436),0)=1,CATALOG_POINTS,0))=0,DAILY_POST_POINTS,MAX(IF(IFERROR(FIND(CATALOG_BASE,A2436),0)=1,CATALOG_POINTS,0))),IFERROR(INDEX(CATALOG_POINTS,MATCH(A2436,CATALOG_TASK,0)),""))</f>
        <v>2</v>
      </c>
      <c r="D2436" s="10" t="s">
        <v>1482</v>
      </c>
      <c r="E2436" s="41" t="str">
        <f t="shared" si="1"/>
        <v>PROX3</v>
      </c>
    </row>
    <row r="2437" ht="15.75" customHeight="1">
      <c r="A2437" s="10" t="s">
        <v>37</v>
      </c>
      <c r="B2437" s="10" t="s">
        <v>123</v>
      </c>
      <c r="C2437" s="41">
        <f t="array" ref="C2437">IF(IFERROR(INDEX(CATALOG_POINTS,MATCH(A2437,CATALOG_TASK,0)),"")="",IF(MAX(IF(IFERROR(FIND(CATALOG_BASE,A2437),0)=1,CATALOG_POINTS,0))=0,DAILY_POST_POINTS,MAX(IF(IFERROR(FIND(CATALOG_BASE,A2437),0)=1,CATALOG_POINTS,0))),IFERROR(INDEX(CATALOG_POINTS,MATCH(A2437,CATALOG_TASK,0)),""))</f>
        <v>2</v>
      </c>
      <c r="D2437" s="10" t="s">
        <v>1482</v>
      </c>
      <c r="E2437" s="41" t="str">
        <f t="shared" si="1"/>
        <v>PROX3</v>
      </c>
    </row>
    <row r="2438" ht="15.75" customHeight="1">
      <c r="A2438" s="10" t="s">
        <v>37</v>
      </c>
      <c r="B2438" s="10" t="s">
        <v>125</v>
      </c>
      <c r="C2438" s="41">
        <f t="array" ref="C2438">IF(IFERROR(INDEX(CATALOG_POINTS,MATCH(A2438,CATALOG_TASK,0)),"")="",IF(MAX(IF(IFERROR(FIND(CATALOG_BASE,A2438),0)=1,CATALOG_POINTS,0))=0,DAILY_POST_POINTS,MAX(IF(IFERROR(FIND(CATALOG_BASE,A2438),0)=1,CATALOG_POINTS,0))),IFERROR(INDEX(CATALOG_POINTS,MATCH(A2438,CATALOG_TASK,0)),""))</f>
        <v>2</v>
      </c>
      <c r="D2438" s="10" t="s">
        <v>1483</v>
      </c>
      <c r="E2438" s="41" t="str">
        <f t="shared" si="1"/>
        <v>PROX4</v>
      </c>
    </row>
    <row r="2439" ht="15.75" customHeight="1">
      <c r="A2439" s="10" t="s">
        <v>37</v>
      </c>
      <c r="B2439" s="10" t="s">
        <v>124</v>
      </c>
      <c r="C2439" s="41">
        <f t="array" ref="C2439">IF(IFERROR(INDEX(CATALOG_POINTS,MATCH(A2439,CATALOG_TASK,0)),"")="",IF(MAX(IF(IFERROR(FIND(CATALOG_BASE,A2439),0)=1,CATALOG_POINTS,0))=0,DAILY_POST_POINTS,MAX(IF(IFERROR(FIND(CATALOG_BASE,A2439),0)=1,CATALOG_POINTS,0))),IFERROR(INDEX(CATALOG_POINTS,MATCH(A2439,CATALOG_TASK,0)),""))</f>
        <v>2</v>
      </c>
      <c r="D2439" s="10" t="s">
        <v>1483</v>
      </c>
      <c r="E2439" s="41" t="str">
        <f t="shared" si="1"/>
        <v>PROX4</v>
      </c>
    </row>
    <row r="2440" ht="15.75" customHeight="1">
      <c r="A2440" s="10" t="s">
        <v>37</v>
      </c>
      <c r="B2440" s="10" t="s">
        <v>124</v>
      </c>
      <c r="C2440" s="41">
        <f t="array" ref="C2440">IF(IFERROR(INDEX(CATALOG_POINTS,MATCH(A2440,CATALOG_TASK,0)),"")="",IF(MAX(IF(IFERROR(FIND(CATALOG_BASE,A2440),0)=1,CATALOG_POINTS,0))=0,DAILY_POST_POINTS,MAX(IF(IFERROR(FIND(CATALOG_BASE,A2440),0)=1,CATALOG_POINTS,0))),IFERROR(INDEX(CATALOG_POINTS,MATCH(A2440,CATALOG_TASK,0)),""))</f>
        <v>2</v>
      </c>
      <c r="D2440" s="10" t="s">
        <v>1483</v>
      </c>
      <c r="E2440" s="41" t="str">
        <f t="shared" si="1"/>
        <v>PROX4</v>
      </c>
    </row>
    <row r="2441" ht="15.75" customHeight="1">
      <c r="A2441" s="10" t="s">
        <v>1483</v>
      </c>
      <c r="B2441" s="10" t="s">
        <v>135</v>
      </c>
      <c r="C2441" s="41">
        <f t="array" ref="C2441">IF(IFERROR(INDEX(CATALOG_POINTS,MATCH(A2441,CATALOG_TASK,0)),"")="",IF(MAX(IF(IFERROR(FIND(CATALOG_BASE,A2441),0)=1,CATALOG_POINTS,0))=0,DAILY_POST_POINTS,MAX(IF(IFERROR(FIND(CATALOG_BASE,A2441),0)=1,CATALOG_POINTS,0))),IFERROR(INDEX(CATALOG_POINTS,MATCH(A2441,CATALOG_TASK,0)),""))</f>
        <v>1</v>
      </c>
      <c r="D2441" s="10" t="s">
        <v>1483</v>
      </c>
      <c r="E2441" s="41" t="str">
        <f t="shared" si="1"/>
        <v>PROX4</v>
      </c>
    </row>
    <row r="2442" ht="15.75" customHeight="1">
      <c r="A2442" s="10" t="s">
        <v>1484</v>
      </c>
      <c r="B2442" s="10" t="s">
        <v>129</v>
      </c>
      <c r="C2442" s="41">
        <f t="array" ref="C2442">IF(IFERROR(INDEX(CATALOG_POINTS,MATCH(A2442,CATALOG_TASK,0)),"")="",IF(MAX(IF(IFERROR(FIND(CATALOG_BASE,A2442),0)=1,CATALOG_POINTS,0))=0,DAILY_POST_POINTS,MAX(IF(IFERROR(FIND(CATALOG_BASE,A2442),0)=1,CATALOG_POINTS,0))),IFERROR(INDEX(CATALOG_POINTS,MATCH(A2442,CATALOG_TASK,0)),""))</f>
        <v>1</v>
      </c>
      <c r="D2442" s="10" t="s">
        <v>1484</v>
      </c>
      <c r="E2442" s="41" t="str">
        <f t="shared" si="1"/>
        <v>PROX3</v>
      </c>
    </row>
    <row r="2443" ht="15.75" customHeight="1">
      <c r="A2443" s="10" t="s">
        <v>1485</v>
      </c>
      <c r="B2443" s="10" t="s">
        <v>137</v>
      </c>
      <c r="C2443" s="41">
        <f t="array" ref="C2443">IF(IFERROR(INDEX(CATALOG_POINTS,MATCH(A2443,CATALOG_TASK,0)),"")="",IF(MAX(IF(IFERROR(FIND(CATALOG_BASE,A2443),0)=1,CATALOG_POINTS,0))=0,DAILY_POST_POINTS,MAX(IF(IFERROR(FIND(CATALOG_BASE,A2443),0)=1,CATALOG_POINTS,0))),IFERROR(INDEX(CATALOG_POINTS,MATCH(A2443,CATALOG_TASK,0)),""))</f>
        <v>1</v>
      </c>
      <c r="D2443" s="10" t="s">
        <v>1485</v>
      </c>
      <c r="E2443" s="41" t="str">
        <f t="shared" si="1"/>
        <v>PROX3</v>
      </c>
    </row>
    <row r="2444" ht="15.75" customHeight="1">
      <c r="A2444" s="10" t="s">
        <v>1486</v>
      </c>
      <c r="B2444" s="10" t="s">
        <v>122</v>
      </c>
      <c r="C2444" s="41">
        <f t="array" ref="C2444">IF(IFERROR(INDEX(CATALOG_POINTS,MATCH(A2444,CATALOG_TASK,0)),"")="",IF(MAX(IF(IFERROR(FIND(CATALOG_BASE,A2444),0)=1,CATALOG_POINTS,0))=0,DAILY_POST_POINTS,MAX(IF(IFERROR(FIND(CATALOG_BASE,A2444),0)=1,CATALOG_POINTS,0))),IFERROR(INDEX(CATALOG_POINTS,MATCH(A2444,CATALOG_TASK,0)),""))</f>
        <v>1</v>
      </c>
      <c r="D2444" s="10" t="s">
        <v>1486</v>
      </c>
      <c r="E2444" s="41" t="str">
        <f t="shared" si="1"/>
        <v>SE1</v>
      </c>
    </row>
    <row r="2445" ht="15.75" customHeight="1">
      <c r="A2445" s="10" t="s">
        <v>1487</v>
      </c>
      <c r="B2445" s="10" t="s">
        <v>117</v>
      </c>
      <c r="C2445" s="41">
        <f t="array" ref="C2445">IF(IFERROR(INDEX(CATALOG_POINTS,MATCH(A2445,CATALOG_TASK,0)),"")="",IF(MAX(IF(IFERROR(FIND(CATALOG_BASE,A2445),0)=1,CATALOG_POINTS,0))=0,DAILY_POST_POINTS,MAX(IF(IFERROR(FIND(CATALOG_BASE,A2445),0)=1,CATALOG_POINTS,0))),IFERROR(INDEX(CATALOG_POINTS,MATCH(A2445,CATALOG_TASK,0)),""))</f>
        <v>1</v>
      </c>
      <c r="D2445" s="10" t="s">
        <v>1487</v>
      </c>
      <c r="E2445" s="41" t="str">
        <f t="shared" si="1"/>
        <v>PROX3</v>
      </c>
    </row>
    <row r="2446" ht="15.75" customHeight="1">
      <c r="A2446" s="10" t="s">
        <v>1488</v>
      </c>
      <c r="B2446" s="10" t="s">
        <v>132</v>
      </c>
      <c r="C2446" s="41">
        <f t="array" ref="C2446">IF(IFERROR(INDEX(CATALOG_POINTS,MATCH(A2446,CATALOG_TASK,0)),"")="",IF(MAX(IF(IFERROR(FIND(CATALOG_BASE,A2446),0)=1,CATALOG_POINTS,0))=0,DAILY_POST_POINTS,MAX(IF(IFERROR(FIND(CATALOG_BASE,A2446),0)=1,CATALOG_POINTS,0))),IFERROR(INDEX(CATALOG_POINTS,MATCH(A2446,CATALOG_TASK,0)),""))</f>
        <v>1</v>
      </c>
      <c r="D2446" s="10" t="s">
        <v>1488</v>
      </c>
      <c r="E2446" s="41" t="str">
        <f t="shared" si="1"/>
        <v>SE1</v>
      </c>
    </row>
    <row r="2447" ht="15.75" customHeight="1">
      <c r="A2447" s="10" t="s">
        <v>37</v>
      </c>
      <c r="B2447" s="10" t="s">
        <v>127</v>
      </c>
      <c r="C2447" s="41">
        <f t="array" ref="C2447">IF(IFERROR(INDEX(CATALOG_POINTS,MATCH(A2447,CATALOG_TASK,0)),"")="",IF(MAX(IF(IFERROR(FIND(CATALOG_BASE,A2447),0)=1,CATALOG_POINTS,0))=0,DAILY_POST_POINTS,MAX(IF(IFERROR(FIND(CATALOG_BASE,A2447),0)=1,CATALOG_POINTS,0))),IFERROR(INDEX(CATALOG_POINTS,MATCH(A2447,CATALOG_TASK,0)),""))</f>
        <v>2</v>
      </c>
      <c r="D2447" s="10" t="s">
        <v>1489</v>
      </c>
      <c r="E2447" s="41" t="str">
        <f t="shared" si="1"/>
        <v>PROX3</v>
      </c>
    </row>
    <row r="2448" ht="15.75" customHeight="1">
      <c r="A2448" s="10" t="s">
        <v>1489</v>
      </c>
      <c r="B2448" s="10" t="s">
        <v>134</v>
      </c>
      <c r="C2448" s="41">
        <f t="array" ref="C2448">IF(IFERROR(INDEX(CATALOG_POINTS,MATCH(A2448,CATALOG_TASK,0)),"")="",IF(MAX(IF(IFERROR(FIND(CATALOG_BASE,A2448),0)=1,CATALOG_POINTS,0))=0,DAILY_POST_POINTS,MAX(IF(IFERROR(FIND(CATALOG_BASE,A2448),0)=1,CATALOG_POINTS,0))),IFERROR(INDEX(CATALOG_POINTS,MATCH(A2448,CATALOG_TASK,0)),""))</f>
        <v>1</v>
      </c>
      <c r="D2448" s="10" t="s">
        <v>1489</v>
      </c>
      <c r="E2448" s="41" t="str">
        <f t="shared" si="1"/>
        <v>PROX3</v>
      </c>
    </row>
    <row r="2449" ht="15.75" customHeight="1">
      <c r="A2449" s="10" t="s">
        <v>37</v>
      </c>
      <c r="B2449" s="10" t="s">
        <v>122</v>
      </c>
      <c r="C2449" s="41">
        <f t="array" ref="C2449">IF(IFERROR(INDEX(CATALOG_POINTS,MATCH(A2449,CATALOG_TASK,0)),"")="",IF(MAX(IF(IFERROR(FIND(CATALOG_BASE,A2449),0)=1,CATALOG_POINTS,0))=0,DAILY_POST_POINTS,MAX(IF(IFERROR(FIND(CATALOG_BASE,A2449),0)=1,CATALOG_POINTS,0))),IFERROR(INDEX(CATALOG_POINTS,MATCH(A2449,CATALOG_TASK,0)),""))</f>
        <v>2</v>
      </c>
      <c r="D2449" s="10" t="s">
        <v>1490</v>
      </c>
      <c r="E2449" s="41" t="str">
        <f t="shared" si="1"/>
        <v>PROX3</v>
      </c>
    </row>
    <row r="2450" ht="15.75" customHeight="1">
      <c r="A2450" s="10" t="s">
        <v>37</v>
      </c>
      <c r="B2450" s="10" t="s">
        <v>124</v>
      </c>
      <c r="C2450" s="41">
        <f t="array" ref="C2450">IF(IFERROR(INDEX(CATALOG_POINTS,MATCH(A2450,CATALOG_TASK,0)),"")="",IF(MAX(IF(IFERROR(FIND(CATALOG_BASE,A2450),0)=1,CATALOG_POINTS,0))=0,DAILY_POST_POINTS,MAX(IF(IFERROR(FIND(CATALOG_BASE,A2450),0)=1,CATALOG_POINTS,0))),IFERROR(INDEX(CATALOG_POINTS,MATCH(A2450,CATALOG_TASK,0)),""))</f>
        <v>2</v>
      </c>
      <c r="D2450" s="10" t="s">
        <v>1490</v>
      </c>
      <c r="E2450" s="41" t="str">
        <f t="shared" si="1"/>
        <v>PROX3</v>
      </c>
    </row>
    <row r="2451" ht="15.75" customHeight="1">
      <c r="A2451" s="10" t="s">
        <v>1490</v>
      </c>
      <c r="B2451" s="10" t="s">
        <v>137</v>
      </c>
      <c r="C2451" s="41">
        <f t="array" ref="C2451">IF(IFERROR(INDEX(CATALOG_POINTS,MATCH(A2451,CATALOG_TASK,0)),"")="",IF(MAX(IF(IFERROR(FIND(CATALOG_BASE,A2451),0)=1,CATALOG_POINTS,0))=0,DAILY_POST_POINTS,MAX(IF(IFERROR(FIND(CATALOG_BASE,A2451),0)=1,CATALOG_POINTS,0))),IFERROR(INDEX(CATALOG_POINTS,MATCH(A2451,CATALOG_TASK,0)),""))</f>
        <v>1</v>
      </c>
      <c r="D2451" s="10" t="s">
        <v>1490</v>
      </c>
      <c r="E2451" s="41" t="str">
        <f t="shared" si="1"/>
        <v>PROX3</v>
      </c>
    </row>
    <row r="2452" ht="15.75" customHeight="1">
      <c r="A2452" s="10" t="s">
        <v>37</v>
      </c>
      <c r="B2452" s="10" t="s">
        <v>125</v>
      </c>
      <c r="C2452" s="41">
        <f t="array" ref="C2452">IF(IFERROR(INDEX(CATALOG_POINTS,MATCH(A2452,CATALOG_TASK,0)),"")="",IF(MAX(IF(IFERROR(FIND(CATALOG_BASE,A2452),0)=1,CATALOG_POINTS,0))=0,DAILY_POST_POINTS,MAX(IF(IFERROR(FIND(CATALOG_BASE,A2452),0)=1,CATALOG_POINTS,0))),IFERROR(INDEX(CATALOG_POINTS,MATCH(A2452,CATALOG_TASK,0)),""))</f>
        <v>2</v>
      </c>
      <c r="D2452" s="10" t="s">
        <v>1490</v>
      </c>
      <c r="E2452" s="41" t="str">
        <f t="shared" si="1"/>
        <v>PROX3</v>
      </c>
    </row>
    <row r="2453" ht="15.75" customHeight="1">
      <c r="A2453" s="10" t="s">
        <v>37</v>
      </c>
      <c r="B2453" s="10" t="s">
        <v>128</v>
      </c>
      <c r="C2453" s="41">
        <f t="array" ref="C2453">IF(IFERROR(INDEX(CATALOG_POINTS,MATCH(A2453,CATALOG_TASK,0)),"")="",IF(MAX(IF(IFERROR(FIND(CATALOG_BASE,A2453),0)=1,CATALOG_POINTS,0))=0,DAILY_POST_POINTS,MAX(IF(IFERROR(FIND(CATALOG_BASE,A2453),0)=1,CATALOG_POINTS,0))),IFERROR(INDEX(CATALOG_POINTS,MATCH(A2453,CATALOG_TASK,0)),""))</f>
        <v>2</v>
      </c>
      <c r="D2453" s="10" t="s">
        <v>1490</v>
      </c>
      <c r="E2453" s="41" t="str">
        <f t="shared" si="1"/>
        <v>PROX3</v>
      </c>
    </row>
    <row r="2454" ht="15.75" customHeight="1">
      <c r="A2454" s="10" t="s">
        <v>1491</v>
      </c>
      <c r="B2454" s="10" t="s">
        <v>126</v>
      </c>
      <c r="C2454" s="41">
        <f t="array" ref="C2454">IF(IFERROR(INDEX(CATALOG_POINTS,MATCH(A2454,CATALOG_TASK,0)),"")="",IF(MAX(IF(IFERROR(FIND(CATALOG_BASE,A2454),0)=1,CATALOG_POINTS,0))=0,DAILY_POST_POINTS,MAX(IF(IFERROR(FIND(CATALOG_BASE,A2454),0)=1,CATALOG_POINTS,0))),IFERROR(INDEX(CATALOG_POINTS,MATCH(A2454,CATALOG_TASK,0)),""))</f>
        <v>1</v>
      </c>
      <c r="D2454" s="10" t="s">
        <v>1491</v>
      </c>
      <c r="E2454" s="41" t="str">
        <f t="shared" si="1"/>
        <v>PROX3</v>
      </c>
    </row>
    <row r="2455" ht="15.75" customHeight="1">
      <c r="A2455" s="10" t="s">
        <v>37</v>
      </c>
      <c r="B2455" s="10" t="s">
        <v>124</v>
      </c>
      <c r="C2455" s="41">
        <f t="array" ref="C2455">IF(IFERROR(INDEX(CATALOG_POINTS,MATCH(A2455,CATALOG_TASK,0)),"")="",IF(MAX(IF(IFERROR(FIND(CATALOG_BASE,A2455),0)=1,CATALOG_POINTS,0))=0,DAILY_POST_POINTS,MAX(IF(IFERROR(FIND(CATALOG_BASE,A2455),0)=1,CATALOG_POINTS,0))),IFERROR(INDEX(CATALOG_POINTS,MATCH(A2455,CATALOG_TASK,0)),""))</f>
        <v>2</v>
      </c>
      <c r="D2455" s="10" t="s">
        <v>1491</v>
      </c>
      <c r="E2455" s="41" t="str">
        <f t="shared" si="1"/>
        <v>PROX3</v>
      </c>
    </row>
    <row r="2456" ht="15.75" customHeight="1">
      <c r="A2456" s="10" t="s">
        <v>1492</v>
      </c>
      <c r="B2456" s="10" t="s">
        <v>126</v>
      </c>
      <c r="C2456" s="41">
        <f t="array" ref="C2456">IF(IFERROR(INDEX(CATALOG_POINTS,MATCH(A2456,CATALOG_TASK,0)),"")="",IF(MAX(IF(IFERROR(FIND(CATALOG_BASE,A2456),0)=1,CATALOG_POINTS,0))=0,DAILY_POST_POINTS,MAX(IF(IFERROR(FIND(CATALOG_BASE,A2456),0)=1,CATALOG_POINTS,0))),IFERROR(INDEX(CATALOG_POINTS,MATCH(A2456,CATALOG_TASK,0)),""))</f>
        <v>1</v>
      </c>
      <c r="D2456" s="10" t="s">
        <v>1492</v>
      </c>
      <c r="E2456" s="41" t="str">
        <f t="shared" si="1"/>
        <v>PROX3</v>
      </c>
    </row>
    <row r="2457" ht="15.75" customHeight="1">
      <c r="A2457" s="10" t="s">
        <v>1493</v>
      </c>
      <c r="B2457" s="10" t="s">
        <v>137</v>
      </c>
      <c r="C2457" s="41">
        <f t="array" ref="C2457">IF(IFERROR(INDEX(CATALOG_POINTS,MATCH(A2457,CATALOG_TASK,0)),"")="",IF(MAX(IF(IFERROR(FIND(CATALOG_BASE,A2457),0)=1,CATALOG_POINTS,0))=0,DAILY_POST_POINTS,MAX(IF(IFERROR(FIND(CATALOG_BASE,A2457),0)=1,CATALOG_POINTS,0))),IFERROR(INDEX(CATALOG_POINTS,MATCH(A2457,CATALOG_TASK,0)),""))</f>
        <v>1</v>
      </c>
      <c r="D2457" s="10" t="s">
        <v>1493</v>
      </c>
      <c r="E2457" s="41" t="str">
        <f t="shared" si="1"/>
        <v>PROX3</v>
      </c>
    </row>
    <row r="2458" ht="15.75" customHeight="1">
      <c r="A2458" s="10" t="s">
        <v>1494</v>
      </c>
      <c r="B2458" s="10" t="s">
        <v>131</v>
      </c>
      <c r="C2458" s="41">
        <f t="array" ref="C2458">IF(IFERROR(INDEX(CATALOG_POINTS,MATCH(A2458,CATALOG_TASK,0)),"")="",IF(MAX(IF(IFERROR(FIND(CATALOG_BASE,A2458),0)=1,CATALOG_POINTS,0))=0,DAILY_POST_POINTS,MAX(IF(IFERROR(FIND(CATALOG_BASE,A2458),0)=1,CATALOG_POINTS,0))),IFERROR(INDEX(CATALOG_POINTS,MATCH(A2458,CATALOG_TASK,0)),""))</f>
        <v>1</v>
      </c>
      <c r="D2458" s="10" t="s">
        <v>1494</v>
      </c>
      <c r="E2458" s="41" t="str">
        <f t="shared" si="1"/>
        <v>PROX3</v>
      </c>
    </row>
    <row r="2459" ht="15.75" customHeight="1">
      <c r="A2459" s="10" t="s">
        <v>174</v>
      </c>
      <c r="B2459" s="10" t="s">
        <v>125</v>
      </c>
      <c r="C2459" s="41">
        <f t="array" ref="C2459">IF(IFERROR(INDEX(CATALOG_POINTS,MATCH(A2459,CATALOG_TASK,0)),"")="",IF(MAX(IF(IFERROR(FIND(CATALOG_BASE,A2459),0)=1,CATALOG_POINTS,0))=0,DAILY_POST_POINTS,MAX(IF(IFERROR(FIND(CATALOG_BASE,A2459),0)=1,CATALOG_POINTS,0))),IFERROR(INDEX(CATALOG_POINTS,MATCH(A2459,CATALOG_TASK,0)),""))</f>
        <v>1</v>
      </c>
      <c r="D2459" s="10" t="s">
        <v>1495</v>
      </c>
      <c r="E2459" s="41" t="str">
        <f t="shared" si="1"/>
        <v>PROX4</v>
      </c>
    </row>
    <row r="2460" ht="15.75" customHeight="1">
      <c r="A2460" s="10" t="s">
        <v>174</v>
      </c>
      <c r="B2460" s="10" t="s">
        <v>126</v>
      </c>
      <c r="C2460" s="41">
        <f t="array" ref="C2460">IF(IFERROR(INDEX(CATALOG_POINTS,MATCH(A2460,CATALOG_TASK,0)),"")="",IF(MAX(IF(IFERROR(FIND(CATALOG_BASE,A2460),0)=1,CATALOG_POINTS,0))=0,DAILY_POST_POINTS,MAX(IF(IFERROR(FIND(CATALOG_BASE,A2460),0)=1,CATALOG_POINTS,0))),IFERROR(INDEX(CATALOG_POINTS,MATCH(A2460,CATALOG_TASK,0)),""))</f>
        <v>1</v>
      </c>
      <c r="D2460" s="10" t="s">
        <v>1495</v>
      </c>
      <c r="E2460" s="41" t="str">
        <f t="shared" si="1"/>
        <v>PROX4</v>
      </c>
    </row>
    <row r="2461" ht="15.75" customHeight="1">
      <c r="A2461" s="10" t="s">
        <v>180</v>
      </c>
      <c r="B2461" s="10" t="s">
        <v>138</v>
      </c>
      <c r="C2461" s="41">
        <f t="array" ref="C2461">IF(IFERROR(INDEX(CATALOG_POINTS,MATCH(A2461,CATALOG_TASK,0)),"")="",IF(MAX(IF(IFERROR(FIND(CATALOG_BASE,A2461),0)=1,CATALOG_POINTS,0))=0,DAILY_POST_POINTS,MAX(IF(IFERROR(FIND(CATALOG_BASE,A2461),0)=1,CATALOG_POINTS,0))),IFERROR(INDEX(CATALOG_POINTS,MATCH(A2461,CATALOG_TASK,0)),""))</f>
        <v>1</v>
      </c>
      <c r="D2461" s="10" t="s">
        <v>1495</v>
      </c>
      <c r="E2461" s="41" t="str">
        <f t="shared" si="1"/>
        <v>PROX4</v>
      </c>
    </row>
    <row r="2462" ht="15.75" customHeight="1">
      <c r="A2462" s="10" t="s">
        <v>1496</v>
      </c>
      <c r="B2462" s="10" t="s">
        <v>122</v>
      </c>
      <c r="C2462" s="41">
        <f t="array" ref="C2462">IF(IFERROR(INDEX(CATALOG_POINTS,MATCH(A2462,CATALOG_TASK,0)),"")="",IF(MAX(IF(IFERROR(FIND(CATALOG_BASE,A2462),0)=1,CATALOG_POINTS,0))=0,DAILY_POST_POINTS,MAX(IF(IFERROR(FIND(CATALOG_BASE,A2462),0)=1,CATALOG_POINTS,0))),IFERROR(INDEX(CATALOG_POINTS,MATCH(A2462,CATALOG_TASK,0)),""))</f>
        <v>1</v>
      </c>
      <c r="D2462" s="10" t="s">
        <v>1497</v>
      </c>
      <c r="E2462" s="41" t="str">
        <f t="shared" si="1"/>
        <v>PROX4</v>
      </c>
    </row>
    <row r="2463" ht="15.75" customHeight="1">
      <c r="A2463" s="10" t="s">
        <v>1498</v>
      </c>
      <c r="B2463" s="10" t="s">
        <v>126</v>
      </c>
      <c r="C2463" s="41">
        <f t="array" ref="C2463">IF(IFERROR(INDEX(CATALOG_POINTS,MATCH(A2463,CATALOG_TASK,0)),"")="",IF(MAX(IF(IFERROR(FIND(CATALOG_BASE,A2463),0)=1,CATALOG_POINTS,0))=0,DAILY_POST_POINTS,MAX(IF(IFERROR(FIND(CATALOG_BASE,A2463),0)=1,CATALOG_POINTS,0))),IFERROR(INDEX(CATALOG_POINTS,MATCH(A2463,CATALOG_TASK,0)),""))</f>
        <v>1</v>
      </c>
      <c r="D2463" s="10" t="s">
        <v>1497</v>
      </c>
      <c r="E2463" s="41" t="str">
        <f t="shared" si="1"/>
        <v>PROX4</v>
      </c>
    </row>
    <row r="2464" ht="15.75" customHeight="1">
      <c r="A2464" s="10" t="s">
        <v>1497</v>
      </c>
      <c r="B2464" s="10" t="s">
        <v>119</v>
      </c>
      <c r="C2464" s="41">
        <f t="array" ref="C2464">IF(IFERROR(INDEX(CATALOG_POINTS,MATCH(A2464,CATALOG_TASK,0)),"")="",IF(MAX(IF(IFERROR(FIND(CATALOG_BASE,A2464),0)=1,CATALOG_POINTS,0))=0,DAILY_POST_POINTS,MAX(IF(IFERROR(FIND(CATALOG_BASE,A2464),0)=1,CATALOG_POINTS,0))),IFERROR(INDEX(CATALOG_POINTS,MATCH(A2464,CATALOG_TASK,0)),""))</f>
        <v>1</v>
      </c>
      <c r="D2464" s="10" t="s">
        <v>1497</v>
      </c>
      <c r="E2464" s="41" t="str">
        <f t="shared" si="1"/>
        <v>PROX4</v>
      </c>
    </row>
    <row r="2465" ht="15.75" customHeight="1">
      <c r="A2465" s="10" t="s">
        <v>1499</v>
      </c>
      <c r="B2465" s="10" t="s">
        <v>123</v>
      </c>
      <c r="C2465" s="41">
        <f t="array" ref="C2465">IF(IFERROR(INDEX(CATALOG_POINTS,MATCH(A2465,CATALOG_TASK,0)),"")="",IF(MAX(IF(IFERROR(FIND(CATALOG_BASE,A2465),0)=1,CATALOG_POINTS,0))=0,DAILY_POST_POINTS,MAX(IF(IFERROR(FIND(CATALOG_BASE,A2465),0)=1,CATALOG_POINTS,0))),IFERROR(INDEX(CATALOG_POINTS,MATCH(A2465,CATALOG_TASK,0)),""))</f>
        <v>1</v>
      </c>
      <c r="D2465" s="10" t="s">
        <v>1497</v>
      </c>
      <c r="E2465" s="41" t="str">
        <f t="shared" si="1"/>
        <v>PROX4</v>
      </c>
    </row>
    <row r="2466" ht="15.75" customHeight="1">
      <c r="A2466" s="10" t="s">
        <v>37</v>
      </c>
      <c r="B2466" s="10" t="s">
        <v>122</v>
      </c>
      <c r="C2466" s="41">
        <f t="array" ref="C2466">IF(IFERROR(INDEX(CATALOG_POINTS,MATCH(A2466,CATALOG_TASK,0)),"")="",IF(MAX(IF(IFERROR(FIND(CATALOG_BASE,A2466),0)=1,CATALOG_POINTS,0))=0,DAILY_POST_POINTS,MAX(IF(IFERROR(FIND(CATALOG_BASE,A2466),0)=1,CATALOG_POINTS,0))),IFERROR(INDEX(CATALOG_POINTS,MATCH(A2466,CATALOG_TASK,0)),""))</f>
        <v>2</v>
      </c>
      <c r="D2466" s="10" t="s">
        <v>1500</v>
      </c>
      <c r="E2466" s="41" t="str">
        <f t="shared" si="1"/>
        <v>PROX4</v>
      </c>
    </row>
    <row r="2467" ht="15.75" customHeight="1">
      <c r="A2467" s="10" t="s">
        <v>168</v>
      </c>
      <c r="B2467" s="10" t="s">
        <v>122</v>
      </c>
      <c r="C2467" s="41">
        <f t="array" ref="C2467">IF(IFERROR(INDEX(CATALOG_POINTS,MATCH(A2467,CATALOG_TASK,0)),"")="",IF(MAX(IF(IFERROR(FIND(CATALOG_BASE,A2467),0)=1,CATALOG_POINTS,0))=0,DAILY_POST_POINTS,MAX(IF(IFERROR(FIND(CATALOG_BASE,A2467),0)=1,CATALOG_POINTS,0))),IFERROR(INDEX(CATALOG_POINTS,MATCH(A2467,CATALOG_TASK,0)),""))</f>
        <v>1</v>
      </c>
      <c r="D2467" s="10" t="s">
        <v>1500</v>
      </c>
      <c r="E2467" s="41" t="str">
        <f t="shared" si="1"/>
        <v>PROX4</v>
      </c>
    </row>
    <row r="2468" ht="15.75" customHeight="1">
      <c r="A2468" s="10" t="s">
        <v>55</v>
      </c>
      <c r="B2468" s="10" t="s">
        <v>141</v>
      </c>
      <c r="C2468" s="41">
        <f t="array" ref="C2468">IF(IFERROR(INDEX(CATALOG_POINTS,MATCH(A2468,CATALOG_TASK,0)),"")="",IF(MAX(IF(IFERROR(FIND(CATALOG_BASE,A2468),0)=1,CATALOG_POINTS,0))=0,DAILY_POST_POINTS,MAX(IF(IFERROR(FIND(CATALOG_BASE,A2468),0)=1,CATALOG_POINTS,0))),IFERROR(INDEX(CATALOG_POINTS,MATCH(A2468,CATALOG_TASK,0)),""))</f>
        <v>8</v>
      </c>
      <c r="D2468" s="10" t="s">
        <v>1500</v>
      </c>
      <c r="E2468" s="41" t="str">
        <f t="shared" si="1"/>
        <v>PROX4</v>
      </c>
    </row>
    <row r="2469" ht="15.75" customHeight="1">
      <c r="A2469" s="10" t="s">
        <v>37</v>
      </c>
      <c r="B2469" s="10" t="s">
        <v>122</v>
      </c>
      <c r="C2469" s="41">
        <f t="array" ref="C2469">IF(IFERROR(INDEX(CATALOG_POINTS,MATCH(A2469,CATALOG_TASK,0)),"")="",IF(MAX(IF(IFERROR(FIND(CATALOG_BASE,A2469),0)=1,CATALOG_POINTS,0))=0,DAILY_POST_POINTS,MAX(IF(IFERROR(FIND(CATALOG_BASE,A2469),0)=1,CATALOG_POINTS,0))),IFERROR(INDEX(CATALOG_POINTS,MATCH(A2469,CATALOG_TASK,0)),""))</f>
        <v>2</v>
      </c>
      <c r="D2469" s="10" t="s">
        <v>1500</v>
      </c>
      <c r="E2469" s="41" t="str">
        <f t="shared" si="1"/>
        <v>PROX4</v>
      </c>
    </row>
    <row r="2470" ht="15.75" customHeight="1">
      <c r="A2470" s="10" t="s">
        <v>1500</v>
      </c>
      <c r="B2470" s="10" t="s">
        <v>120</v>
      </c>
      <c r="C2470" s="41">
        <f t="array" ref="C2470">IF(IFERROR(INDEX(CATALOG_POINTS,MATCH(A2470,CATALOG_TASK,0)),"")="",IF(MAX(IF(IFERROR(FIND(CATALOG_BASE,A2470),0)=1,CATALOG_POINTS,0))=0,DAILY_POST_POINTS,MAX(IF(IFERROR(FIND(CATALOG_BASE,A2470),0)=1,CATALOG_POINTS,0))),IFERROR(INDEX(CATALOG_POINTS,MATCH(A2470,CATALOG_TASK,0)),""))</f>
        <v>1</v>
      </c>
      <c r="D2470" s="10" t="s">
        <v>1500</v>
      </c>
      <c r="E2470" s="41" t="str">
        <f t="shared" si="1"/>
        <v>PROX4</v>
      </c>
    </row>
    <row r="2471" ht="15.75" customHeight="1">
      <c r="A2471" s="10" t="s">
        <v>24</v>
      </c>
      <c r="B2471" s="10" t="s">
        <v>121</v>
      </c>
      <c r="C2471" s="41">
        <f t="array" ref="C2471">IF(IFERROR(INDEX(CATALOG_POINTS,MATCH(A2471,CATALOG_TASK,0)),"")="",IF(MAX(IF(IFERROR(FIND(CATALOG_BASE,A2471),0)=1,CATALOG_POINTS,0))=0,DAILY_POST_POINTS,MAX(IF(IFERROR(FIND(CATALOG_BASE,A2471),0)=1,CATALOG_POINTS,0))),IFERROR(INDEX(CATALOG_POINTS,MATCH(A2471,CATALOG_TASK,0)),""))</f>
        <v>2</v>
      </c>
      <c r="D2471" s="10" t="s">
        <v>1501</v>
      </c>
      <c r="E2471" s="41" t="str">
        <f t="shared" si="1"/>
        <v>PROX3</v>
      </c>
    </row>
    <row r="2472" ht="15.75" customHeight="1">
      <c r="A2472" s="10" t="s">
        <v>1502</v>
      </c>
      <c r="B2472" s="10" t="s">
        <v>121</v>
      </c>
      <c r="C2472" s="41">
        <f t="array" ref="C2472">IF(IFERROR(INDEX(CATALOG_POINTS,MATCH(A2472,CATALOG_TASK,0)),"")="",IF(MAX(IF(IFERROR(FIND(CATALOG_BASE,A2472),0)=1,CATALOG_POINTS,0))=0,DAILY_POST_POINTS,MAX(IF(IFERROR(FIND(CATALOG_BASE,A2472),0)=1,CATALOG_POINTS,0))),IFERROR(INDEX(CATALOG_POINTS,MATCH(A2472,CATALOG_TASK,0)),""))</f>
        <v>1</v>
      </c>
      <c r="D2472" s="10" t="s">
        <v>1502</v>
      </c>
      <c r="E2472" s="41" t="str">
        <f t="shared" si="1"/>
        <v>PROX3</v>
      </c>
    </row>
    <row r="2473" ht="15.75" customHeight="1">
      <c r="A2473" s="10" t="s">
        <v>1503</v>
      </c>
      <c r="B2473" s="10" t="s">
        <v>133</v>
      </c>
      <c r="C2473" s="41">
        <f t="array" ref="C2473">IF(IFERROR(INDEX(CATALOG_POINTS,MATCH(A2473,CATALOG_TASK,0)),"")="",IF(MAX(IF(IFERROR(FIND(CATALOG_BASE,A2473),0)=1,CATALOG_POINTS,0))=0,DAILY_POST_POINTS,MAX(IF(IFERROR(FIND(CATALOG_BASE,A2473),0)=1,CATALOG_POINTS,0))),IFERROR(INDEX(CATALOG_POINTS,MATCH(A2473,CATALOG_TASK,0)),""))</f>
        <v>1</v>
      </c>
      <c r="D2473" s="10" t="s">
        <v>1503</v>
      </c>
      <c r="E2473" s="41" t="str">
        <f t="shared" si="1"/>
        <v>PROX3</v>
      </c>
    </row>
    <row r="2474" ht="15.75" customHeight="1">
      <c r="A2474" s="10" t="s">
        <v>1504</v>
      </c>
      <c r="B2474" s="10" t="s">
        <v>129</v>
      </c>
      <c r="C2474" s="41">
        <f t="array" ref="C2474">IF(IFERROR(INDEX(CATALOG_POINTS,MATCH(A2474,CATALOG_TASK,0)),"")="",IF(MAX(IF(IFERROR(FIND(CATALOG_BASE,A2474),0)=1,CATALOG_POINTS,0))=0,DAILY_POST_POINTS,MAX(IF(IFERROR(FIND(CATALOG_BASE,A2474),0)=1,CATALOG_POINTS,0))),IFERROR(INDEX(CATALOG_POINTS,MATCH(A2474,CATALOG_TASK,0)),""))</f>
        <v>1</v>
      </c>
      <c r="D2474" s="10" t="s">
        <v>1504</v>
      </c>
      <c r="E2474" s="41" t="str">
        <f t="shared" si="1"/>
        <v/>
      </c>
    </row>
    <row r="2475" ht="15.75" customHeight="1">
      <c r="A2475" s="10" t="s">
        <v>1505</v>
      </c>
      <c r="B2475" s="10" t="s">
        <v>124</v>
      </c>
      <c r="C2475" s="41">
        <f t="array" ref="C2475">IF(IFERROR(INDEX(CATALOG_POINTS,MATCH(A2475,CATALOG_TASK,0)),"")="",IF(MAX(IF(IFERROR(FIND(CATALOG_BASE,A2475),0)=1,CATALOG_POINTS,0))=0,DAILY_POST_POINTS,MAX(IF(IFERROR(FIND(CATALOG_BASE,A2475),0)=1,CATALOG_POINTS,0))),IFERROR(INDEX(CATALOG_POINTS,MATCH(A2475,CATALOG_TASK,0)),""))</f>
        <v>1</v>
      </c>
      <c r="D2475" s="10" t="s">
        <v>1505</v>
      </c>
      <c r="E2475" s="41" t="str">
        <f t="shared" si="1"/>
        <v>PROX3</v>
      </c>
    </row>
    <row r="2476" ht="15.75" customHeight="1">
      <c r="A2476" s="10" t="s">
        <v>1506</v>
      </c>
      <c r="B2476" s="10" t="s">
        <v>128</v>
      </c>
      <c r="C2476" s="41">
        <f t="array" ref="C2476">IF(IFERROR(INDEX(CATALOG_POINTS,MATCH(A2476,CATALOG_TASK,0)),"")="",IF(MAX(IF(IFERROR(FIND(CATALOG_BASE,A2476),0)=1,CATALOG_POINTS,0))=0,DAILY_POST_POINTS,MAX(IF(IFERROR(FIND(CATALOG_BASE,A2476),0)=1,CATALOG_POINTS,0))),IFERROR(INDEX(CATALOG_POINTS,MATCH(A2476,CATALOG_TASK,0)),""))</f>
        <v>1</v>
      </c>
      <c r="D2476" s="10" t="s">
        <v>1506</v>
      </c>
      <c r="E2476" s="41" t="str">
        <f t="shared" si="1"/>
        <v>PROX3</v>
      </c>
    </row>
    <row r="2477" ht="15.75" customHeight="1">
      <c r="A2477" s="10" t="s">
        <v>1507</v>
      </c>
      <c r="B2477" s="10" t="s">
        <v>134</v>
      </c>
      <c r="C2477" s="41">
        <f t="array" ref="C2477">IF(IFERROR(INDEX(CATALOG_POINTS,MATCH(A2477,CATALOG_TASK,0)),"")="",IF(MAX(IF(IFERROR(FIND(CATALOG_BASE,A2477),0)=1,CATALOG_POINTS,0))=0,DAILY_POST_POINTS,MAX(IF(IFERROR(FIND(CATALOG_BASE,A2477),0)=1,CATALOG_POINTS,0))),IFERROR(INDEX(CATALOG_POINTS,MATCH(A2477,CATALOG_TASK,0)),""))</f>
        <v>1</v>
      </c>
      <c r="D2477" s="10" t="s">
        <v>1507</v>
      </c>
      <c r="E2477" s="41" t="str">
        <f t="shared" si="1"/>
        <v>PROX4</v>
      </c>
    </row>
    <row r="2478" ht="15.75" customHeight="1">
      <c r="A2478" s="10" t="s">
        <v>37</v>
      </c>
      <c r="B2478" s="10" t="s">
        <v>122</v>
      </c>
      <c r="C2478" s="41">
        <f t="array" ref="C2478">IF(IFERROR(INDEX(CATALOG_POINTS,MATCH(A2478,CATALOG_TASK,0)),"")="",IF(MAX(IF(IFERROR(FIND(CATALOG_BASE,A2478),0)=1,CATALOG_POINTS,0))=0,DAILY_POST_POINTS,MAX(IF(IFERROR(FIND(CATALOG_BASE,A2478),0)=1,CATALOG_POINTS,0))),IFERROR(INDEX(CATALOG_POINTS,MATCH(A2478,CATALOG_TASK,0)),""))</f>
        <v>2</v>
      </c>
      <c r="D2478" s="10" t="s">
        <v>1508</v>
      </c>
      <c r="E2478" s="41" t="str">
        <f t="shared" si="1"/>
        <v/>
      </c>
    </row>
    <row r="2479" ht="15.75" customHeight="1">
      <c r="A2479" s="10" t="s">
        <v>1508</v>
      </c>
      <c r="B2479" s="10" t="s">
        <v>122</v>
      </c>
      <c r="C2479" s="41">
        <f t="array" ref="C2479">IF(IFERROR(INDEX(CATALOG_POINTS,MATCH(A2479,CATALOG_TASK,0)),"")="",IF(MAX(IF(IFERROR(FIND(CATALOG_BASE,A2479),0)=1,CATALOG_POINTS,0))=0,DAILY_POST_POINTS,MAX(IF(IFERROR(FIND(CATALOG_BASE,A2479),0)=1,CATALOG_POINTS,0))),IFERROR(INDEX(CATALOG_POINTS,MATCH(A2479,CATALOG_TASK,0)),""))</f>
        <v>1</v>
      </c>
      <c r="D2479" s="10" t="s">
        <v>1508</v>
      </c>
      <c r="E2479" s="41" t="str">
        <f t="shared" si="1"/>
        <v/>
      </c>
    </row>
    <row r="2480" ht="15.75" customHeight="1">
      <c r="A2480" s="10" t="s">
        <v>55</v>
      </c>
      <c r="B2480" s="10" t="s">
        <v>141</v>
      </c>
      <c r="C2480" s="41">
        <f t="array" ref="C2480">IF(IFERROR(INDEX(CATALOG_POINTS,MATCH(A2480,CATALOG_TASK,0)),"")="",IF(MAX(IF(IFERROR(FIND(CATALOG_BASE,A2480),0)=1,CATALOG_POINTS,0))=0,DAILY_POST_POINTS,MAX(IF(IFERROR(FIND(CATALOG_BASE,A2480),0)=1,CATALOG_POINTS,0))),IFERROR(INDEX(CATALOG_POINTS,MATCH(A2480,CATALOG_TASK,0)),""))</f>
        <v>8</v>
      </c>
      <c r="D2480" s="10" t="s">
        <v>1509</v>
      </c>
      <c r="E2480" s="41" t="str">
        <f t="shared" si="1"/>
        <v/>
      </c>
    </row>
    <row r="2481" ht="15.75" customHeight="1">
      <c r="A2481" s="10" t="s">
        <v>1509</v>
      </c>
      <c r="B2481" s="10" t="s">
        <v>122</v>
      </c>
      <c r="C2481" s="41">
        <f t="array" ref="C2481">IF(IFERROR(INDEX(CATALOG_POINTS,MATCH(A2481,CATALOG_TASK,0)),"")="",IF(MAX(IF(IFERROR(FIND(CATALOG_BASE,A2481),0)=1,CATALOG_POINTS,0))=0,DAILY_POST_POINTS,MAX(IF(IFERROR(FIND(CATALOG_BASE,A2481),0)=1,CATALOG_POINTS,0))),IFERROR(INDEX(CATALOG_POINTS,MATCH(A2481,CATALOG_TASK,0)),""))</f>
        <v>1</v>
      </c>
      <c r="D2481" s="10" t="s">
        <v>1509</v>
      </c>
      <c r="E2481" s="41" t="str">
        <f t="shared" si="1"/>
        <v/>
      </c>
    </row>
    <row r="2482" ht="15.75" customHeight="1">
      <c r="A2482" s="10" t="s">
        <v>55</v>
      </c>
      <c r="B2482" s="10" t="s">
        <v>141</v>
      </c>
      <c r="C2482" s="41">
        <f t="array" ref="C2482">IF(IFERROR(INDEX(CATALOG_POINTS,MATCH(A2482,CATALOG_TASK,0)),"")="",IF(MAX(IF(IFERROR(FIND(CATALOG_BASE,A2482),0)=1,CATALOG_POINTS,0))=0,DAILY_POST_POINTS,MAX(IF(IFERROR(FIND(CATALOG_BASE,A2482),0)=1,CATALOG_POINTS,0))),IFERROR(INDEX(CATALOG_POINTS,MATCH(A2482,CATALOG_TASK,0)),""))</f>
        <v>8</v>
      </c>
      <c r="D2482" s="10" t="s">
        <v>1509</v>
      </c>
      <c r="E2482" s="41" t="str">
        <f t="shared" si="1"/>
        <v/>
      </c>
    </row>
    <row r="2483" ht="15.75" customHeight="1">
      <c r="A2483" s="10" t="s">
        <v>37</v>
      </c>
      <c r="B2483" s="10" t="s">
        <v>120</v>
      </c>
      <c r="C2483" s="41">
        <f t="array" ref="C2483">IF(IFERROR(INDEX(CATALOG_POINTS,MATCH(A2483,CATALOG_TASK,0)),"")="",IF(MAX(IF(IFERROR(FIND(CATALOG_BASE,A2483),0)=1,CATALOG_POINTS,0))=0,DAILY_POST_POINTS,MAX(IF(IFERROR(FIND(CATALOG_BASE,A2483),0)=1,CATALOG_POINTS,0))),IFERROR(INDEX(CATALOG_POINTS,MATCH(A2483,CATALOG_TASK,0)),""))</f>
        <v>2</v>
      </c>
      <c r="D2483" s="10" t="s">
        <v>1509</v>
      </c>
      <c r="E2483" s="41" t="str">
        <f t="shared" si="1"/>
        <v/>
      </c>
    </row>
    <row r="2484" ht="15.75" customHeight="1">
      <c r="A2484" s="10" t="s">
        <v>1510</v>
      </c>
      <c r="B2484" s="10" t="s">
        <v>124</v>
      </c>
      <c r="C2484" s="41">
        <f t="array" ref="C2484">IF(IFERROR(INDEX(CATALOG_POINTS,MATCH(A2484,CATALOG_TASK,0)),"")="",IF(MAX(IF(IFERROR(FIND(CATALOG_BASE,A2484),0)=1,CATALOG_POINTS,0))=0,DAILY_POST_POINTS,MAX(IF(IFERROR(FIND(CATALOG_BASE,A2484),0)=1,CATALOG_POINTS,0))),IFERROR(INDEX(CATALOG_POINTS,MATCH(A2484,CATALOG_TASK,0)),""))</f>
        <v>1</v>
      </c>
      <c r="D2484" s="10" t="s">
        <v>1510</v>
      </c>
      <c r="E2484" s="41" t="str">
        <f t="shared" si="1"/>
        <v>PROX3</v>
      </c>
    </row>
    <row r="2485" ht="15.75" customHeight="1">
      <c r="A2485" s="10" t="s">
        <v>178</v>
      </c>
      <c r="B2485" s="10" t="s">
        <v>119</v>
      </c>
      <c r="C2485" s="41">
        <f t="array" ref="C2485">IF(IFERROR(INDEX(CATALOG_POINTS,MATCH(A2485,CATALOG_TASK,0)),"")="",IF(MAX(IF(IFERROR(FIND(CATALOG_BASE,A2485),0)=1,CATALOG_POINTS,0))=0,DAILY_POST_POINTS,MAX(IF(IFERROR(FIND(CATALOG_BASE,A2485),0)=1,CATALOG_POINTS,0))),IFERROR(INDEX(CATALOG_POINTS,MATCH(A2485,CATALOG_TASK,0)),""))</f>
        <v>1</v>
      </c>
      <c r="D2485" s="10" t="s">
        <v>1510</v>
      </c>
      <c r="E2485" s="41" t="str">
        <f t="shared" si="1"/>
        <v>PROX3</v>
      </c>
    </row>
    <row r="2486" ht="15.75" customHeight="1">
      <c r="A2486" s="10" t="s">
        <v>174</v>
      </c>
      <c r="B2486" s="10" t="s">
        <v>123</v>
      </c>
      <c r="C2486" s="41">
        <f t="array" ref="C2486">IF(IFERROR(INDEX(CATALOG_POINTS,MATCH(A2486,CATALOG_TASK,0)),"")="",IF(MAX(IF(IFERROR(FIND(CATALOG_BASE,A2486),0)=1,CATALOG_POINTS,0))=0,DAILY_POST_POINTS,MAX(IF(IFERROR(FIND(CATALOG_BASE,A2486),0)=1,CATALOG_POINTS,0))),IFERROR(INDEX(CATALOG_POINTS,MATCH(A2486,CATALOG_TASK,0)),""))</f>
        <v>1</v>
      </c>
      <c r="D2486" s="10" t="s">
        <v>1510</v>
      </c>
      <c r="E2486" s="41" t="str">
        <f t="shared" si="1"/>
        <v>PROX3</v>
      </c>
    </row>
    <row r="2487" ht="15.75" customHeight="1">
      <c r="A2487" s="10" t="s">
        <v>34</v>
      </c>
      <c r="B2487" s="10" t="s">
        <v>121</v>
      </c>
      <c r="C2487" s="41">
        <f t="array" ref="C2487">IF(IFERROR(INDEX(CATALOG_POINTS,MATCH(A2487,CATALOG_TASK,0)),"")="",IF(MAX(IF(IFERROR(FIND(CATALOG_BASE,A2487),0)=1,CATALOG_POINTS,0))=0,DAILY_POST_POINTS,MAX(IF(IFERROR(FIND(CATALOG_BASE,A2487),0)=1,CATALOG_POINTS,0))),IFERROR(INDEX(CATALOG_POINTS,MATCH(A2487,CATALOG_TASK,0)),""))</f>
        <v>2</v>
      </c>
      <c r="D2487" s="10" t="s">
        <v>1511</v>
      </c>
      <c r="E2487" s="41" t="str">
        <f t="shared" si="1"/>
        <v>PROX3</v>
      </c>
    </row>
    <row r="2488" ht="15.75" customHeight="1">
      <c r="A2488" s="10" t="s">
        <v>24</v>
      </c>
      <c r="B2488" s="10" t="s">
        <v>121</v>
      </c>
      <c r="C2488" s="41">
        <f t="array" ref="C2488">IF(IFERROR(INDEX(CATALOG_POINTS,MATCH(A2488,CATALOG_TASK,0)),"")="",IF(MAX(IF(IFERROR(FIND(CATALOG_BASE,A2488),0)=1,CATALOG_POINTS,0))=0,DAILY_POST_POINTS,MAX(IF(IFERROR(FIND(CATALOG_BASE,A2488),0)=1,CATALOG_POINTS,0))),IFERROR(INDEX(CATALOG_POINTS,MATCH(A2488,CATALOG_TASK,0)),""))</f>
        <v>2</v>
      </c>
      <c r="D2488" s="10" t="s">
        <v>1511</v>
      </c>
      <c r="E2488" s="41" t="str">
        <f t="shared" si="1"/>
        <v>PROX3</v>
      </c>
    </row>
    <row r="2489" ht="15.75" customHeight="1">
      <c r="A2489" s="10" t="s">
        <v>1511</v>
      </c>
      <c r="B2489" s="10" t="s">
        <v>124</v>
      </c>
      <c r="C2489" s="41">
        <f t="array" ref="C2489">IF(IFERROR(INDEX(CATALOG_POINTS,MATCH(A2489,CATALOG_TASK,0)),"")="",IF(MAX(IF(IFERROR(FIND(CATALOG_BASE,A2489),0)=1,CATALOG_POINTS,0))=0,DAILY_POST_POINTS,MAX(IF(IFERROR(FIND(CATALOG_BASE,A2489),0)=1,CATALOG_POINTS,0))),IFERROR(INDEX(CATALOG_POINTS,MATCH(A2489,CATALOG_TASK,0)),""))</f>
        <v>1</v>
      </c>
      <c r="D2489" s="10" t="s">
        <v>1511</v>
      </c>
      <c r="E2489" s="41" t="str">
        <f t="shared" si="1"/>
        <v>PROX3</v>
      </c>
    </row>
    <row r="2490" ht="15.75" customHeight="1">
      <c r="A2490" s="10" t="s">
        <v>37</v>
      </c>
      <c r="B2490" s="10" t="s">
        <v>128</v>
      </c>
      <c r="C2490" s="41">
        <f t="array" ref="C2490">IF(IFERROR(INDEX(CATALOG_POINTS,MATCH(A2490,CATALOG_TASK,0)),"")="",IF(MAX(IF(IFERROR(FIND(CATALOG_BASE,A2490),0)=1,CATALOG_POINTS,0))=0,DAILY_POST_POINTS,MAX(IF(IFERROR(FIND(CATALOG_BASE,A2490),0)=1,CATALOG_POINTS,0))),IFERROR(INDEX(CATALOG_POINTS,MATCH(A2490,CATALOG_TASK,0)),""))</f>
        <v>2</v>
      </c>
      <c r="D2490" s="10" t="s">
        <v>1511</v>
      </c>
      <c r="E2490" s="41" t="str">
        <f t="shared" si="1"/>
        <v>PROX3</v>
      </c>
    </row>
    <row r="2491" ht="15.75" customHeight="1">
      <c r="A2491" s="10" t="s">
        <v>380</v>
      </c>
      <c r="B2491" s="10" t="s">
        <v>141</v>
      </c>
      <c r="C2491" s="41">
        <f t="array" ref="C2491">IF(IFERROR(INDEX(CATALOG_POINTS,MATCH(A2491,CATALOG_TASK,0)),"")="",IF(MAX(IF(IFERROR(FIND(CATALOG_BASE,A2491),0)=1,CATALOG_POINTS,0))=0,DAILY_POST_POINTS,MAX(IF(IFERROR(FIND(CATALOG_BASE,A2491),0)=1,CATALOG_POINTS,0))),IFERROR(INDEX(CATALOG_POINTS,MATCH(A2491,CATALOG_TASK,0)),""))</f>
        <v>1</v>
      </c>
      <c r="D2491" s="10" t="s">
        <v>1512</v>
      </c>
      <c r="E2491" s="41" t="str">
        <f t="shared" si="1"/>
        <v>PROX5</v>
      </c>
    </row>
    <row r="2492" ht="15.75" customHeight="1">
      <c r="A2492" s="10" t="s">
        <v>177</v>
      </c>
      <c r="B2492" s="10" t="s">
        <v>141</v>
      </c>
      <c r="C2492" s="41">
        <f t="array" ref="C2492">IF(IFERROR(INDEX(CATALOG_POINTS,MATCH(A2492,CATALOG_TASK,0)),"")="",IF(MAX(IF(IFERROR(FIND(CATALOG_BASE,A2492),0)=1,CATALOG_POINTS,0))=0,DAILY_POST_POINTS,MAX(IF(IFERROR(FIND(CATALOG_BASE,A2492),0)=1,CATALOG_POINTS,0))),IFERROR(INDEX(CATALOG_POINTS,MATCH(A2492,CATALOG_TASK,0)),""))</f>
        <v>6</v>
      </c>
      <c r="D2492" s="10" t="s">
        <v>1512</v>
      </c>
      <c r="E2492" s="41" t="str">
        <f t="shared" si="1"/>
        <v>PROX5</v>
      </c>
    </row>
    <row r="2493" ht="15.75" customHeight="1">
      <c r="A2493" s="10" t="s">
        <v>1512</v>
      </c>
      <c r="B2493" s="10" t="s">
        <v>133</v>
      </c>
      <c r="C2493" s="41">
        <f t="array" ref="C2493">IF(IFERROR(INDEX(CATALOG_POINTS,MATCH(A2493,CATALOG_TASK,0)),"")="",IF(MAX(IF(IFERROR(FIND(CATALOG_BASE,A2493),0)=1,CATALOG_POINTS,0))=0,DAILY_POST_POINTS,MAX(IF(IFERROR(FIND(CATALOG_BASE,A2493),0)=1,CATALOG_POINTS,0))),IFERROR(INDEX(CATALOG_POINTS,MATCH(A2493,CATALOG_TASK,0)),""))</f>
        <v>1</v>
      </c>
      <c r="D2493" s="10" t="s">
        <v>1512</v>
      </c>
      <c r="E2493" s="41" t="str">
        <f t="shared" si="1"/>
        <v>PROX5</v>
      </c>
    </row>
    <row r="2494" ht="15.75" customHeight="1">
      <c r="A2494" s="10" t="s">
        <v>37</v>
      </c>
      <c r="B2494" s="10" t="s">
        <v>120</v>
      </c>
      <c r="C2494" s="41">
        <f t="array" ref="C2494">IF(IFERROR(INDEX(CATALOG_POINTS,MATCH(A2494,CATALOG_TASK,0)),"")="",IF(MAX(IF(IFERROR(FIND(CATALOG_BASE,A2494),0)=1,CATALOG_POINTS,0))=0,DAILY_POST_POINTS,MAX(IF(IFERROR(FIND(CATALOG_BASE,A2494),0)=1,CATALOG_POINTS,0))),IFERROR(INDEX(CATALOG_POINTS,MATCH(A2494,CATALOG_TASK,0)),""))</f>
        <v>2</v>
      </c>
      <c r="D2494" s="10" t="s">
        <v>1513</v>
      </c>
      <c r="E2494" s="41" t="str">
        <f t="shared" si="1"/>
        <v>PROX3</v>
      </c>
    </row>
    <row r="2495" ht="15.75" customHeight="1">
      <c r="A2495" s="10" t="s">
        <v>1513</v>
      </c>
      <c r="B2495" s="10" t="s">
        <v>121</v>
      </c>
      <c r="C2495" s="41">
        <f t="array" ref="C2495">IF(IFERROR(INDEX(CATALOG_POINTS,MATCH(A2495,CATALOG_TASK,0)),"")="",IF(MAX(IF(IFERROR(FIND(CATALOG_BASE,A2495),0)=1,CATALOG_POINTS,0))=0,DAILY_POST_POINTS,MAX(IF(IFERROR(FIND(CATALOG_BASE,A2495),0)=1,CATALOG_POINTS,0))),IFERROR(INDEX(CATALOG_POINTS,MATCH(A2495,CATALOG_TASK,0)),""))</f>
        <v>1</v>
      </c>
      <c r="D2495" s="10" t="s">
        <v>1513</v>
      </c>
      <c r="E2495" s="41" t="str">
        <f t="shared" si="1"/>
        <v>PROX3</v>
      </c>
    </row>
    <row r="2496" ht="15.75" customHeight="1">
      <c r="A2496" s="10" t="s">
        <v>1514</v>
      </c>
      <c r="B2496" s="10" t="s">
        <v>135</v>
      </c>
      <c r="C2496" s="41">
        <f t="array" ref="C2496">IF(IFERROR(INDEX(CATALOG_POINTS,MATCH(A2496,CATALOG_TASK,0)),"")="",IF(MAX(IF(IFERROR(FIND(CATALOG_BASE,A2496),0)=1,CATALOG_POINTS,0))=0,DAILY_POST_POINTS,MAX(IF(IFERROR(FIND(CATALOG_BASE,A2496),0)=1,CATALOG_POINTS,0))),IFERROR(INDEX(CATALOG_POINTS,MATCH(A2496,CATALOG_TASK,0)),""))</f>
        <v>1</v>
      </c>
      <c r="D2496" s="10" t="s">
        <v>1514</v>
      </c>
      <c r="E2496" s="41" t="str">
        <f t="shared" si="1"/>
        <v>PROX3</v>
      </c>
    </row>
    <row r="2497" ht="15.75" customHeight="1">
      <c r="A2497" s="10" t="s">
        <v>1515</v>
      </c>
      <c r="B2497" s="10" t="s">
        <v>126</v>
      </c>
      <c r="C2497" s="41">
        <f t="array" ref="C2497">IF(IFERROR(INDEX(CATALOG_POINTS,MATCH(A2497,CATALOG_TASK,0)),"")="",IF(MAX(IF(IFERROR(FIND(CATALOG_BASE,A2497),0)=1,CATALOG_POINTS,0))=0,DAILY_POST_POINTS,MAX(IF(IFERROR(FIND(CATALOG_BASE,A2497),0)=1,CATALOG_POINTS,0))),IFERROR(INDEX(CATALOG_POINTS,MATCH(A2497,CATALOG_TASK,0)),""))</f>
        <v>1</v>
      </c>
      <c r="D2497" s="10" t="s">
        <v>1515</v>
      </c>
      <c r="E2497" s="41" t="str">
        <f t="shared" si="1"/>
        <v>PROX3</v>
      </c>
    </row>
    <row r="2498" ht="15.75" customHeight="1">
      <c r="A2498" s="10" t="s">
        <v>37</v>
      </c>
      <c r="B2498" s="10" t="s">
        <v>124</v>
      </c>
      <c r="C2498" s="41">
        <f t="array" ref="C2498">IF(IFERROR(INDEX(CATALOG_POINTS,MATCH(A2498,CATALOG_TASK,0)),"")="",IF(MAX(IF(IFERROR(FIND(CATALOG_BASE,A2498),0)=1,CATALOG_POINTS,0))=0,DAILY_POST_POINTS,MAX(IF(IFERROR(FIND(CATALOG_BASE,A2498),0)=1,CATALOG_POINTS,0))),IFERROR(INDEX(CATALOG_POINTS,MATCH(A2498,CATALOG_TASK,0)),""))</f>
        <v>2</v>
      </c>
      <c r="D2498" s="10" t="s">
        <v>1516</v>
      </c>
      <c r="E2498" s="41" t="str">
        <f t="shared" si="1"/>
        <v/>
      </c>
    </row>
    <row r="2499" ht="15.75" customHeight="1">
      <c r="A2499" s="10" t="s">
        <v>55</v>
      </c>
      <c r="B2499" s="10" t="s">
        <v>141</v>
      </c>
      <c r="C2499" s="41">
        <f t="array" ref="C2499">IF(IFERROR(INDEX(CATALOG_POINTS,MATCH(A2499,CATALOG_TASK,0)),"")="",IF(MAX(IF(IFERROR(FIND(CATALOG_BASE,A2499),0)=1,CATALOG_POINTS,0))=0,DAILY_POST_POINTS,MAX(IF(IFERROR(FIND(CATALOG_BASE,A2499),0)=1,CATALOG_POINTS,0))),IFERROR(INDEX(CATALOG_POINTS,MATCH(A2499,CATALOG_TASK,0)),""))</f>
        <v>8</v>
      </c>
      <c r="D2499" s="10" t="s">
        <v>1516</v>
      </c>
      <c r="E2499" s="41" t="str">
        <f t="shared" si="1"/>
        <v/>
      </c>
    </row>
    <row r="2500" ht="15.75" customHeight="1">
      <c r="A2500" s="10" t="s">
        <v>1516</v>
      </c>
      <c r="B2500" s="10" t="s">
        <v>135</v>
      </c>
      <c r="C2500" s="41">
        <f t="array" ref="C2500">IF(IFERROR(INDEX(CATALOG_POINTS,MATCH(A2500,CATALOG_TASK,0)),"")="",IF(MAX(IF(IFERROR(FIND(CATALOG_BASE,A2500),0)=1,CATALOG_POINTS,0))=0,DAILY_POST_POINTS,MAX(IF(IFERROR(FIND(CATALOG_BASE,A2500),0)=1,CATALOG_POINTS,0))),IFERROR(INDEX(CATALOG_POINTS,MATCH(A2500,CATALOG_TASK,0)),""))</f>
        <v>1</v>
      </c>
      <c r="D2500" s="10" t="s">
        <v>1516</v>
      </c>
      <c r="E2500" s="41" t="str">
        <f t="shared" si="1"/>
        <v/>
      </c>
    </row>
    <row r="2501" ht="15.75" customHeight="1">
      <c r="A2501" s="10" t="s">
        <v>37</v>
      </c>
      <c r="B2501" s="10" t="s">
        <v>124</v>
      </c>
      <c r="C2501" s="41">
        <f t="array" ref="C2501">IF(IFERROR(INDEX(CATALOG_POINTS,MATCH(A2501,CATALOG_TASK,0)),"")="",IF(MAX(IF(IFERROR(FIND(CATALOG_BASE,A2501),0)=1,CATALOG_POINTS,0))=0,DAILY_POST_POINTS,MAX(IF(IFERROR(FIND(CATALOG_BASE,A2501),0)=1,CATALOG_POINTS,0))),IFERROR(INDEX(CATALOG_POINTS,MATCH(A2501,CATALOG_TASK,0)),""))</f>
        <v>2</v>
      </c>
      <c r="D2501" s="10" t="s">
        <v>1516</v>
      </c>
      <c r="E2501" s="41" t="str">
        <f t="shared" si="1"/>
        <v/>
      </c>
    </row>
    <row r="2502" ht="15.75" customHeight="1">
      <c r="A2502" s="10" t="s">
        <v>1517</v>
      </c>
      <c r="B2502" s="10" t="s">
        <v>129</v>
      </c>
      <c r="C2502" s="41">
        <f t="array" ref="C2502">IF(IFERROR(INDEX(CATALOG_POINTS,MATCH(A2502,CATALOG_TASK,0)),"")="",IF(MAX(IF(IFERROR(FIND(CATALOG_BASE,A2502),0)=1,CATALOG_POINTS,0))=0,DAILY_POST_POINTS,MAX(IF(IFERROR(FIND(CATALOG_BASE,A2502),0)=1,CATALOG_POINTS,0))),IFERROR(INDEX(CATALOG_POINTS,MATCH(A2502,CATALOG_TASK,0)),""))</f>
        <v>1</v>
      </c>
      <c r="D2502" s="10" t="s">
        <v>1517</v>
      </c>
      <c r="E2502" s="41" t="str">
        <f t="shared" si="1"/>
        <v>E0</v>
      </c>
    </row>
    <row r="2503" ht="15.75" customHeight="1">
      <c r="A2503" s="10" t="s">
        <v>1518</v>
      </c>
      <c r="B2503" s="10" t="s">
        <v>133</v>
      </c>
      <c r="C2503" s="41">
        <f t="array" ref="C2503">IF(IFERROR(INDEX(CATALOG_POINTS,MATCH(A2503,CATALOG_TASK,0)),"")="",IF(MAX(IF(IFERROR(FIND(CATALOG_BASE,A2503),0)=1,CATALOG_POINTS,0))=0,DAILY_POST_POINTS,MAX(IF(IFERROR(FIND(CATALOG_BASE,A2503),0)=1,CATALOG_POINTS,0))),IFERROR(INDEX(CATALOG_POINTS,MATCH(A2503,CATALOG_TASK,0)),""))</f>
        <v>1</v>
      </c>
      <c r="D2503" s="10" t="s">
        <v>1518</v>
      </c>
      <c r="E2503" s="41" t="str">
        <f t="shared" si="1"/>
        <v>PROX3</v>
      </c>
    </row>
    <row r="2504" ht="15.75" customHeight="1">
      <c r="A2504" s="10" t="s">
        <v>37</v>
      </c>
      <c r="B2504" s="10" t="s">
        <v>120</v>
      </c>
      <c r="C2504" s="41">
        <f t="array" ref="C2504">IF(IFERROR(INDEX(CATALOG_POINTS,MATCH(A2504,CATALOG_TASK,0)),"")="",IF(MAX(IF(IFERROR(FIND(CATALOG_BASE,A2504),0)=1,CATALOG_POINTS,0))=0,DAILY_POST_POINTS,MAX(IF(IFERROR(FIND(CATALOG_BASE,A2504),0)=1,CATALOG_POINTS,0))),IFERROR(INDEX(CATALOG_POINTS,MATCH(A2504,CATALOG_TASK,0)),""))</f>
        <v>2</v>
      </c>
      <c r="D2504" s="10" t="s">
        <v>1518</v>
      </c>
      <c r="E2504" s="41" t="str">
        <f t="shared" si="1"/>
        <v>PROX3</v>
      </c>
    </row>
    <row r="2505" ht="15.75" customHeight="1">
      <c r="A2505" s="10" t="s">
        <v>1519</v>
      </c>
      <c r="B2505" s="10" t="s">
        <v>132</v>
      </c>
      <c r="C2505" s="41">
        <f t="array" ref="C2505">IF(IFERROR(INDEX(CATALOG_POINTS,MATCH(A2505,CATALOG_TASK,0)),"")="",IF(MAX(IF(IFERROR(FIND(CATALOG_BASE,A2505),0)=1,CATALOG_POINTS,0))=0,DAILY_POST_POINTS,MAX(IF(IFERROR(FIND(CATALOG_BASE,A2505),0)=1,CATALOG_POINTS,0))),IFERROR(INDEX(CATALOG_POINTS,MATCH(A2505,CATALOG_TASK,0)),""))</f>
        <v>1</v>
      </c>
      <c r="D2505" s="10" t="s">
        <v>1519</v>
      </c>
      <c r="E2505" s="41" t="str">
        <f t="shared" si="1"/>
        <v/>
      </c>
    </row>
    <row r="2506" ht="15.75" customHeight="1">
      <c r="A2506" s="10" t="s">
        <v>1520</v>
      </c>
      <c r="B2506" s="10" t="s">
        <v>119</v>
      </c>
      <c r="C2506" s="41">
        <f t="array" ref="C2506">IF(IFERROR(INDEX(CATALOG_POINTS,MATCH(A2506,CATALOG_TASK,0)),"")="",IF(MAX(IF(IFERROR(FIND(CATALOG_BASE,A2506),0)=1,CATALOG_POINTS,0))=0,DAILY_POST_POINTS,MAX(IF(IFERROR(FIND(CATALOG_BASE,A2506),0)=1,CATALOG_POINTS,0))),IFERROR(INDEX(CATALOG_POINTS,MATCH(A2506,CATALOG_TASK,0)),""))</f>
        <v>1</v>
      </c>
      <c r="D2506" s="10" t="s">
        <v>1520</v>
      </c>
      <c r="E2506" s="41" t="str">
        <f t="shared" si="1"/>
        <v>PROX3</v>
      </c>
    </row>
    <row r="2507" ht="15.75" customHeight="1">
      <c r="A2507" s="10" t="s">
        <v>37</v>
      </c>
      <c r="B2507" s="10" t="s">
        <v>125</v>
      </c>
      <c r="C2507" s="41">
        <f t="array" ref="C2507">IF(IFERROR(INDEX(CATALOG_POINTS,MATCH(A2507,CATALOG_TASK,0)),"")="",IF(MAX(IF(IFERROR(FIND(CATALOG_BASE,A2507),0)=1,CATALOG_POINTS,0))=0,DAILY_POST_POINTS,MAX(IF(IFERROR(FIND(CATALOG_BASE,A2507),0)=1,CATALOG_POINTS,0))),IFERROR(INDEX(CATALOG_POINTS,MATCH(A2507,CATALOG_TASK,0)),""))</f>
        <v>2</v>
      </c>
      <c r="D2507" s="10" t="s">
        <v>1521</v>
      </c>
      <c r="E2507" s="41" t="str">
        <f t="shared" si="1"/>
        <v>PROX3</v>
      </c>
    </row>
    <row r="2508" ht="15.75" customHeight="1">
      <c r="A2508" s="10" t="s">
        <v>1521</v>
      </c>
      <c r="B2508" s="10" t="s">
        <v>131</v>
      </c>
      <c r="C2508" s="41">
        <f t="array" ref="C2508">IF(IFERROR(INDEX(CATALOG_POINTS,MATCH(A2508,CATALOG_TASK,0)),"")="",IF(MAX(IF(IFERROR(FIND(CATALOG_BASE,A2508),0)=1,CATALOG_POINTS,0))=0,DAILY_POST_POINTS,MAX(IF(IFERROR(FIND(CATALOG_BASE,A2508),0)=1,CATALOG_POINTS,0))),IFERROR(INDEX(CATALOG_POINTS,MATCH(A2508,CATALOG_TASK,0)),""))</f>
        <v>1</v>
      </c>
      <c r="D2508" s="10" t="s">
        <v>1521</v>
      </c>
      <c r="E2508" s="41" t="str">
        <f t="shared" si="1"/>
        <v>PROX3</v>
      </c>
    </row>
    <row r="2509" ht="15.75" customHeight="1">
      <c r="A2509" s="10" t="s">
        <v>1522</v>
      </c>
      <c r="B2509" s="10" t="s">
        <v>121</v>
      </c>
      <c r="C2509" s="41">
        <f t="array" ref="C2509">IF(IFERROR(INDEX(CATALOG_POINTS,MATCH(A2509,CATALOG_TASK,0)),"")="",IF(MAX(IF(IFERROR(FIND(CATALOG_BASE,A2509),0)=1,CATALOG_POINTS,0))=0,DAILY_POST_POINTS,MAX(IF(IFERROR(FIND(CATALOG_BASE,A2509),0)=1,CATALOG_POINTS,0))),IFERROR(INDEX(CATALOG_POINTS,MATCH(A2509,CATALOG_TASK,0)),""))</f>
        <v>1</v>
      </c>
      <c r="D2509" s="10" t="s">
        <v>1522</v>
      </c>
      <c r="E2509" s="41" t="str">
        <f t="shared" si="1"/>
        <v>PROX3</v>
      </c>
    </row>
    <row r="2510" ht="15.75" customHeight="1">
      <c r="A2510" s="10" t="s">
        <v>1523</v>
      </c>
      <c r="B2510" s="10" t="s">
        <v>117</v>
      </c>
      <c r="C2510" s="41">
        <f t="array" ref="C2510">IF(IFERROR(INDEX(CATALOG_POINTS,MATCH(A2510,CATALOG_TASK,0)),"")="",IF(MAX(IF(IFERROR(FIND(CATALOG_BASE,A2510),0)=1,CATALOG_POINTS,0))=0,DAILY_POST_POINTS,MAX(IF(IFERROR(FIND(CATALOG_BASE,A2510),0)=1,CATALOG_POINTS,0))),IFERROR(INDEX(CATALOG_POINTS,MATCH(A2510,CATALOG_TASK,0)),""))</f>
        <v>1</v>
      </c>
      <c r="D2510" s="10" t="s">
        <v>1523</v>
      </c>
      <c r="E2510" s="41" t="str">
        <f t="shared" si="1"/>
        <v>PROX3</v>
      </c>
    </row>
    <row r="2511" ht="15.75" customHeight="1">
      <c r="A2511" s="10" t="s">
        <v>168</v>
      </c>
      <c r="B2511" s="10" t="s">
        <v>127</v>
      </c>
      <c r="C2511" s="41">
        <f t="array" ref="C2511">IF(IFERROR(INDEX(CATALOG_POINTS,MATCH(A2511,CATALOG_TASK,0)),"")="",IF(MAX(IF(IFERROR(FIND(CATALOG_BASE,A2511),0)=1,CATALOG_POINTS,0))=0,DAILY_POST_POINTS,MAX(IF(IFERROR(FIND(CATALOG_BASE,A2511),0)=1,CATALOG_POINTS,0))),IFERROR(INDEX(CATALOG_POINTS,MATCH(A2511,CATALOG_TASK,0)),""))</f>
        <v>1</v>
      </c>
      <c r="D2511" s="10" t="s">
        <v>1523</v>
      </c>
      <c r="E2511" s="41" t="str">
        <f t="shared" si="1"/>
        <v>PROX3</v>
      </c>
    </row>
    <row r="2512" ht="15.75" customHeight="1">
      <c r="A2512" s="10" t="s">
        <v>1524</v>
      </c>
      <c r="B2512" s="10" t="s">
        <v>134</v>
      </c>
      <c r="C2512" s="41">
        <f t="array" ref="C2512">IF(IFERROR(INDEX(CATALOG_POINTS,MATCH(A2512,CATALOG_TASK,0)),"")="",IF(MAX(IF(IFERROR(FIND(CATALOG_BASE,A2512),0)=1,CATALOG_POINTS,0))=0,DAILY_POST_POINTS,MAX(IF(IFERROR(FIND(CATALOG_BASE,A2512),0)=1,CATALOG_POINTS,0))),IFERROR(INDEX(CATALOG_POINTS,MATCH(A2512,CATALOG_TASK,0)),""))</f>
        <v>1</v>
      </c>
      <c r="D2512" s="10" t="s">
        <v>1524</v>
      </c>
      <c r="E2512" s="41" t="str">
        <f t="shared" si="1"/>
        <v>PROX3</v>
      </c>
    </row>
    <row r="2513" ht="15.75" customHeight="1">
      <c r="A2513" s="10" t="s">
        <v>1525</v>
      </c>
      <c r="B2513" s="10" t="s">
        <v>129</v>
      </c>
      <c r="C2513" s="41">
        <f t="array" ref="C2513">IF(IFERROR(INDEX(CATALOG_POINTS,MATCH(A2513,CATALOG_TASK,0)),"")="",IF(MAX(IF(IFERROR(FIND(CATALOG_BASE,A2513),0)=1,CATALOG_POINTS,0))=0,DAILY_POST_POINTS,MAX(IF(IFERROR(FIND(CATALOG_BASE,A2513),0)=1,CATALOG_POINTS,0))),IFERROR(INDEX(CATALOG_POINTS,MATCH(A2513,CATALOG_TASK,0)),""))</f>
        <v>1</v>
      </c>
      <c r="D2513" s="10" t="s">
        <v>1525</v>
      </c>
      <c r="E2513" s="41" t="str">
        <f t="shared" si="1"/>
        <v/>
      </c>
    </row>
    <row r="2514" ht="15.75" customHeight="1">
      <c r="A2514" s="10" t="s">
        <v>1526</v>
      </c>
      <c r="B2514" s="10" t="s">
        <v>136</v>
      </c>
      <c r="C2514" s="41">
        <f t="array" ref="C2514">IF(IFERROR(INDEX(CATALOG_POINTS,MATCH(A2514,CATALOG_TASK,0)),"")="",IF(MAX(IF(IFERROR(FIND(CATALOG_BASE,A2514),0)=1,CATALOG_POINTS,0))=0,DAILY_POST_POINTS,MAX(IF(IFERROR(FIND(CATALOG_BASE,A2514),0)=1,CATALOG_POINTS,0))),IFERROR(INDEX(CATALOG_POINTS,MATCH(A2514,CATALOG_TASK,0)),""))</f>
        <v>1</v>
      </c>
      <c r="D2514" s="10" t="s">
        <v>1526</v>
      </c>
      <c r="E2514" s="41" t="str">
        <f t="shared" si="1"/>
        <v>PROX3</v>
      </c>
    </row>
    <row r="2515" ht="15.75" customHeight="1">
      <c r="A2515" s="10" t="s">
        <v>1527</v>
      </c>
      <c r="B2515" s="10" t="s">
        <v>131</v>
      </c>
      <c r="C2515" s="41">
        <f t="array" ref="C2515">IF(IFERROR(INDEX(CATALOG_POINTS,MATCH(A2515,CATALOG_TASK,0)),"")="",IF(MAX(IF(IFERROR(FIND(CATALOG_BASE,A2515),0)=1,CATALOG_POINTS,0))=0,DAILY_POST_POINTS,MAX(IF(IFERROR(FIND(CATALOG_BASE,A2515),0)=1,CATALOG_POINTS,0))),IFERROR(INDEX(CATALOG_POINTS,MATCH(A2515,CATALOG_TASK,0)),""))</f>
        <v>1</v>
      </c>
      <c r="D2515" s="10" t="s">
        <v>1527</v>
      </c>
      <c r="E2515" s="41" t="str">
        <f t="shared" si="1"/>
        <v>PROX3</v>
      </c>
    </row>
    <row r="2516" ht="15.75" customHeight="1">
      <c r="A2516" s="10" t="s">
        <v>1528</v>
      </c>
      <c r="B2516" s="10" t="s">
        <v>136</v>
      </c>
      <c r="C2516" s="41">
        <f t="array" ref="C2516">IF(IFERROR(INDEX(CATALOG_POINTS,MATCH(A2516,CATALOG_TASK,0)),"")="",IF(MAX(IF(IFERROR(FIND(CATALOG_BASE,A2516),0)=1,CATALOG_POINTS,0))=0,DAILY_POST_POINTS,MAX(IF(IFERROR(FIND(CATALOG_BASE,A2516),0)=1,CATALOG_POINTS,0))),IFERROR(INDEX(CATALOG_POINTS,MATCH(A2516,CATALOG_TASK,0)),""))</f>
        <v>1</v>
      </c>
      <c r="D2516" s="10" t="s">
        <v>1528</v>
      </c>
      <c r="E2516" s="41" t="str">
        <f t="shared" si="1"/>
        <v>PROX4</v>
      </c>
    </row>
    <row r="2517" ht="15.75" customHeight="1">
      <c r="A2517" s="10" t="s">
        <v>1529</v>
      </c>
      <c r="B2517" s="10" t="s">
        <v>127</v>
      </c>
      <c r="C2517" s="41">
        <f t="array" ref="C2517">IF(IFERROR(INDEX(CATALOG_POINTS,MATCH(A2517,CATALOG_TASK,0)),"")="",IF(MAX(IF(IFERROR(FIND(CATALOG_BASE,A2517),0)=1,CATALOG_POINTS,0))=0,DAILY_POST_POINTS,MAX(IF(IFERROR(FIND(CATALOG_BASE,A2517),0)=1,CATALOG_POINTS,0))),IFERROR(INDEX(CATALOG_POINTS,MATCH(A2517,CATALOG_TASK,0)),""))</f>
        <v>1</v>
      </c>
      <c r="D2517" s="10" t="s">
        <v>1529</v>
      </c>
      <c r="E2517" s="41" t="str">
        <f t="shared" si="1"/>
        <v>PROX3</v>
      </c>
    </row>
    <row r="2518" ht="15.75" customHeight="1">
      <c r="A2518" s="10" t="s">
        <v>1530</v>
      </c>
      <c r="B2518" s="10" t="s">
        <v>119</v>
      </c>
      <c r="C2518" s="41">
        <f t="array" ref="C2518">IF(IFERROR(INDEX(CATALOG_POINTS,MATCH(A2518,CATALOG_TASK,0)),"")="",IF(MAX(IF(IFERROR(FIND(CATALOG_BASE,A2518),0)=1,CATALOG_POINTS,0))=0,DAILY_POST_POINTS,MAX(IF(IFERROR(FIND(CATALOG_BASE,A2518),0)=1,CATALOG_POINTS,0))),IFERROR(INDEX(CATALOG_POINTS,MATCH(A2518,CATALOG_TASK,0)),""))</f>
        <v>1</v>
      </c>
      <c r="D2518" s="10" t="s">
        <v>1530</v>
      </c>
      <c r="E2518" s="41" t="str">
        <f t="shared" si="1"/>
        <v>PROX3</v>
      </c>
    </row>
    <row r="2519" ht="15.75" customHeight="1">
      <c r="A2519" s="10" t="s">
        <v>1531</v>
      </c>
      <c r="B2519" s="10" t="s">
        <v>131</v>
      </c>
      <c r="C2519" s="41">
        <f t="array" ref="C2519">IF(IFERROR(INDEX(CATALOG_POINTS,MATCH(A2519,CATALOG_TASK,0)),"")="",IF(MAX(IF(IFERROR(FIND(CATALOG_BASE,A2519),0)=1,CATALOG_POINTS,0))=0,DAILY_POST_POINTS,MAX(IF(IFERROR(FIND(CATALOG_BASE,A2519),0)=1,CATALOG_POINTS,0))),IFERROR(INDEX(CATALOG_POINTS,MATCH(A2519,CATALOG_TASK,0)),""))</f>
        <v>1</v>
      </c>
      <c r="D2519" s="10" t="s">
        <v>1531</v>
      </c>
      <c r="E2519" s="41" t="str">
        <f t="shared" si="1"/>
        <v>PROX3</v>
      </c>
    </row>
    <row r="2520" ht="15.75" customHeight="1">
      <c r="A2520" s="10" t="s">
        <v>1532</v>
      </c>
      <c r="B2520" s="10" t="s">
        <v>133</v>
      </c>
      <c r="C2520" s="41">
        <f t="array" ref="C2520">IF(IFERROR(INDEX(CATALOG_POINTS,MATCH(A2520,CATALOG_TASK,0)),"")="",IF(MAX(IF(IFERROR(FIND(CATALOG_BASE,A2520),0)=1,CATALOG_POINTS,0))=0,DAILY_POST_POINTS,MAX(IF(IFERROR(FIND(CATALOG_BASE,A2520),0)=1,CATALOG_POINTS,0))),IFERROR(INDEX(CATALOG_POINTS,MATCH(A2520,CATALOG_TASK,0)),""))</f>
        <v>1</v>
      </c>
      <c r="D2520" s="10" t="s">
        <v>1532</v>
      </c>
      <c r="E2520" s="41" t="str">
        <f t="shared" si="1"/>
        <v>PROX3</v>
      </c>
    </row>
    <row r="2521" ht="15.75" customHeight="1">
      <c r="A2521" s="10" t="s">
        <v>1533</v>
      </c>
      <c r="B2521" s="10" t="s">
        <v>131</v>
      </c>
      <c r="C2521" s="41">
        <f t="array" ref="C2521">IF(IFERROR(INDEX(CATALOG_POINTS,MATCH(A2521,CATALOG_TASK,0)),"")="",IF(MAX(IF(IFERROR(FIND(CATALOG_BASE,A2521),0)=1,CATALOG_POINTS,0))=0,DAILY_POST_POINTS,MAX(IF(IFERROR(FIND(CATALOG_BASE,A2521),0)=1,CATALOG_POINTS,0))),IFERROR(INDEX(CATALOG_POINTS,MATCH(A2521,CATALOG_TASK,0)),""))</f>
        <v>1</v>
      </c>
      <c r="D2521" s="10" t="s">
        <v>1533</v>
      </c>
      <c r="E2521" s="41" t="str">
        <f t="shared" si="1"/>
        <v>PROX3</v>
      </c>
    </row>
    <row r="2522" ht="15.75" customHeight="1">
      <c r="A2522" s="10" t="s">
        <v>1534</v>
      </c>
      <c r="B2522" s="10" t="s">
        <v>126</v>
      </c>
      <c r="C2522" s="41">
        <f t="array" ref="C2522">IF(IFERROR(INDEX(CATALOG_POINTS,MATCH(A2522,CATALOG_TASK,0)),"")="",IF(MAX(IF(IFERROR(FIND(CATALOG_BASE,A2522),0)=1,CATALOG_POINTS,0))=0,DAILY_POST_POINTS,MAX(IF(IFERROR(FIND(CATALOG_BASE,A2522),0)=1,CATALOG_POINTS,0))),IFERROR(INDEX(CATALOG_POINTS,MATCH(A2522,CATALOG_TASK,0)),""))</f>
        <v>1</v>
      </c>
      <c r="D2522" s="10" t="s">
        <v>1534</v>
      </c>
      <c r="E2522" s="41" t="str">
        <f t="shared" si="1"/>
        <v>PROX3</v>
      </c>
    </row>
    <row r="2523" ht="15.75" customHeight="1">
      <c r="A2523" s="10" t="s">
        <v>1535</v>
      </c>
      <c r="B2523" s="10" t="s">
        <v>133</v>
      </c>
      <c r="C2523" s="41">
        <f t="array" ref="C2523">IF(IFERROR(INDEX(CATALOG_POINTS,MATCH(A2523,CATALOG_TASK,0)),"")="",IF(MAX(IF(IFERROR(FIND(CATALOG_BASE,A2523),0)=1,CATALOG_POINTS,0))=0,DAILY_POST_POINTS,MAX(IF(IFERROR(FIND(CATALOG_BASE,A2523),0)=1,CATALOG_POINTS,0))),IFERROR(INDEX(CATALOG_POINTS,MATCH(A2523,CATALOG_TASK,0)),""))</f>
        <v>1</v>
      </c>
      <c r="D2523" s="10" t="s">
        <v>1535</v>
      </c>
      <c r="E2523" s="41" t="str">
        <f t="shared" si="1"/>
        <v>PROX3</v>
      </c>
    </row>
    <row r="2524" ht="15.75" customHeight="1">
      <c r="A2524" s="10" t="s">
        <v>1536</v>
      </c>
      <c r="B2524" s="10" t="s">
        <v>137</v>
      </c>
      <c r="C2524" s="41">
        <f t="array" ref="C2524">IF(IFERROR(INDEX(CATALOG_POINTS,MATCH(A2524,CATALOG_TASK,0)),"")="",IF(MAX(IF(IFERROR(FIND(CATALOG_BASE,A2524),0)=1,CATALOG_POINTS,0))=0,DAILY_POST_POINTS,MAX(IF(IFERROR(FIND(CATALOG_BASE,A2524),0)=1,CATALOG_POINTS,0))),IFERROR(INDEX(CATALOG_POINTS,MATCH(A2524,CATALOG_TASK,0)),""))</f>
        <v>1</v>
      </c>
      <c r="D2524" s="10" t="s">
        <v>1536</v>
      </c>
      <c r="E2524" s="41" t="str">
        <f t="shared" si="1"/>
        <v>PROX3</v>
      </c>
    </row>
    <row r="2525" ht="15.75" customHeight="1">
      <c r="A2525" s="10" t="s">
        <v>1537</v>
      </c>
      <c r="B2525" s="10" t="s">
        <v>131</v>
      </c>
      <c r="C2525" s="41">
        <f t="array" ref="C2525">IF(IFERROR(INDEX(CATALOG_POINTS,MATCH(A2525,CATALOG_TASK,0)),"")="",IF(MAX(IF(IFERROR(FIND(CATALOG_BASE,A2525),0)=1,CATALOG_POINTS,0))=0,DAILY_POST_POINTS,MAX(IF(IFERROR(FIND(CATALOG_BASE,A2525),0)=1,CATALOG_POINTS,0))),IFERROR(INDEX(CATALOG_POINTS,MATCH(A2525,CATALOG_TASK,0)),""))</f>
        <v>1</v>
      </c>
      <c r="D2525" s="10" t="s">
        <v>1537</v>
      </c>
      <c r="E2525" s="41" t="str">
        <f t="shared" si="1"/>
        <v>PROX3</v>
      </c>
    </row>
    <row r="2526" ht="15.75" customHeight="1">
      <c r="A2526" s="10" t="s">
        <v>1538</v>
      </c>
      <c r="B2526" s="10" t="s">
        <v>119</v>
      </c>
      <c r="C2526" s="41">
        <f t="array" ref="C2526">IF(IFERROR(INDEX(CATALOG_POINTS,MATCH(A2526,CATALOG_TASK,0)),"")="",IF(MAX(IF(IFERROR(FIND(CATALOG_BASE,A2526),0)=1,CATALOG_POINTS,0))=0,DAILY_POST_POINTS,MAX(IF(IFERROR(FIND(CATALOG_BASE,A2526),0)=1,CATALOG_POINTS,0))),IFERROR(INDEX(CATALOG_POINTS,MATCH(A2526,CATALOG_TASK,0)),""))</f>
        <v>1</v>
      </c>
      <c r="D2526" s="10" t="s">
        <v>1538</v>
      </c>
      <c r="E2526" s="41" t="str">
        <f t="shared" si="1"/>
        <v>PROX3</v>
      </c>
    </row>
    <row r="2527" ht="15.75" customHeight="1">
      <c r="A2527" s="10" t="s">
        <v>1539</v>
      </c>
      <c r="B2527" s="10" t="s">
        <v>126</v>
      </c>
      <c r="C2527" s="41">
        <f t="array" ref="C2527">IF(IFERROR(INDEX(CATALOG_POINTS,MATCH(A2527,CATALOG_TASK,0)),"")="",IF(MAX(IF(IFERROR(FIND(CATALOG_BASE,A2527),0)=1,CATALOG_POINTS,0))=0,DAILY_POST_POINTS,MAX(IF(IFERROR(FIND(CATALOG_BASE,A2527),0)=1,CATALOG_POINTS,0))),IFERROR(INDEX(CATALOG_POINTS,MATCH(A2527,CATALOG_TASK,0)),""))</f>
        <v>1</v>
      </c>
      <c r="D2527" s="10" t="s">
        <v>1539</v>
      </c>
      <c r="E2527" s="41" t="str">
        <f t="shared" si="1"/>
        <v>PROX3</v>
      </c>
    </row>
    <row r="2528" ht="15.75" customHeight="1">
      <c r="A2528" s="10" t="s">
        <v>1540</v>
      </c>
      <c r="B2528" s="10" t="s">
        <v>131</v>
      </c>
      <c r="C2528" s="41">
        <f t="array" ref="C2528">IF(IFERROR(INDEX(CATALOG_POINTS,MATCH(A2528,CATALOG_TASK,0)),"")="",IF(MAX(IF(IFERROR(FIND(CATALOG_BASE,A2528),0)=1,CATALOG_POINTS,0))=0,DAILY_POST_POINTS,MAX(IF(IFERROR(FIND(CATALOG_BASE,A2528),0)=1,CATALOG_POINTS,0))),IFERROR(INDEX(CATALOG_POINTS,MATCH(A2528,CATALOG_TASK,0)),""))</f>
        <v>1</v>
      </c>
      <c r="D2528" s="10" t="s">
        <v>1540</v>
      </c>
      <c r="E2528" s="41" t="str">
        <f t="shared" si="1"/>
        <v>PROX3</v>
      </c>
    </row>
    <row r="2529" ht="15.75" customHeight="1">
      <c r="A2529" s="10" t="s">
        <v>1541</v>
      </c>
      <c r="B2529" s="10" t="s">
        <v>123</v>
      </c>
      <c r="C2529" s="41">
        <f t="array" ref="C2529">IF(IFERROR(INDEX(CATALOG_POINTS,MATCH(A2529,CATALOG_TASK,0)),"")="",IF(MAX(IF(IFERROR(FIND(CATALOG_BASE,A2529),0)=1,CATALOG_POINTS,0))=0,DAILY_POST_POINTS,MAX(IF(IFERROR(FIND(CATALOG_BASE,A2529),0)=1,CATALOG_POINTS,0))),IFERROR(INDEX(CATALOG_POINTS,MATCH(A2529,CATALOG_TASK,0)),""))</f>
        <v>1</v>
      </c>
      <c r="D2529" s="10" t="s">
        <v>1541</v>
      </c>
      <c r="E2529" s="41" t="str">
        <f t="shared" si="1"/>
        <v>PROX4</v>
      </c>
    </row>
    <row r="2530" ht="15.75" customHeight="1">
      <c r="A2530" s="10" t="s">
        <v>178</v>
      </c>
      <c r="B2530" s="10" t="s">
        <v>127</v>
      </c>
      <c r="C2530" s="41">
        <f t="array" ref="C2530">IF(IFERROR(INDEX(CATALOG_POINTS,MATCH(A2530,CATALOG_TASK,0)),"")="",IF(MAX(IF(IFERROR(FIND(CATALOG_BASE,A2530),0)=1,CATALOG_POINTS,0))=0,DAILY_POST_POINTS,MAX(IF(IFERROR(FIND(CATALOG_BASE,A2530),0)=1,CATALOG_POINTS,0))),IFERROR(INDEX(CATALOG_POINTS,MATCH(A2530,CATALOG_TASK,0)),""))</f>
        <v>1</v>
      </c>
      <c r="D2530" s="10" t="s">
        <v>1541</v>
      </c>
      <c r="E2530" s="41" t="str">
        <f t="shared" si="1"/>
        <v>PROX4</v>
      </c>
    </row>
    <row r="2531" ht="15.75" customHeight="1">
      <c r="A2531" s="10" t="s">
        <v>37</v>
      </c>
      <c r="B2531" s="10" t="s">
        <v>122</v>
      </c>
      <c r="C2531" s="41">
        <f t="array" ref="C2531">IF(IFERROR(INDEX(CATALOG_POINTS,MATCH(A2531,CATALOG_TASK,0)),"")="",IF(MAX(IF(IFERROR(FIND(CATALOG_BASE,A2531),0)=1,CATALOG_POINTS,0))=0,DAILY_POST_POINTS,MAX(IF(IFERROR(FIND(CATALOG_BASE,A2531),0)=1,CATALOG_POINTS,0))),IFERROR(INDEX(CATALOG_POINTS,MATCH(A2531,CATALOG_TASK,0)),""))</f>
        <v>2</v>
      </c>
      <c r="D2531" s="10" t="s">
        <v>1541</v>
      </c>
      <c r="E2531" s="41" t="str">
        <f t="shared" si="1"/>
        <v>PROX4</v>
      </c>
    </row>
    <row r="2532" ht="15.75" customHeight="1">
      <c r="A2532" s="10" t="s">
        <v>37</v>
      </c>
      <c r="B2532" s="10" t="s">
        <v>117</v>
      </c>
      <c r="C2532" s="41">
        <f t="array" ref="C2532">IF(IFERROR(INDEX(CATALOG_POINTS,MATCH(A2532,CATALOG_TASK,0)),"")="",IF(MAX(IF(IFERROR(FIND(CATALOG_BASE,A2532),0)=1,CATALOG_POINTS,0))=0,DAILY_POST_POINTS,MAX(IF(IFERROR(FIND(CATALOG_BASE,A2532),0)=1,CATALOG_POINTS,0))),IFERROR(INDEX(CATALOG_POINTS,MATCH(A2532,CATALOG_TASK,0)),""))</f>
        <v>2</v>
      </c>
      <c r="D2532" s="10" t="s">
        <v>1541</v>
      </c>
      <c r="E2532" s="41" t="str">
        <f t="shared" si="1"/>
        <v>PROX4</v>
      </c>
    </row>
    <row r="2533" ht="15.75" customHeight="1">
      <c r="A2533" s="10" t="s">
        <v>24</v>
      </c>
      <c r="B2533" s="10" t="s">
        <v>117</v>
      </c>
      <c r="C2533" s="41">
        <f t="array" ref="C2533">IF(IFERROR(INDEX(CATALOG_POINTS,MATCH(A2533,CATALOG_TASK,0)),"")="",IF(MAX(IF(IFERROR(FIND(CATALOG_BASE,A2533),0)=1,CATALOG_POINTS,0))=0,DAILY_POST_POINTS,MAX(IF(IFERROR(FIND(CATALOG_BASE,A2533),0)=1,CATALOG_POINTS,0))),IFERROR(INDEX(CATALOG_POINTS,MATCH(A2533,CATALOG_TASK,0)),""))</f>
        <v>2</v>
      </c>
      <c r="D2533" s="10" t="s">
        <v>1542</v>
      </c>
      <c r="E2533" s="41" t="str">
        <f t="shared" si="1"/>
        <v>PROX4</v>
      </c>
    </row>
    <row r="2534" ht="15.75" customHeight="1">
      <c r="A2534" s="10" t="s">
        <v>37</v>
      </c>
      <c r="B2534" s="10" t="s">
        <v>119</v>
      </c>
      <c r="C2534" s="41">
        <f t="array" ref="C2534">IF(IFERROR(INDEX(CATALOG_POINTS,MATCH(A2534,CATALOG_TASK,0)),"")="",IF(MAX(IF(IFERROR(FIND(CATALOG_BASE,A2534),0)=1,CATALOG_POINTS,0))=0,DAILY_POST_POINTS,MAX(IF(IFERROR(FIND(CATALOG_BASE,A2534),0)=1,CATALOG_POINTS,0))),IFERROR(INDEX(CATALOG_POINTS,MATCH(A2534,CATALOG_TASK,0)),""))</f>
        <v>2</v>
      </c>
      <c r="D2534" s="10" t="s">
        <v>1542</v>
      </c>
      <c r="E2534" s="41" t="str">
        <f t="shared" si="1"/>
        <v>PROX4</v>
      </c>
    </row>
    <row r="2535" ht="15.75" customHeight="1">
      <c r="A2535" s="10" t="s">
        <v>37</v>
      </c>
      <c r="B2535" s="10" t="s">
        <v>127</v>
      </c>
      <c r="C2535" s="41">
        <f t="array" ref="C2535">IF(IFERROR(INDEX(CATALOG_POINTS,MATCH(A2535,CATALOG_TASK,0)),"")="",IF(MAX(IF(IFERROR(FIND(CATALOG_BASE,A2535),0)=1,CATALOG_POINTS,0))=0,DAILY_POST_POINTS,MAX(IF(IFERROR(FIND(CATALOG_BASE,A2535),0)=1,CATALOG_POINTS,0))),IFERROR(INDEX(CATALOG_POINTS,MATCH(A2535,CATALOG_TASK,0)),""))</f>
        <v>2</v>
      </c>
      <c r="D2535" s="10" t="s">
        <v>1542</v>
      </c>
      <c r="E2535" s="41" t="str">
        <f t="shared" si="1"/>
        <v>PROX4</v>
      </c>
    </row>
    <row r="2536" ht="15.75" customHeight="1">
      <c r="A2536" s="10" t="s">
        <v>1542</v>
      </c>
      <c r="B2536" s="10" t="s">
        <v>125</v>
      </c>
      <c r="C2536" s="41">
        <f t="array" ref="C2536">IF(IFERROR(INDEX(CATALOG_POINTS,MATCH(A2536,CATALOG_TASK,0)),"")="",IF(MAX(IF(IFERROR(FIND(CATALOG_BASE,A2536),0)=1,CATALOG_POINTS,0))=0,DAILY_POST_POINTS,MAX(IF(IFERROR(FIND(CATALOG_BASE,A2536),0)=1,CATALOG_POINTS,0))),IFERROR(INDEX(CATALOG_POINTS,MATCH(A2536,CATALOG_TASK,0)),""))</f>
        <v>1</v>
      </c>
      <c r="D2536" s="10" t="s">
        <v>1542</v>
      </c>
      <c r="E2536" s="41" t="str">
        <f t="shared" si="1"/>
        <v>PROX4</v>
      </c>
    </row>
    <row r="2537" ht="15.75" customHeight="1">
      <c r="A2537" s="10" t="s">
        <v>1543</v>
      </c>
      <c r="B2537" s="10" t="s">
        <v>133</v>
      </c>
      <c r="C2537" s="41">
        <f t="array" ref="C2537">IF(IFERROR(INDEX(CATALOG_POINTS,MATCH(A2537,CATALOG_TASK,0)),"")="",IF(MAX(IF(IFERROR(FIND(CATALOG_BASE,A2537),0)=1,CATALOG_POINTS,0))=0,DAILY_POST_POINTS,MAX(IF(IFERROR(FIND(CATALOG_BASE,A2537),0)=1,CATALOG_POINTS,0))),IFERROR(INDEX(CATALOG_POINTS,MATCH(A2537,CATALOG_TASK,0)),""))</f>
        <v>1</v>
      </c>
      <c r="D2537" s="10" t="s">
        <v>1543</v>
      </c>
      <c r="E2537" s="41" t="str">
        <f t="shared" si="1"/>
        <v>E0</v>
      </c>
    </row>
    <row r="2538" ht="15.75" customHeight="1">
      <c r="A2538" s="10" t="s">
        <v>178</v>
      </c>
      <c r="B2538" s="10" t="s">
        <v>123</v>
      </c>
      <c r="C2538" s="41">
        <f t="array" ref="C2538">IF(IFERROR(INDEX(CATALOG_POINTS,MATCH(A2538,CATALOG_TASK,0)),"")="",IF(MAX(IF(IFERROR(FIND(CATALOG_BASE,A2538),0)=1,CATALOG_POINTS,0))=0,DAILY_POST_POINTS,MAX(IF(IFERROR(FIND(CATALOG_BASE,A2538),0)=1,CATALOG_POINTS,0))),IFERROR(INDEX(CATALOG_POINTS,MATCH(A2538,CATALOG_TASK,0)),""))</f>
        <v>1</v>
      </c>
      <c r="D2538" s="10" t="s">
        <v>1544</v>
      </c>
      <c r="E2538" s="41" t="str">
        <f t="shared" si="1"/>
        <v>PROX3</v>
      </c>
    </row>
    <row r="2539" ht="15.75" customHeight="1">
      <c r="A2539" s="10" t="s">
        <v>37</v>
      </c>
      <c r="B2539" s="10" t="s">
        <v>117</v>
      </c>
      <c r="C2539" s="41">
        <f t="array" ref="C2539">IF(IFERROR(INDEX(CATALOG_POINTS,MATCH(A2539,CATALOG_TASK,0)),"")="",IF(MAX(IF(IFERROR(FIND(CATALOG_BASE,A2539),0)=1,CATALOG_POINTS,0))=0,DAILY_POST_POINTS,MAX(IF(IFERROR(FIND(CATALOG_BASE,A2539),0)=1,CATALOG_POINTS,0))),IFERROR(INDEX(CATALOG_POINTS,MATCH(A2539,CATALOG_TASK,0)),""))</f>
        <v>2</v>
      </c>
      <c r="D2539" s="10" t="s">
        <v>1545</v>
      </c>
      <c r="E2539" s="41" t="str">
        <f t="shared" si="1"/>
        <v>PROX3</v>
      </c>
    </row>
    <row r="2540" ht="15.75" customHeight="1">
      <c r="A2540" s="10" t="s">
        <v>1545</v>
      </c>
      <c r="B2540" s="10" t="s">
        <v>123</v>
      </c>
      <c r="C2540" s="41">
        <f t="array" ref="C2540">IF(IFERROR(INDEX(CATALOG_POINTS,MATCH(A2540,CATALOG_TASK,0)),"")="",IF(MAX(IF(IFERROR(FIND(CATALOG_BASE,A2540),0)=1,CATALOG_POINTS,0))=0,DAILY_POST_POINTS,MAX(IF(IFERROR(FIND(CATALOG_BASE,A2540),0)=1,CATALOG_POINTS,0))),IFERROR(INDEX(CATALOG_POINTS,MATCH(A2540,CATALOG_TASK,0)),""))</f>
        <v>1</v>
      </c>
      <c r="D2540" s="10" t="s">
        <v>1545</v>
      </c>
      <c r="E2540" s="41" t="str">
        <f t="shared" si="1"/>
        <v>PROX3</v>
      </c>
    </row>
    <row r="2541" ht="15.75" customHeight="1">
      <c r="A2541" s="10" t="s">
        <v>174</v>
      </c>
      <c r="B2541" s="10" t="s">
        <v>123</v>
      </c>
      <c r="C2541" s="41">
        <f t="array" ref="C2541">IF(IFERROR(INDEX(CATALOG_POINTS,MATCH(A2541,CATALOG_TASK,0)),"")="",IF(MAX(IF(IFERROR(FIND(CATALOG_BASE,A2541),0)=1,CATALOG_POINTS,0))=0,DAILY_POST_POINTS,MAX(IF(IFERROR(FIND(CATALOG_BASE,A2541),0)=1,CATALOG_POINTS,0))),IFERROR(INDEX(CATALOG_POINTS,MATCH(A2541,CATALOG_TASK,0)),""))</f>
        <v>1</v>
      </c>
      <c r="D2541" s="10" t="s">
        <v>1545</v>
      </c>
      <c r="E2541" s="41" t="str">
        <f t="shared" si="1"/>
        <v>PROX3</v>
      </c>
    </row>
    <row r="2542" ht="15.75" customHeight="1">
      <c r="A2542" s="10" t="s">
        <v>168</v>
      </c>
      <c r="B2542" s="10" t="s">
        <v>117</v>
      </c>
      <c r="C2542" s="41">
        <f t="array" ref="C2542">IF(IFERROR(INDEX(CATALOG_POINTS,MATCH(A2542,CATALOG_TASK,0)),"")="",IF(MAX(IF(IFERROR(FIND(CATALOG_BASE,A2542),0)=1,CATALOG_POINTS,0))=0,DAILY_POST_POINTS,MAX(IF(IFERROR(FIND(CATALOG_BASE,A2542),0)=1,CATALOG_POINTS,0))),IFERROR(INDEX(CATALOG_POINTS,MATCH(A2542,CATALOG_TASK,0)),""))</f>
        <v>1</v>
      </c>
      <c r="D2542" s="10" t="s">
        <v>1545</v>
      </c>
      <c r="E2542" s="41" t="str">
        <f t="shared" si="1"/>
        <v>PROX3</v>
      </c>
    </row>
    <row r="2543" ht="15.75" customHeight="1">
      <c r="A2543" s="10" t="s">
        <v>1546</v>
      </c>
      <c r="B2543" s="10" t="s">
        <v>120</v>
      </c>
      <c r="C2543" s="41">
        <f t="array" ref="C2543">IF(IFERROR(INDEX(CATALOG_POINTS,MATCH(A2543,CATALOG_TASK,0)),"")="",IF(MAX(IF(IFERROR(FIND(CATALOG_BASE,A2543),0)=1,CATALOG_POINTS,0))=0,DAILY_POST_POINTS,MAX(IF(IFERROR(FIND(CATALOG_BASE,A2543),0)=1,CATALOG_POINTS,0))),IFERROR(INDEX(CATALOG_POINTS,MATCH(A2543,CATALOG_TASK,0)),""))</f>
        <v>1</v>
      </c>
      <c r="D2543" s="10" t="s">
        <v>1546</v>
      </c>
      <c r="E2543" s="41" t="str">
        <f t="shared" si="1"/>
        <v>E0</v>
      </c>
    </row>
    <row r="2544" ht="15.75" customHeight="1">
      <c r="A2544" s="10" t="s">
        <v>1547</v>
      </c>
      <c r="B2544" s="10" t="s">
        <v>133</v>
      </c>
      <c r="C2544" s="41">
        <f t="array" ref="C2544">IF(IFERROR(INDEX(CATALOG_POINTS,MATCH(A2544,CATALOG_TASK,0)),"")="",IF(MAX(IF(IFERROR(FIND(CATALOG_BASE,A2544),0)=1,CATALOG_POINTS,0))=0,DAILY_POST_POINTS,MAX(IF(IFERROR(FIND(CATALOG_BASE,A2544),0)=1,CATALOG_POINTS,0))),IFERROR(INDEX(CATALOG_POINTS,MATCH(A2544,CATALOG_TASK,0)),""))</f>
        <v>1</v>
      </c>
      <c r="D2544" s="10" t="s">
        <v>1548</v>
      </c>
      <c r="E2544" s="41" t="str">
        <f t="shared" si="1"/>
        <v/>
      </c>
    </row>
    <row r="2545" ht="15.75" customHeight="1">
      <c r="A2545" s="10" t="s">
        <v>1549</v>
      </c>
      <c r="B2545" s="10" t="s">
        <v>120</v>
      </c>
      <c r="C2545" s="41">
        <f t="array" ref="C2545">IF(IFERROR(INDEX(CATALOG_POINTS,MATCH(A2545,CATALOG_TASK,0)),"")="",IF(MAX(IF(IFERROR(FIND(CATALOG_BASE,A2545),0)=1,CATALOG_POINTS,0))=0,DAILY_POST_POINTS,MAX(IF(IFERROR(FIND(CATALOG_BASE,A2545),0)=1,CATALOG_POINTS,0))),IFERROR(INDEX(CATALOG_POINTS,MATCH(A2545,CATALOG_TASK,0)),""))</f>
        <v>1</v>
      </c>
      <c r="D2545" s="10" t="s">
        <v>1549</v>
      </c>
      <c r="E2545" s="41" t="str">
        <f t="shared" si="1"/>
        <v/>
      </c>
    </row>
    <row r="2546" ht="15.75" customHeight="1">
      <c r="A2546" s="10" t="s">
        <v>1550</v>
      </c>
      <c r="B2546" s="10" t="s">
        <v>128</v>
      </c>
      <c r="C2546" s="41">
        <f t="array" ref="C2546">IF(IFERROR(INDEX(CATALOG_POINTS,MATCH(A2546,CATALOG_TASK,0)),"")="",IF(MAX(IF(IFERROR(FIND(CATALOG_BASE,A2546),0)=1,CATALOG_POINTS,0))=0,DAILY_POST_POINTS,MAX(IF(IFERROR(FIND(CATALOG_BASE,A2546),0)=1,CATALOG_POINTS,0))),IFERROR(INDEX(CATALOG_POINTS,MATCH(A2546,CATALOG_TASK,0)),""))</f>
        <v>1</v>
      </c>
      <c r="D2546" s="10" t="s">
        <v>1550</v>
      </c>
      <c r="E2546" s="41" t="str">
        <f t="shared" si="1"/>
        <v>PROX3</v>
      </c>
    </row>
    <row r="2547" ht="15.75" customHeight="1">
      <c r="A2547" s="10" t="s">
        <v>1551</v>
      </c>
      <c r="B2547" s="10" t="s">
        <v>126</v>
      </c>
      <c r="C2547" s="41">
        <f t="array" ref="C2547">IF(IFERROR(INDEX(CATALOG_POINTS,MATCH(A2547,CATALOG_TASK,0)),"")="",IF(MAX(IF(IFERROR(FIND(CATALOG_BASE,A2547),0)=1,CATALOG_POINTS,0))=0,DAILY_POST_POINTS,MAX(IF(IFERROR(FIND(CATALOG_BASE,A2547),0)=1,CATALOG_POINTS,0))),IFERROR(INDEX(CATALOG_POINTS,MATCH(A2547,CATALOG_TASK,0)),""))</f>
        <v>1</v>
      </c>
      <c r="D2547" s="10" t="s">
        <v>1551</v>
      </c>
      <c r="E2547" s="41" t="str">
        <f t="shared" si="1"/>
        <v>PROX3</v>
      </c>
    </row>
    <row r="2548" ht="15.75" customHeight="1">
      <c r="A2548" s="10" t="s">
        <v>37</v>
      </c>
      <c r="B2548" s="10" t="s">
        <v>117</v>
      </c>
      <c r="C2548" s="41">
        <f t="array" ref="C2548">IF(IFERROR(INDEX(CATALOG_POINTS,MATCH(A2548,CATALOG_TASK,0)),"")="",IF(MAX(IF(IFERROR(FIND(CATALOG_BASE,A2548),0)=1,CATALOG_POINTS,0))=0,DAILY_POST_POINTS,MAX(IF(IFERROR(FIND(CATALOG_BASE,A2548),0)=1,CATALOG_POINTS,0))),IFERROR(INDEX(CATALOG_POINTS,MATCH(A2548,CATALOG_TASK,0)),""))</f>
        <v>2</v>
      </c>
      <c r="D2548" s="10" t="s">
        <v>1551</v>
      </c>
      <c r="E2548" s="41" t="str">
        <f t="shared" si="1"/>
        <v>PROX3</v>
      </c>
    </row>
    <row r="2549" ht="15.75" customHeight="1">
      <c r="A2549" s="10" t="s">
        <v>179</v>
      </c>
      <c r="B2549" s="10" t="s">
        <v>140</v>
      </c>
      <c r="C2549" s="41">
        <f t="array" ref="C2549">IF(IFERROR(INDEX(CATALOG_POINTS,MATCH(A2549,CATALOG_TASK,0)),"")="",IF(MAX(IF(IFERROR(FIND(CATALOG_BASE,A2549),0)=1,CATALOG_POINTS,0))=0,DAILY_POST_POINTS,MAX(IF(IFERROR(FIND(CATALOG_BASE,A2549),0)=1,CATALOG_POINTS,0))),IFERROR(INDEX(CATALOG_POINTS,MATCH(A2549,CATALOG_TASK,0)),""))</f>
        <v>1</v>
      </c>
      <c r="D2549" s="10" t="s">
        <v>1551</v>
      </c>
      <c r="E2549" s="41" t="str">
        <f t="shared" si="1"/>
        <v>PROX3</v>
      </c>
    </row>
    <row r="2550" ht="15.75" customHeight="1">
      <c r="A2550" s="10" t="s">
        <v>37</v>
      </c>
      <c r="B2550" s="10" t="s">
        <v>126</v>
      </c>
      <c r="C2550" s="41">
        <f t="array" ref="C2550">IF(IFERROR(INDEX(CATALOG_POINTS,MATCH(A2550,CATALOG_TASK,0)),"")="",IF(MAX(IF(IFERROR(FIND(CATALOG_BASE,A2550),0)=1,CATALOG_POINTS,0))=0,DAILY_POST_POINTS,MAX(IF(IFERROR(FIND(CATALOG_BASE,A2550),0)=1,CATALOG_POINTS,0))),IFERROR(INDEX(CATALOG_POINTS,MATCH(A2550,CATALOG_TASK,0)),""))</f>
        <v>2</v>
      </c>
      <c r="D2550" s="10" t="s">
        <v>1551</v>
      </c>
      <c r="E2550" s="41" t="str">
        <f t="shared" si="1"/>
        <v>PROX3</v>
      </c>
    </row>
    <row r="2551" ht="15.75" customHeight="1">
      <c r="A2551" s="10" t="s">
        <v>168</v>
      </c>
      <c r="B2551" s="10" t="s">
        <v>117</v>
      </c>
      <c r="C2551" s="41">
        <f t="array" ref="C2551">IF(IFERROR(INDEX(CATALOG_POINTS,MATCH(A2551,CATALOG_TASK,0)),"")="",IF(MAX(IF(IFERROR(FIND(CATALOG_BASE,A2551),0)=1,CATALOG_POINTS,0))=0,DAILY_POST_POINTS,MAX(IF(IFERROR(FIND(CATALOG_BASE,A2551),0)=1,CATALOG_POINTS,0))),IFERROR(INDEX(CATALOG_POINTS,MATCH(A2551,CATALOG_TASK,0)),""))</f>
        <v>1</v>
      </c>
      <c r="D2551" s="10" t="s">
        <v>1551</v>
      </c>
      <c r="E2551" s="41" t="str">
        <f t="shared" si="1"/>
        <v>PROX3</v>
      </c>
    </row>
    <row r="2552" ht="15.75" customHeight="1">
      <c r="A2552" s="10" t="s">
        <v>37</v>
      </c>
      <c r="B2552" s="10" t="s">
        <v>123</v>
      </c>
      <c r="C2552" s="41">
        <f t="array" ref="C2552">IF(IFERROR(INDEX(CATALOG_POINTS,MATCH(A2552,CATALOG_TASK,0)),"")="",IF(MAX(IF(IFERROR(FIND(CATALOG_BASE,A2552),0)=1,CATALOG_POINTS,0))=0,DAILY_POST_POINTS,MAX(IF(IFERROR(FIND(CATALOG_BASE,A2552),0)=1,CATALOG_POINTS,0))),IFERROR(INDEX(CATALOG_POINTS,MATCH(A2552,CATALOG_TASK,0)),""))</f>
        <v>2</v>
      </c>
      <c r="D2552" s="10" t="s">
        <v>1552</v>
      </c>
      <c r="E2552" s="41" t="str">
        <f t="shared" si="1"/>
        <v>PROX3</v>
      </c>
    </row>
    <row r="2553" ht="15.75" customHeight="1">
      <c r="A2553" s="10" t="s">
        <v>37</v>
      </c>
      <c r="B2553" s="10" t="s">
        <v>121</v>
      </c>
      <c r="C2553" s="41">
        <f t="array" ref="C2553">IF(IFERROR(INDEX(CATALOG_POINTS,MATCH(A2553,CATALOG_TASK,0)),"")="",IF(MAX(IF(IFERROR(FIND(CATALOG_BASE,A2553),0)=1,CATALOG_POINTS,0))=0,DAILY_POST_POINTS,MAX(IF(IFERROR(FIND(CATALOG_BASE,A2553),0)=1,CATALOG_POINTS,0))),IFERROR(INDEX(CATALOG_POINTS,MATCH(A2553,CATALOG_TASK,0)),""))</f>
        <v>2</v>
      </c>
      <c r="D2553" s="10" t="s">
        <v>1552</v>
      </c>
      <c r="E2553" s="41" t="str">
        <f t="shared" si="1"/>
        <v>PROX3</v>
      </c>
    </row>
    <row r="2554" ht="15.75" customHeight="1">
      <c r="A2554" s="10" t="s">
        <v>1552</v>
      </c>
      <c r="B2554" s="10" t="s">
        <v>120</v>
      </c>
      <c r="C2554" s="41">
        <f t="array" ref="C2554">IF(IFERROR(INDEX(CATALOG_POINTS,MATCH(A2554,CATALOG_TASK,0)),"")="",IF(MAX(IF(IFERROR(FIND(CATALOG_BASE,A2554),0)=1,CATALOG_POINTS,0))=0,DAILY_POST_POINTS,MAX(IF(IFERROR(FIND(CATALOG_BASE,A2554),0)=1,CATALOG_POINTS,0))),IFERROR(INDEX(CATALOG_POINTS,MATCH(A2554,CATALOG_TASK,0)),""))</f>
        <v>1</v>
      </c>
      <c r="D2554" s="10" t="s">
        <v>1552</v>
      </c>
      <c r="E2554" s="41" t="str">
        <f t="shared" si="1"/>
        <v>PROX3</v>
      </c>
    </row>
    <row r="2555" ht="15.75" customHeight="1">
      <c r="A2555" s="10" t="s">
        <v>180</v>
      </c>
      <c r="B2555" s="10" t="s">
        <v>123</v>
      </c>
      <c r="C2555" s="41">
        <f t="array" ref="C2555">IF(IFERROR(INDEX(CATALOG_POINTS,MATCH(A2555,CATALOG_TASK,0)),"")="",IF(MAX(IF(IFERROR(FIND(CATALOG_BASE,A2555),0)=1,CATALOG_POINTS,0))=0,DAILY_POST_POINTS,MAX(IF(IFERROR(FIND(CATALOG_BASE,A2555),0)=1,CATALOG_POINTS,0))),IFERROR(INDEX(CATALOG_POINTS,MATCH(A2555,CATALOG_TASK,0)),""))</f>
        <v>1</v>
      </c>
      <c r="D2555" s="10" t="s">
        <v>1553</v>
      </c>
      <c r="E2555" s="41" t="str">
        <f t="shared" si="1"/>
        <v>PROX4</v>
      </c>
    </row>
    <row r="2556" ht="15.75" customHeight="1">
      <c r="A2556" s="10" t="s">
        <v>168</v>
      </c>
      <c r="B2556" s="10" t="s">
        <v>125</v>
      </c>
      <c r="C2556" s="41">
        <f t="array" ref="C2556">IF(IFERROR(INDEX(CATALOG_POINTS,MATCH(A2556,CATALOG_TASK,0)),"")="",IF(MAX(IF(IFERROR(FIND(CATALOG_BASE,A2556),0)=1,CATALOG_POINTS,0))=0,DAILY_POST_POINTS,MAX(IF(IFERROR(FIND(CATALOG_BASE,A2556),0)=1,CATALOG_POINTS,0))),IFERROR(INDEX(CATALOG_POINTS,MATCH(A2556,CATALOG_TASK,0)),""))</f>
        <v>1</v>
      </c>
      <c r="D2556" s="10" t="s">
        <v>1554</v>
      </c>
      <c r="E2556" s="41" t="str">
        <f t="shared" si="1"/>
        <v>PROX3</v>
      </c>
    </row>
    <row r="2557" ht="15.75" customHeight="1">
      <c r="A2557" s="10" t="s">
        <v>1554</v>
      </c>
      <c r="B2557" s="10" t="s">
        <v>131</v>
      </c>
      <c r="C2557" s="41">
        <f t="array" ref="C2557">IF(IFERROR(INDEX(CATALOG_POINTS,MATCH(A2557,CATALOG_TASK,0)),"")="",IF(MAX(IF(IFERROR(FIND(CATALOG_BASE,A2557),0)=1,CATALOG_POINTS,0))=0,DAILY_POST_POINTS,MAX(IF(IFERROR(FIND(CATALOG_BASE,A2557),0)=1,CATALOG_POINTS,0))),IFERROR(INDEX(CATALOG_POINTS,MATCH(A2557,CATALOG_TASK,0)),""))</f>
        <v>1</v>
      </c>
      <c r="D2557" s="10" t="s">
        <v>1554</v>
      </c>
      <c r="E2557" s="41" t="str">
        <f t="shared" si="1"/>
        <v>PROX3</v>
      </c>
    </row>
    <row r="2558" ht="15.75" customHeight="1">
      <c r="A2558" s="10" t="s">
        <v>37</v>
      </c>
      <c r="B2558" s="10" t="s">
        <v>125</v>
      </c>
      <c r="C2558" s="41">
        <f t="array" ref="C2558">IF(IFERROR(INDEX(CATALOG_POINTS,MATCH(A2558,CATALOG_TASK,0)),"")="",IF(MAX(IF(IFERROR(FIND(CATALOG_BASE,A2558),0)=1,CATALOG_POINTS,0))=0,DAILY_POST_POINTS,MAX(IF(IFERROR(FIND(CATALOG_BASE,A2558),0)=1,CATALOG_POINTS,0))),IFERROR(INDEX(CATALOG_POINTS,MATCH(A2558,CATALOG_TASK,0)),""))</f>
        <v>2</v>
      </c>
      <c r="D2558" s="10" t="s">
        <v>1554</v>
      </c>
      <c r="E2558" s="41" t="str">
        <f t="shared" si="1"/>
        <v>PROX3</v>
      </c>
    </row>
    <row r="2559" ht="15.75" customHeight="1">
      <c r="A2559" s="10" t="s">
        <v>1555</v>
      </c>
      <c r="B2559" s="10" t="s">
        <v>122</v>
      </c>
      <c r="C2559" s="41">
        <f t="array" ref="C2559">IF(IFERROR(INDEX(CATALOG_POINTS,MATCH(A2559,CATALOG_TASK,0)),"")="",IF(MAX(IF(IFERROR(FIND(CATALOG_BASE,A2559),0)=1,CATALOG_POINTS,0))=0,DAILY_POST_POINTS,MAX(IF(IFERROR(FIND(CATALOG_BASE,A2559),0)=1,CATALOG_POINTS,0))),IFERROR(INDEX(CATALOG_POINTS,MATCH(A2559,CATALOG_TASK,0)),""))</f>
        <v>1</v>
      </c>
      <c r="D2559" s="10" t="s">
        <v>1555</v>
      </c>
      <c r="E2559" s="41" t="str">
        <f t="shared" si="1"/>
        <v>E0</v>
      </c>
    </row>
    <row r="2560" ht="15.75" customHeight="1">
      <c r="A2560" s="10" t="s">
        <v>1556</v>
      </c>
      <c r="B2560" s="10" t="s">
        <v>119</v>
      </c>
      <c r="C2560" s="41">
        <f t="array" ref="C2560">IF(IFERROR(INDEX(CATALOG_POINTS,MATCH(A2560,CATALOG_TASK,0)),"")="",IF(MAX(IF(IFERROR(FIND(CATALOG_BASE,A2560),0)=1,CATALOG_POINTS,0))=0,DAILY_POST_POINTS,MAX(IF(IFERROR(FIND(CATALOG_BASE,A2560),0)=1,CATALOG_POINTS,0))),IFERROR(INDEX(CATALOG_POINTS,MATCH(A2560,CATALOG_TASK,0)),""))</f>
        <v>1</v>
      </c>
      <c r="D2560" s="10" t="s">
        <v>1556</v>
      </c>
      <c r="E2560" s="41" t="str">
        <f t="shared" si="1"/>
        <v>PROX4</v>
      </c>
    </row>
    <row r="2561" ht="15.75" customHeight="1">
      <c r="A2561" s="10" t="s">
        <v>37</v>
      </c>
      <c r="B2561" s="10" t="s">
        <v>127</v>
      </c>
      <c r="C2561" s="41">
        <f t="array" ref="C2561">IF(IFERROR(INDEX(CATALOG_POINTS,MATCH(A2561,CATALOG_TASK,0)),"")="",IF(MAX(IF(IFERROR(FIND(CATALOG_BASE,A2561),0)=1,CATALOG_POINTS,0))=0,DAILY_POST_POINTS,MAX(IF(IFERROR(FIND(CATALOG_BASE,A2561),0)=1,CATALOG_POINTS,0))),IFERROR(INDEX(CATALOG_POINTS,MATCH(A2561,CATALOG_TASK,0)),""))</f>
        <v>2</v>
      </c>
      <c r="D2561" s="10" t="s">
        <v>1556</v>
      </c>
      <c r="E2561" s="41" t="str">
        <f t="shared" si="1"/>
        <v>PROX4</v>
      </c>
    </row>
    <row r="2562" ht="15.75" customHeight="1">
      <c r="A2562" s="10" t="s">
        <v>37</v>
      </c>
      <c r="B2562" s="10" t="s">
        <v>127</v>
      </c>
      <c r="C2562" s="41">
        <f t="array" ref="C2562">IF(IFERROR(INDEX(CATALOG_POINTS,MATCH(A2562,CATALOG_TASK,0)),"")="",IF(MAX(IF(IFERROR(FIND(CATALOG_BASE,A2562),0)=1,CATALOG_POINTS,0))=0,DAILY_POST_POINTS,MAX(IF(IFERROR(FIND(CATALOG_BASE,A2562),0)=1,CATALOG_POINTS,0))),IFERROR(INDEX(CATALOG_POINTS,MATCH(A2562,CATALOG_TASK,0)),""))</f>
        <v>2</v>
      </c>
      <c r="D2562" s="10" t="s">
        <v>1556</v>
      </c>
      <c r="E2562" s="41" t="str">
        <f t="shared" si="1"/>
        <v>PROX4</v>
      </c>
    </row>
    <row r="2563" ht="15.75" customHeight="1">
      <c r="A2563" s="10" t="s">
        <v>24</v>
      </c>
      <c r="B2563" s="10" t="s">
        <v>127</v>
      </c>
      <c r="C2563" s="41">
        <f t="array" ref="C2563">IF(IFERROR(INDEX(CATALOG_POINTS,MATCH(A2563,CATALOG_TASK,0)),"")="",IF(MAX(IF(IFERROR(FIND(CATALOG_BASE,A2563),0)=1,CATALOG_POINTS,0))=0,DAILY_POST_POINTS,MAX(IF(IFERROR(FIND(CATALOG_BASE,A2563),0)=1,CATALOG_POINTS,0))),IFERROR(INDEX(CATALOG_POINTS,MATCH(A2563,CATALOG_TASK,0)),""))</f>
        <v>2</v>
      </c>
      <c r="D2563" s="10" t="s">
        <v>1557</v>
      </c>
      <c r="E2563" s="41" t="str">
        <f t="shared" si="1"/>
        <v>PROX3</v>
      </c>
    </row>
    <row r="2564" ht="15.75" customHeight="1">
      <c r="A2564" s="10" t="s">
        <v>1557</v>
      </c>
      <c r="B2564" s="10" t="s">
        <v>123</v>
      </c>
      <c r="C2564" s="41">
        <f t="array" ref="C2564">IF(IFERROR(INDEX(CATALOG_POINTS,MATCH(A2564,CATALOG_TASK,0)),"")="",IF(MAX(IF(IFERROR(FIND(CATALOG_BASE,A2564),0)=1,CATALOG_POINTS,0))=0,DAILY_POST_POINTS,MAX(IF(IFERROR(FIND(CATALOG_BASE,A2564),0)=1,CATALOG_POINTS,0))),IFERROR(INDEX(CATALOG_POINTS,MATCH(A2564,CATALOG_TASK,0)),""))</f>
        <v>1</v>
      </c>
      <c r="D2564" s="10" t="s">
        <v>1557</v>
      </c>
      <c r="E2564" s="41" t="str">
        <f t="shared" si="1"/>
        <v>PROX3</v>
      </c>
    </row>
    <row r="2565" ht="15.75" customHeight="1">
      <c r="A2565" s="10" t="s">
        <v>178</v>
      </c>
      <c r="B2565" s="10" t="s">
        <v>149</v>
      </c>
      <c r="C2565" s="41">
        <f t="array" ref="C2565">IF(IFERROR(INDEX(CATALOG_POINTS,MATCH(A2565,CATALOG_TASK,0)),"")="",IF(MAX(IF(IFERROR(FIND(CATALOG_BASE,A2565),0)=1,CATALOG_POINTS,0))=0,DAILY_POST_POINTS,MAX(IF(IFERROR(FIND(CATALOG_BASE,A2565),0)=1,CATALOG_POINTS,0))),IFERROR(INDEX(CATALOG_POINTS,MATCH(A2565,CATALOG_TASK,0)),""))</f>
        <v>1</v>
      </c>
      <c r="D2565" s="10" t="s">
        <v>1557</v>
      </c>
      <c r="E2565" s="41" t="str">
        <f t="shared" si="1"/>
        <v>PROX3</v>
      </c>
    </row>
    <row r="2566" ht="15.75" customHeight="1">
      <c r="A2566" s="10" t="s">
        <v>174</v>
      </c>
      <c r="B2566" s="10" t="s">
        <v>126</v>
      </c>
      <c r="C2566" s="41">
        <f t="array" ref="C2566">IF(IFERROR(INDEX(CATALOG_POINTS,MATCH(A2566,CATALOG_TASK,0)),"")="",IF(MAX(IF(IFERROR(FIND(CATALOG_BASE,A2566),0)=1,CATALOG_POINTS,0))=0,DAILY_POST_POINTS,MAX(IF(IFERROR(FIND(CATALOG_BASE,A2566),0)=1,CATALOG_POINTS,0))),IFERROR(INDEX(CATALOG_POINTS,MATCH(A2566,CATALOG_TASK,0)),""))</f>
        <v>1</v>
      </c>
      <c r="D2566" s="10" t="s">
        <v>1557</v>
      </c>
      <c r="E2566" s="41" t="str">
        <f t="shared" si="1"/>
        <v>PROX3</v>
      </c>
    </row>
    <row r="2567" ht="15.75" customHeight="1">
      <c r="A2567" s="10" t="s">
        <v>37</v>
      </c>
      <c r="B2567" s="10" t="s">
        <v>128</v>
      </c>
      <c r="C2567" s="41">
        <f t="array" ref="C2567">IF(IFERROR(INDEX(CATALOG_POINTS,MATCH(A2567,CATALOG_TASK,0)),"")="",IF(MAX(IF(IFERROR(FIND(CATALOG_BASE,A2567),0)=1,CATALOG_POINTS,0))=0,DAILY_POST_POINTS,MAX(IF(IFERROR(FIND(CATALOG_BASE,A2567),0)=1,CATALOG_POINTS,0))),IFERROR(INDEX(CATALOG_POINTS,MATCH(A2567,CATALOG_TASK,0)),""))</f>
        <v>2</v>
      </c>
      <c r="D2567" s="10" t="s">
        <v>1558</v>
      </c>
      <c r="E2567" s="41" t="str">
        <f t="shared" si="1"/>
        <v>E0</v>
      </c>
    </row>
    <row r="2568" ht="15.75" customHeight="1">
      <c r="A2568" s="10" t="s">
        <v>1558</v>
      </c>
      <c r="B2568" s="10" t="s">
        <v>135</v>
      </c>
      <c r="C2568" s="41">
        <f t="array" ref="C2568">IF(IFERROR(INDEX(CATALOG_POINTS,MATCH(A2568,CATALOG_TASK,0)),"")="",IF(MAX(IF(IFERROR(FIND(CATALOG_BASE,A2568),0)=1,CATALOG_POINTS,0))=0,DAILY_POST_POINTS,MAX(IF(IFERROR(FIND(CATALOG_BASE,A2568),0)=1,CATALOG_POINTS,0))),IFERROR(INDEX(CATALOG_POINTS,MATCH(A2568,CATALOG_TASK,0)),""))</f>
        <v>1</v>
      </c>
      <c r="D2568" s="10" t="s">
        <v>1558</v>
      </c>
      <c r="E2568" s="41" t="str">
        <f t="shared" si="1"/>
        <v>E0</v>
      </c>
    </row>
    <row r="2569" ht="15.75" customHeight="1">
      <c r="A2569" s="10" t="s">
        <v>37</v>
      </c>
      <c r="B2569" s="10" t="s">
        <v>122</v>
      </c>
      <c r="C2569" s="41">
        <f t="array" ref="C2569">IF(IFERROR(INDEX(CATALOG_POINTS,MATCH(A2569,CATALOG_TASK,0)),"")="",IF(MAX(IF(IFERROR(FIND(CATALOG_BASE,A2569),0)=1,CATALOG_POINTS,0))=0,DAILY_POST_POINTS,MAX(IF(IFERROR(FIND(CATALOG_BASE,A2569),0)=1,CATALOG_POINTS,0))),IFERROR(INDEX(CATALOG_POINTS,MATCH(A2569,CATALOG_TASK,0)),""))</f>
        <v>2</v>
      </c>
      <c r="D2569" s="10" t="s">
        <v>1558</v>
      </c>
      <c r="E2569" s="41" t="str">
        <f t="shared" si="1"/>
        <v>E0</v>
      </c>
    </row>
    <row r="2570" ht="15.75" customHeight="1">
      <c r="A2570" s="10" t="s">
        <v>37</v>
      </c>
      <c r="B2570" s="10" t="s">
        <v>128</v>
      </c>
      <c r="C2570" s="41">
        <f t="array" ref="C2570">IF(IFERROR(INDEX(CATALOG_POINTS,MATCH(A2570,CATALOG_TASK,0)),"")="",IF(MAX(IF(IFERROR(FIND(CATALOG_BASE,A2570),0)=1,CATALOG_POINTS,0))=0,DAILY_POST_POINTS,MAX(IF(IFERROR(FIND(CATALOG_BASE,A2570),0)=1,CATALOG_POINTS,0))),IFERROR(INDEX(CATALOG_POINTS,MATCH(A2570,CATALOG_TASK,0)),""))</f>
        <v>2</v>
      </c>
      <c r="D2570" s="10" t="s">
        <v>1558</v>
      </c>
      <c r="E2570" s="41" t="str">
        <f t="shared" si="1"/>
        <v>E0</v>
      </c>
    </row>
    <row r="2571" ht="15.75" customHeight="1">
      <c r="A2571" s="10" t="s">
        <v>24</v>
      </c>
      <c r="B2571" s="10" t="s">
        <v>117</v>
      </c>
      <c r="C2571" s="41">
        <f t="array" ref="C2571">IF(IFERROR(INDEX(CATALOG_POINTS,MATCH(A2571,CATALOG_TASK,0)),"")="",IF(MAX(IF(IFERROR(FIND(CATALOG_BASE,A2571),0)=1,CATALOG_POINTS,0))=0,DAILY_POST_POINTS,MAX(IF(IFERROR(FIND(CATALOG_BASE,A2571),0)=1,CATALOG_POINTS,0))),IFERROR(INDEX(CATALOG_POINTS,MATCH(A2571,CATALOG_TASK,0)),""))</f>
        <v>2</v>
      </c>
      <c r="D2571" s="10" t="s">
        <v>1559</v>
      </c>
      <c r="E2571" s="41" t="str">
        <f t="shared" si="1"/>
        <v>PROX3</v>
      </c>
    </row>
    <row r="2572" ht="15.75" customHeight="1">
      <c r="A2572" s="10" t="s">
        <v>37</v>
      </c>
      <c r="B2572" s="10" t="s">
        <v>128</v>
      </c>
      <c r="C2572" s="41">
        <f t="array" ref="C2572">IF(IFERROR(INDEX(CATALOG_POINTS,MATCH(A2572,CATALOG_TASK,0)),"")="",IF(MAX(IF(IFERROR(FIND(CATALOG_BASE,A2572),0)=1,CATALOG_POINTS,0))=0,DAILY_POST_POINTS,MAX(IF(IFERROR(FIND(CATALOG_BASE,A2572),0)=1,CATALOG_POINTS,0))),IFERROR(INDEX(CATALOG_POINTS,MATCH(A2572,CATALOG_TASK,0)),""))</f>
        <v>2</v>
      </c>
      <c r="D2572" s="10" t="s">
        <v>1559</v>
      </c>
      <c r="E2572" s="41" t="str">
        <f t="shared" si="1"/>
        <v>PROX3</v>
      </c>
    </row>
    <row r="2573" ht="15.75" customHeight="1">
      <c r="A2573" s="10" t="s">
        <v>174</v>
      </c>
      <c r="B2573" s="10" t="s">
        <v>127</v>
      </c>
      <c r="C2573" s="41">
        <f t="array" ref="C2573">IF(IFERROR(INDEX(CATALOG_POINTS,MATCH(A2573,CATALOG_TASK,0)),"")="",IF(MAX(IF(IFERROR(FIND(CATALOG_BASE,A2573),0)=1,CATALOG_POINTS,0))=0,DAILY_POST_POINTS,MAX(IF(IFERROR(FIND(CATALOG_BASE,A2573),0)=1,CATALOG_POINTS,0))),IFERROR(INDEX(CATALOG_POINTS,MATCH(A2573,CATALOG_TASK,0)),""))</f>
        <v>1</v>
      </c>
      <c r="D2573" s="10" t="s">
        <v>1559</v>
      </c>
      <c r="E2573" s="41" t="str">
        <f t="shared" si="1"/>
        <v>PROX3</v>
      </c>
    </row>
    <row r="2574" ht="15.75" customHeight="1">
      <c r="A2574" s="10" t="s">
        <v>1560</v>
      </c>
      <c r="B2574" s="10" t="s">
        <v>137</v>
      </c>
      <c r="C2574" s="41">
        <f t="array" ref="C2574">IF(IFERROR(INDEX(CATALOG_POINTS,MATCH(A2574,CATALOG_TASK,0)),"")="",IF(MAX(IF(IFERROR(FIND(CATALOG_BASE,A2574),0)=1,CATALOG_POINTS,0))=0,DAILY_POST_POINTS,MAX(IF(IFERROR(FIND(CATALOG_BASE,A2574),0)=1,CATALOG_POINTS,0))),IFERROR(INDEX(CATALOG_POINTS,MATCH(A2574,CATALOG_TASK,0)),""))</f>
        <v>1</v>
      </c>
      <c r="D2574" s="10" t="s">
        <v>1560</v>
      </c>
      <c r="E2574" s="41" t="str">
        <f t="shared" si="1"/>
        <v>PROX3</v>
      </c>
    </row>
    <row r="2575" ht="15.75" customHeight="1">
      <c r="A2575" s="10" t="s">
        <v>37</v>
      </c>
      <c r="B2575" s="10" t="s">
        <v>122</v>
      </c>
      <c r="C2575" s="41">
        <f t="array" ref="C2575">IF(IFERROR(INDEX(CATALOG_POINTS,MATCH(A2575,CATALOG_TASK,0)),"")="",IF(MAX(IF(IFERROR(FIND(CATALOG_BASE,A2575),0)=1,CATALOG_POINTS,0))=0,DAILY_POST_POINTS,MAX(IF(IFERROR(FIND(CATALOG_BASE,A2575),0)=1,CATALOG_POINTS,0))),IFERROR(INDEX(CATALOG_POINTS,MATCH(A2575,CATALOG_TASK,0)),""))</f>
        <v>2</v>
      </c>
      <c r="D2575" s="10" t="s">
        <v>1561</v>
      </c>
      <c r="E2575" s="41" t="str">
        <f t="shared" si="1"/>
        <v>PROX3</v>
      </c>
    </row>
    <row r="2576" ht="15.75" customHeight="1">
      <c r="A2576" s="10" t="s">
        <v>37</v>
      </c>
      <c r="B2576" s="10" t="s">
        <v>122</v>
      </c>
      <c r="C2576" s="41">
        <f t="array" ref="C2576">IF(IFERROR(INDEX(CATALOG_POINTS,MATCH(A2576,CATALOG_TASK,0)),"")="",IF(MAX(IF(IFERROR(FIND(CATALOG_BASE,A2576),0)=1,CATALOG_POINTS,0))=0,DAILY_POST_POINTS,MAX(IF(IFERROR(FIND(CATALOG_BASE,A2576),0)=1,CATALOG_POINTS,0))),IFERROR(INDEX(CATALOG_POINTS,MATCH(A2576,CATALOG_TASK,0)),""))</f>
        <v>2</v>
      </c>
      <c r="D2576" s="10" t="s">
        <v>1561</v>
      </c>
      <c r="E2576" s="41" t="str">
        <f t="shared" si="1"/>
        <v>PROX3</v>
      </c>
    </row>
    <row r="2577" ht="15.75" customHeight="1">
      <c r="A2577" s="10" t="s">
        <v>37</v>
      </c>
      <c r="B2577" s="10" t="s">
        <v>122</v>
      </c>
      <c r="C2577" s="41">
        <f t="array" ref="C2577">IF(IFERROR(INDEX(CATALOG_POINTS,MATCH(A2577,CATALOG_TASK,0)),"")="",IF(MAX(IF(IFERROR(FIND(CATALOG_BASE,A2577),0)=1,CATALOG_POINTS,0))=0,DAILY_POST_POINTS,MAX(IF(IFERROR(FIND(CATALOG_BASE,A2577),0)=1,CATALOG_POINTS,0))),IFERROR(INDEX(CATALOG_POINTS,MATCH(A2577,CATALOG_TASK,0)),""))</f>
        <v>2</v>
      </c>
      <c r="D2577" s="10" t="s">
        <v>1561</v>
      </c>
      <c r="E2577" s="41" t="str">
        <f t="shared" si="1"/>
        <v>PROX3</v>
      </c>
    </row>
    <row r="2578" ht="15.75" customHeight="1">
      <c r="A2578" s="10" t="s">
        <v>1561</v>
      </c>
      <c r="B2578" s="10" t="s">
        <v>131</v>
      </c>
      <c r="C2578" s="41">
        <f t="array" ref="C2578">IF(IFERROR(INDEX(CATALOG_POINTS,MATCH(A2578,CATALOG_TASK,0)),"")="",IF(MAX(IF(IFERROR(FIND(CATALOG_BASE,A2578),0)=1,CATALOG_POINTS,0))=0,DAILY_POST_POINTS,MAX(IF(IFERROR(FIND(CATALOG_BASE,A2578),0)=1,CATALOG_POINTS,0))),IFERROR(INDEX(CATALOG_POINTS,MATCH(A2578,CATALOG_TASK,0)),""))</f>
        <v>1</v>
      </c>
      <c r="D2578" s="10" t="s">
        <v>1561</v>
      </c>
      <c r="E2578" s="41" t="str">
        <f t="shared" si="1"/>
        <v>PROX3</v>
      </c>
    </row>
    <row r="2579" ht="15.75" customHeight="1">
      <c r="A2579" s="10" t="s">
        <v>1562</v>
      </c>
      <c r="B2579" s="10" t="s">
        <v>128</v>
      </c>
      <c r="C2579" s="41">
        <f t="array" ref="C2579">IF(IFERROR(INDEX(CATALOG_POINTS,MATCH(A2579,CATALOG_TASK,0)),"")="",IF(MAX(IF(IFERROR(FIND(CATALOG_BASE,A2579),0)=1,CATALOG_POINTS,0))=0,DAILY_POST_POINTS,MAX(IF(IFERROR(FIND(CATALOG_BASE,A2579),0)=1,CATALOG_POINTS,0))),IFERROR(INDEX(CATALOG_POINTS,MATCH(A2579,CATALOG_TASK,0)),""))</f>
        <v>1</v>
      </c>
      <c r="D2579" s="10" t="s">
        <v>1562</v>
      </c>
      <c r="E2579" s="41" t="str">
        <f t="shared" si="1"/>
        <v>PROX3</v>
      </c>
    </row>
    <row r="2580" ht="15.75" customHeight="1">
      <c r="A2580" s="10" t="s">
        <v>1563</v>
      </c>
      <c r="B2580" s="10" t="s">
        <v>117</v>
      </c>
      <c r="C2580" s="41">
        <f t="array" ref="C2580">IF(IFERROR(INDEX(CATALOG_POINTS,MATCH(A2580,CATALOG_TASK,0)),"")="",IF(MAX(IF(IFERROR(FIND(CATALOG_BASE,A2580),0)=1,CATALOG_POINTS,0))=0,DAILY_POST_POINTS,MAX(IF(IFERROR(FIND(CATALOG_BASE,A2580),0)=1,CATALOG_POINTS,0))),IFERROR(INDEX(CATALOG_POINTS,MATCH(A2580,CATALOG_TASK,0)),""))</f>
        <v>1</v>
      </c>
      <c r="D2580" s="10" t="s">
        <v>1563</v>
      </c>
      <c r="E2580" s="41" t="str">
        <f t="shared" si="1"/>
        <v>PROX3</v>
      </c>
    </row>
    <row r="2581" ht="15.75" customHeight="1">
      <c r="A2581" s="10" t="s">
        <v>1564</v>
      </c>
      <c r="B2581" s="10" t="s">
        <v>132</v>
      </c>
      <c r="C2581" s="41">
        <f t="array" ref="C2581">IF(IFERROR(INDEX(CATALOG_POINTS,MATCH(A2581,CATALOG_TASK,0)),"")="",IF(MAX(IF(IFERROR(FIND(CATALOG_BASE,A2581),0)=1,CATALOG_POINTS,0))=0,DAILY_POST_POINTS,MAX(IF(IFERROR(FIND(CATALOG_BASE,A2581),0)=1,CATALOG_POINTS,0))),IFERROR(INDEX(CATALOG_POINTS,MATCH(A2581,CATALOG_TASK,0)),""))</f>
        <v>1</v>
      </c>
      <c r="D2581" s="10" t="s">
        <v>1564</v>
      </c>
      <c r="E2581" s="41" t="str">
        <f t="shared" si="1"/>
        <v>PROX3</v>
      </c>
    </row>
    <row r="2582" ht="15.75" customHeight="1">
      <c r="A2582" s="10" t="s">
        <v>1565</v>
      </c>
      <c r="B2582" s="10" t="s">
        <v>133</v>
      </c>
      <c r="C2582" s="41">
        <f t="array" ref="C2582">IF(IFERROR(INDEX(CATALOG_POINTS,MATCH(A2582,CATALOG_TASK,0)),"")="",IF(MAX(IF(IFERROR(FIND(CATALOG_BASE,A2582),0)=1,CATALOG_POINTS,0))=0,DAILY_POST_POINTS,MAX(IF(IFERROR(FIND(CATALOG_BASE,A2582),0)=1,CATALOG_POINTS,0))),IFERROR(INDEX(CATALOG_POINTS,MATCH(A2582,CATALOG_TASK,0)),""))</f>
        <v>1</v>
      </c>
      <c r="D2582" s="10" t="s">
        <v>1565</v>
      </c>
      <c r="E2582" s="41" t="str">
        <f t="shared" si="1"/>
        <v>PROX4</v>
      </c>
    </row>
    <row r="2583" ht="15.75" customHeight="1">
      <c r="A2583" s="10" t="s">
        <v>1566</v>
      </c>
      <c r="B2583" s="10" t="s">
        <v>121</v>
      </c>
      <c r="C2583" s="41">
        <f t="array" ref="C2583">IF(IFERROR(INDEX(CATALOG_POINTS,MATCH(A2583,CATALOG_TASK,0)),"")="",IF(MAX(IF(IFERROR(FIND(CATALOG_BASE,A2583),0)=1,CATALOG_POINTS,0))=0,DAILY_POST_POINTS,MAX(IF(IFERROR(FIND(CATALOG_BASE,A2583),0)=1,CATALOG_POINTS,0))),IFERROR(INDEX(CATALOG_POINTS,MATCH(A2583,CATALOG_TASK,0)),""))</f>
        <v>1</v>
      </c>
      <c r="D2583" s="10" t="s">
        <v>1566</v>
      </c>
      <c r="E2583" s="41" t="str">
        <f t="shared" si="1"/>
        <v>PROX4</v>
      </c>
    </row>
    <row r="2584" ht="15.75" customHeight="1">
      <c r="A2584" s="10" t="s">
        <v>1567</v>
      </c>
      <c r="B2584" s="10" t="s">
        <v>117</v>
      </c>
      <c r="C2584" s="41">
        <f t="array" ref="C2584">IF(IFERROR(INDEX(CATALOG_POINTS,MATCH(A2584,CATALOG_TASK,0)),"")="",IF(MAX(IF(IFERROR(FIND(CATALOG_BASE,A2584),0)=1,CATALOG_POINTS,0))=0,DAILY_POST_POINTS,MAX(IF(IFERROR(FIND(CATALOG_BASE,A2584),0)=1,CATALOG_POINTS,0))),IFERROR(INDEX(CATALOG_POINTS,MATCH(A2584,CATALOG_TASK,0)),""))</f>
        <v>1</v>
      </c>
      <c r="D2584" s="10" t="s">
        <v>1567</v>
      </c>
      <c r="E2584" s="41" t="str">
        <f t="shared" si="1"/>
        <v>PROX3</v>
      </c>
    </row>
    <row r="2585" ht="15.75" customHeight="1">
      <c r="A2585" s="10" t="s">
        <v>1568</v>
      </c>
      <c r="B2585" s="10" t="s">
        <v>131</v>
      </c>
      <c r="C2585" s="41">
        <f t="array" ref="C2585">IF(IFERROR(INDEX(CATALOG_POINTS,MATCH(A2585,CATALOG_TASK,0)),"")="",IF(MAX(IF(IFERROR(FIND(CATALOG_BASE,A2585),0)=1,CATALOG_POINTS,0))=0,DAILY_POST_POINTS,MAX(IF(IFERROR(FIND(CATALOG_BASE,A2585),0)=1,CATALOG_POINTS,0))),IFERROR(INDEX(CATALOG_POINTS,MATCH(A2585,CATALOG_TASK,0)),""))</f>
        <v>1</v>
      </c>
      <c r="D2585" s="10" t="s">
        <v>1568</v>
      </c>
      <c r="E2585" s="41" t="str">
        <f t="shared" si="1"/>
        <v>PROX3</v>
      </c>
    </row>
    <row r="2586" ht="15.75" customHeight="1">
      <c r="A2586" s="10" t="s">
        <v>1569</v>
      </c>
      <c r="B2586" s="10" t="s">
        <v>134</v>
      </c>
      <c r="C2586" s="41">
        <f t="array" ref="C2586">IF(IFERROR(INDEX(CATALOG_POINTS,MATCH(A2586,CATALOG_TASK,0)),"")="",IF(MAX(IF(IFERROR(FIND(CATALOG_BASE,A2586),0)=1,CATALOG_POINTS,0))=0,DAILY_POST_POINTS,MAX(IF(IFERROR(FIND(CATALOG_BASE,A2586),0)=1,CATALOG_POINTS,0))),IFERROR(INDEX(CATALOG_POINTS,MATCH(A2586,CATALOG_TASK,0)),""))</f>
        <v>1</v>
      </c>
      <c r="D2586" s="10" t="s">
        <v>1569</v>
      </c>
      <c r="E2586" s="41" t="str">
        <f t="shared" si="1"/>
        <v>E0</v>
      </c>
    </row>
    <row r="2587" ht="15.75" customHeight="1">
      <c r="A2587" s="10" t="s">
        <v>1570</v>
      </c>
      <c r="B2587" s="10" t="s">
        <v>124</v>
      </c>
      <c r="C2587" s="41">
        <f t="array" ref="C2587">IF(IFERROR(INDEX(CATALOG_POINTS,MATCH(A2587,CATALOG_TASK,0)),"")="",IF(MAX(IF(IFERROR(FIND(CATALOG_BASE,A2587),0)=1,CATALOG_POINTS,0))=0,DAILY_POST_POINTS,MAX(IF(IFERROR(FIND(CATALOG_BASE,A2587),0)=1,CATALOG_POINTS,0))),IFERROR(INDEX(CATALOG_POINTS,MATCH(A2587,CATALOG_TASK,0)),""))</f>
        <v>1</v>
      </c>
      <c r="D2587" s="10" t="s">
        <v>1570</v>
      </c>
      <c r="E2587" s="41" t="str">
        <f t="shared" si="1"/>
        <v>PROX3</v>
      </c>
    </row>
    <row r="2588" ht="15.75" customHeight="1">
      <c r="A2588" s="10" t="s">
        <v>1571</v>
      </c>
      <c r="B2588" s="10" t="s">
        <v>137</v>
      </c>
      <c r="C2588" s="41">
        <f t="array" ref="C2588">IF(IFERROR(INDEX(CATALOG_POINTS,MATCH(A2588,CATALOG_TASK,0)),"")="",IF(MAX(IF(IFERROR(FIND(CATALOG_BASE,A2588),0)=1,CATALOG_POINTS,0))=0,DAILY_POST_POINTS,MAX(IF(IFERROR(FIND(CATALOG_BASE,A2588),0)=1,CATALOG_POINTS,0))),IFERROR(INDEX(CATALOG_POINTS,MATCH(A2588,CATALOG_TASK,0)),""))</f>
        <v>1</v>
      </c>
      <c r="D2588" s="10" t="s">
        <v>1571</v>
      </c>
      <c r="E2588" s="41" t="str">
        <f t="shared" si="1"/>
        <v>PROX3</v>
      </c>
    </row>
    <row r="2589" ht="15.75" customHeight="1">
      <c r="A2589" s="10" t="s">
        <v>1572</v>
      </c>
      <c r="B2589" s="10" t="s">
        <v>137</v>
      </c>
      <c r="C2589" s="41">
        <f t="array" ref="C2589">IF(IFERROR(INDEX(CATALOG_POINTS,MATCH(A2589,CATALOG_TASK,0)),"")="",IF(MAX(IF(IFERROR(FIND(CATALOG_BASE,A2589),0)=1,CATALOG_POINTS,0))=0,DAILY_POST_POINTS,MAX(IF(IFERROR(FIND(CATALOG_BASE,A2589),0)=1,CATALOG_POINTS,0))),IFERROR(INDEX(CATALOG_POINTS,MATCH(A2589,CATALOG_TASK,0)),""))</f>
        <v>1</v>
      </c>
      <c r="D2589" s="10" t="s">
        <v>1572</v>
      </c>
      <c r="E2589" s="41" t="str">
        <f t="shared" si="1"/>
        <v>PROX3</v>
      </c>
    </row>
    <row r="2590" ht="15.75" customHeight="1">
      <c r="A2590" s="10" t="s">
        <v>1573</v>
      </c>
      <c r="B2590" s="10" t="s">
        <v>125</v>
      </c>
      <c r="C2590" s="41">
        <f t="array" ref="C2590">IF(IFERROR(INDEX(CATALOG_POINTS,MATCH(A2590,CATALOG_TASK,0)),"")="",IF(MAX(IF(IFERROR(FIND(CATALOG_BASE,A2590),0)=1,CATALOG_POINTS,0))=0,DAILY_POST_POINTS,MAX(IF(IFERROR(FIND(CATALOG_BASE,A2590),0)=1,CATALOG_POINTS,0))),IFERROR(INDEX(CATALOG_POINTS,MATCH(A2590,CATALOG_TASK,0)),""))</f>
        <v>1</v>
      </c>
      <c r="D2590" s="10" t="s">
        <v>1573</v>
      </c>
      <c r="E2590" s="41" t="str">
        <f t="shared" si="1"/>
        <v>PROX3</v>
      </c>
    </row>
    <row r="2591" ht="15.75" customHeight="1">
      <c r="A2591" s="10" t="s">
        <v>1574</v>
      </c>
      <c r="B2591" s="10" t="s">
        <v>123</v>
      </c>
      <c r="C2591" s="41">
        <f t="array" ref="C2591">IF(IFERROR(INDEX(CATALOG_POINTS,MATCH(A2591,CATALOG_TASK,0)),"")="",IF(MAX(IF(IFERROR(FIND(CATALOG_BASE,A2591),0)=1,CATALOG_POINTS,0))=0,DAILY_POST_POINTS,MAX(IF(IFERROR(FIND(CATALOG_BASE,A2591),0)=1,CATALOG_POINTS,0))),IFERROR(INDEX(CATALOG_POINTS,MATCH(A2591,CATALOG_TASK,0)),""))</f>
        <v>1</v>
      </c>
      <c r="D2591" s="10" t="s">
        <v>1574</v>
      </c>
      <c r="E2591" s="41" t="str">
        <f t="shared" si="1"/>
        <v>E0</v>
      </c>
    </row>
    <row r="2592" ht="15.75" customHeight="1">
      <c r="A2592" s="10" t="s">
        <v>178</v>
      </c>
      <c r="B2592" s="10" t="s">
        <v>125</v>
      </c>
      <c r="C2592" s="41">
        <f t="array" ref="C2592">IF(IFERROR(INDEX(CATALOG_POINTS,MATCH(A2592,CATALOG_TASK,0)),"")="",IF(MAX(IF(IFERROR(FIND(CATALOG_BASE,A2592),0)=1,CATALOG_POINTS,0))=0,DAILY_POST_POINTS,MAX(IF(IFERROR(FIND(CATALOG_BASE,A2592),0)=1,CATALOG_POINTS,0))),IFERROR(INDEX(CATALOG_POINTS,MATCH(A2592,CATALOG_TASK,0)),""))</f>
        <v>1</v>
      </c>
      <c r="D2592" s="10" t="s">
        <v>1575</v>
      </c>
      <c r="E2592" s="41" t="str">
        <f t="shared" si="1"/>
        <v/>
      </c>
    </row>
    <row r="2593" ht="15.75" customHeight="1">
      <c r="A2593" s="10" t="s">
        <v>179</v>
      </c>
      <c r="B2593" s="10" t="s">
        <v>140</v>
      </c>
      <c r="C2593" s="41">
        <f t="array" ref="C2593">IF(IFERROR(INDEX(CATALOG_POINTS,MATCH(A2593,CATALOG_TASK,0)),"")="",IF(MAX(IF(IFERROR(FIND(CATALOG_BASE,A2593),0)=1,CATALOG_POINTS,0))=0,DAILY_POST_POINTS,MAX(IF(IFERROR(FIND(CATALOG_BASE,A2593),0)=1,CATALOG_POINTS,0))),IFERROR(INDEX(CATALOG_POINTS,MATCH(A2593,CATALOG_TASK,0)),""))</f>
        <v>1</v>
      </c>
      <c r="D2593" s="10" t="s">
        <v>1575</v>
      </c>
      <c r="E2593" s="41" t="str">
        <f t="shared" si="1"/>
        <v/>
      </c>
    </row>
    <row r="2594" ht="15.75" customHeight="1">
      <c r="A2594" s="10" t="s">
        <v>168</v>
      </c>
      <c r="B2594" s="10" t="s">
        <v>125</v>
      </c>
      <c r="C2594" s="41">
        <f t="array" ref="C2594">IF(IFERROR(INDEX(CATALOG_POINTS,MATCH(A2594,CATALOG_TASK,0)),"")="",IF(MAX(IF(IFERROR(FIND(CATALOG_BASE,A2594),0)=1,CATALOG_POINTS,0))=0,DAILY_POST_POINTS,MAX(IF(IFERROR(FIND(CATALOG_BASE,A2594),0)=1,CATALOG_POINTS,0))),IFERROR(INDEX(CATALOG_POINTS,MATCH(A2594,CATALOG_TASK,0)),""))</f>
        <v>1</v>
      </c>
      <c r="D2594" s="10" t="s">
        <v>1575</v>
      </c>
      <c r="E2594" s="41" t="str">
        <f t="shared" si="1"/>
        <v/>
      </c>
    </row>
    <row r="2595" ht="15.75" customHeight="1">
      <c r="A2595" s="10" t="s">
        <v>178</v>
      </c>
      <c r="B2595" s="10" t="s">
        <v>124</v>
      </c>
      <c r="C2595" s="41">
        <f t="array" ref="C2595">IF(IFERROR(INDEX(CATALOG_POINTS,MATCH(A2595,CATALOG_TASK,0)),"")="",IF(MAX(IF(IFERROR(FIND(CATALOG_BASE,A2595),0)=1,CATALOG_POINTS,0))=0,DAILY_POST_POINTS,MAX(IF(IFERROR(FIND(CATALOG_BASE,A2595),0)=1,CATALOG_POINTS,0))),IFERROR(INDEX(CATALOG_POINTS,MATCH(A2595,CATALOG_TASK,0)),""))</f>
        <v>1</v>
      </c>
      <c r="D2595" s="10" t="s">
        <v>1575</v>
      </c>
      <c r="E2595" s="41" t="str">
        <f t="shared" si="1"/>
        <v/>
      </c>
    </row>
    <row r="2596" ht="15.75" customHeight="1">
      <c r="A2596" s="10" t="s">
        <v>1576</v>
      </c>
      <c r="B2596" s="10" t="s">
        <v>126</v>
      </c>
      <c r="C2596" s="41">
        <f t="array" ref="C2596">IF(IFERROR(INDEX(CATALOG_POINTS,MATCH(A2596,CATALOG_TASK,0)),"")="",IF(MAX(IF(IFERROR(FIND(CATALOG_BASE,A2596),0)=1,CATALOG_POINTS,0))=0,DAILY_POST_POINTS,MAX(IF(IFERROR(FIND(CATALOG_BASE,A2596),0)=1,CATALOG_POINTS,0))),IFERROR(INDEX(CATALOG_POINTS,MATCH(A2596,CATALOG_TASK,0)),""))</f>
        <v>1</v>
      </c>
      <c r="D2596" s="10" t="s">
        <v>1575</v>
      </c>
      <c r="E2596" s="41" t="str">
        <f t="shared" si="1"/>
        <v/>
      </c>
    </row>
    <row r="2597" ht="15.75" customHeight="1">
      <c r="A2597" s="10" t="s">
        <v>37</v>
      </c>
      <c r="B2597" s="10" t="s">
        <v>125</v>
      </c>
      <c r="C2597" s="41">
        <f t="array" ref="C2597">IF(IFERROR(INDEX(CATALOG_POINTS,MATCH(A2597,CATALOG_TASK,0)),"")="",IF(MAX(IF(IFERROR(FIND(CATALOG_BASE,A2597),0)=1,CATALOG_POINTS,0))=0,DAILY_POST_POINTS,MAX(IF(IFERROR(FIND(CATALOG_BASE,A2597),0)=1,CATALOG_POINTS,0))),IFERROR(INDEX(CATALOG_POINTS,MATCH(A2597,CATALOG_TASK,0)),""))</f>
        <v>2</v>
      </c>
      <c r="D2597" s="10" t="s">
        <v>1575</v>
      </c>
      <c r="E2597" s="41" t="str">
        <f t="shared" si="1"/>
        <v/>
      </c>
    </row>
    <row r="2598" ht="15.75" customHeight="1">
      <c r="A2598" s="10" t="s">
        <v>1577</v>
      </c>
      <c r="B2598" s="10" t="s">
        <v>120</v>
      </c>
      <c r="C2598" s="41">
        <f t="array" ref="C2598">IF(IFERROR(INDEX(CATALOG_POINTS,MATCH(A2598,CATALOG_TASK,0)),"")="",IF(MAX(IF(IFERROR(FIND(CATALOG_BASE,A2598),0)=1,CATALOG_POINTS,0))=0,DAILY_POST_POINTS,MAX(IF(IFERROR(FIND(CATALOG_BASE,A2598),0)=1,CATALOG_POINTS,0))),IFERROR(INDEX(CATALOG_POINTS,MATCH(A2598,CATALOG_TASK,0)),""))</f>
        <v>1</v>
      </c>
      <c r="D2598" s="10" t="s">
        <v>1577</v>
      </c>
      <c r="E2598" s="41" t="str">
        <f t="shared" si="1"/>
        <v>PROX3</v>
      </c>
    </row>
    <row r="2599" ht="15.75" customHeight="1">
      <c r="A2599" s="10" t="s">
        <v>1578</v>
      </c>
      <c r="B2599" s="10" t="s">
        <v>121</v>
      </c>
      <c r="C2599" s="41">
        <f t="array" ref="C2599">IF(IFERROR(INDEX(CATALOG_POINTS,MATCH(A2599,CATALOG_TASK,0)),"")="",IF(MAX(IF(IFERROR(FIND(CATALOG_BASE,A2599),0)=1,CATALOG_POINTS,0))=0,DAILY_POST_POINTS,MAX(IF(IFERROR(FIND(CATALOG_BASE,A2599),0)=1,CATALOG_POINTS,0))),IFERROR(INDEX(CATALOG_POINTS,MATCH(A2599,CATALOG_TASK,0)),""))</f>
        <v>1</v>
      </c>
      <c r="D2599" s="10" t="s">
        <v>1578</v>
      </c>
      <c r="E2599" s="41" t="str">
        <f t="shared" si="1"/>
        <v>PROX3</v>
      </c>
    </row>
    <row r="2600" ht="15.75" customHeight="1">
      <c r="A2600" s="10" t="s">
        <v>1579</v>
      </c>
      <c r="B2600" s="10" t="s">
        <v>122</v>
      </c>
      <c r="C2600" s="41">
        <f t="array" ref="C2600">IF(IFERROR(INDEX(CATALOG_POINTS,MATCH(A2600,CATALOG_TASK,0)),"")="",IF(MAX(IF(IFERROR(FIND(CATALOG_BASE,A2600),0)=1,CATALOG_POINTS,0))=0,DAILY_POST_POINTS,MAX(IF(IFERROR(FIND(CATALOG_BASE,A2600),0)=1,CATALOG_POINTS,0))),IFERROR(INDEX(CATALOG_POINTS,MATCH(A2600,CATALOG_TASK,0)),""))</f>
        <v>1</v>
      </c>
      <c r="D2600" s="10" t="s">
        <v>1579</v>
      </c>
      <c r="E2600" s="41" t="str">
        <f t="shared" si="1"/>
        <v>PROX3</v>
      </c>
    </row>
    <row r="2601" ht="15.75" customHeight="1">
      <c r="A2601" s="10" t="s">
        <v>177</v>
      </c>
      <c r="B2601" s="10" t="s">
        <v>142</v>
      </c>
      <c r="C2601" s="41">
        <f t="array" ref="C2601">IF(IFERROR(INDEX(CATALOG_POINTS,MATCH(A2601,CATALOG_TASK,0)),"")="",IF(MAX(IF(IFERROR(FIND(CATALOG_BASE,A2601),0)=1,CATALOG_POINTS,0))=0,DAILY_POST_POINTS,MAX(IF(IFERROR(FIND(CATALOG_BASE,A2601),0)=1,CATALOG_POINTS,0))),IFERROR(INDEX(CATALOG_POINTS,MATCH(A2601,CATALOG_TASK,0)),""))</f>
        <v>6</v>
      </c>
      <c r="D2601" s="10" t="s">
        <v>1580</v>
      </c>
      <c r="E2601" s="41" t="str">
        <f t="shared" si="1"/>
        <v/>
      </c>
    </row>
    <row r="2602" ht="15.75" customHeight="1">
      <c r="A2602" s="10" t="s">
        <v>55</v>
      </c>
      <c r="B2602" s="10" t="s">
        <v>142</v>
      </c>
      <c r="C2602" s="41">
        <f t="array" ref="C2602">IF(IFERROR(INDEX(CATALOG_POINTS,MATCH(A2602,CATALOG_TASK,0)),"")="",IF(MAX(IF(IFERROR(FIND(CATALOG_BASE,A2602),0)=1,CATALOG_POINTS,0))=0,DAILY_POST_POINTS,MAX(IF(IFERROR(FIND(CATALOG_BASE,A2602),0)=1,CATALOG_POINTS,0))),IFERROR(INDEX(CATALOG_POINTS,MATCH(A2602,CATALOG_TASK,0)),""))</f>
        <v>8</v>
      </c>
      <c r="D2602" s="10" t="s">
        <v>1580</v>
      </c>
      <c r="E2602" s="41" t="str">
        <f t="shared" si="1"/>
        <v/>
      </c>
    </row>
    <row r="2603" ht="15.75" customHeight="1">
      <c r="A2603" s="10" t="s">
        <v>37</v>
      </c>
      <c r="B2603" s="10" t="s">
        <v>125</v>
      </c>
      <c r="C2603" s="41">
        <f t="array" ref="C2603">IF(IFERROR(INDEX(CATALOG_POINTS,MATCH(A2603,CATALOG_TASK,0)),"")="",IF(MAX(IF(IFERROR(FIND(CATALOG_BASE,A2603),0)=1,CATALOG_POINTS,0))=0,DAILY_POST_POINTS,MAX(IF(IFERROR(FIND(CATALOG_BASE,A2603),0)=1,CATALOG_POINTS,0))),IFERROR(INDEX(CATALOG_POINTS,MATCH(A2603,CATALOG_TASK,0)),""))</f>
        <v>2</v>
      </c>
      <c r="D2603" s="10" t="s">
        <v>1580</v>
      </c>
      <c r="E2603" s="41" t="str">
        <f t="shared" si="1"/>
        <v/>
      </c>
    </row>
    <row r="2604" ht="15.75" customHeight="1">
      <c r="A2604" s="10" t="s">
        <v>1580</v>
      </c>
      <c r="B2604" s="10" t="s">
        <v>134</v>
      </c>
      <c r="C2604" s="41">
        <f t="array" ref="C2604">IF(IFERROR(INDEX(CATALOG_POINTS,MATCH(A2604,CATALOG_TASK,0)),"")="",IF(MAX(IF(IFERROR(FIND(CATALOG_BASE,A2604),0)=1,CATALOG_POINTS,0))=0,DAILY_POST_POINTS,MAX(IF(IFERROR(FIND(CATALOG_BASE,A2604),0)=1,CATALOG_POINTS,0))),IFERROR(INDEX(CATALOG_POINTS,MATCH(A2604,CATALOG_TASK,0)),""))</f>
        <v>1</v>
      </c>
      <c r="D2604" s="10" t="s">
        <v>1580</v>
      </c>
      <c r="E2604" s="41" t="str">
        <f t="shared" si="1"/>
        <v/>
      </c>
    </row>
    <row r="2605" ht="15.75" customHeight="1">
      <c r="A2605" s="10" t="s">
        <v>1581</v>
      </c>
      <c r="B2605" s="10" t="s">
        <v>122</v>
      </c>
      <c r="C2605" s="41">
        <f t="array" ref="C2605">IF(IFERROR(INDEX(CATALOG_POINTS,MATCH(A2605,CATALOG_TASK,0)),"")="",IF(MAX(IF(IFERROR(FIND(CATALOG_BASE,A2605),0)=1,CATALOG_POINTS,0))=0,DAILY_POST_POINTS,MAX(IF(IFERROR(FIND(CATALOG_BASE,A2605),0)=1,CATALOG_POINTS,0))),IFERROR(INDEX(CATALOG_POINTS,MATCH(A2605,CATALOG_TASK,0)),""))</f>
        <v>1</v>
      </c>
      <c r="D2605" s="10" t="s">
        <v>1581</v>
      </c>
      <c r="E2605" s="41" t="str">
        <f t="shared" si="1"/>
        <v>PROX4</v>
      </c>
    </row>
    <row r="2606" ht="15.75" customHeight="1">
      <c r="A2606" s="10" t="s">
        <v>37</v>
      </c>
      <c r="B2606" s="10" t="s">
        <v>124</v>
      </c>
      <c r="C2606" s="41">
        <f t="array" ref="C2606">IF(IFERROR(INDEX(CATALOG_POINTS,MATCH(A2606,CATALOG_TASK,0)),"")="",IF(MAX(IF(IFERROR(FIND(CATALOG_BASE,A2606),0)=1,CATALOG_POINTS,0))=0,DAILY_POST_POINTS,MAX(IF(IFERROR(FIND(CATALOG_BASE,A2606),0)=1,CATALOG_POINTS,0))),IFERROR(INDEX(CATALOG_POINTS,MATCH(A2606,CATALOG_TASK,0)),""))</f>
        <v>2</v>
      </c>
      <c r="D2606" s="10" t="s">
        <v>1582</v>
      </c>
      <c r="E2606" s="41" t="str">
        <f t="shared" si="1"/>
        <v>PROX4</v>
      </c>
    </row>
    <row r="2607" ht="15.75" customHeight="1">
      <c r="A2607" s="10" t="s">
        <v>1582</v>
      </c>
      <c r="B2607" s="10" t="s">
        <v>135</v>
      </c>
      <c r="C2607" s="41">
        <f t="array" ref="C2607">IF(IFERROR(INDEX(CATALOG_POINTS,MATCH(A2607,CATALOG_TASK,0)),"")="",IF(MAX(IF(IFERROR(FIND(CATALOG_BASE,A2607),0)=1,CATALOG_POINTS,0))=0,DAILY_POST_POINTS,MAX(IF(IFERROR(FIND(CATALOG_BASE,A2607),0)=1,CATALOG_POINTS,0))),IFERROR(INDEX(CATALOG_POINTS,MATCH(A2607,CATALOG_TASK,0)),""))</f>
        <v>1</v>
      </c>
      <c r="D2607" s="10" t="s">
        <v>1582</v>
      </c>
      <c r="E2607" s="41" t="str">
        <f t="shared" si="1"/>
        <v>PROX4</v>
      </c>
    </row>
    <row r="2608" ht="15.75" customHeight="1">
      <c r="A2608" s="10" t="s">
        <v>1583</v>
      </c>
      <c r="B2608" s="10" t="s">
        <v>124</v>
      </c>
      <c r="C2608" s="41">
        <f t="array" ref="C2608">IF(IFERROR(INDEX(CATALOG_POINTS,MATCH(A2608,CATALOG_TASK,0)),"")="",IF(MAX(IF(IFERROR(FIND(CATALOG_BASE,A2608),0)=1,CATALOG_POINTS,0))=0,DAILY_POST_POINTS,MAX(IF(IFERROR(FIND(CATALOG_BASE,A2608),0)=1,CATALOG_POINTS,0))),IFERROR(INDEX(CATALOG_POINTS,MATCH(A2608,CATALOG_TASK,0)),""))</f>
        <v>1</v>
      </c>
      <c r="D2608" s="10" t="s">
        <v>1583</v>
      </c>
      <c r="E2608" s="41" t="str">
        <f t="shared" si="1"/>
        <v>PROX3</v>
      </c>
    </row>
    <row r="2609" ht="15.75" customHeight="1">
      <c r="A2609" s="10" t="s">
        <v>179</v>
      </c>
      <c r="B2609" s="10" t="s">
        <v>140</v>
      </c>
      <c r="C2609" s="41">
        <f t="array" ref="C2609">IF(IFERROR(INDEX(CATALOG_POINTS,MATCH(A2609,CATALOG_TASK,0)),"")="",IF(MAX(IF(IFERROR(FIND(CATALOG_BASE,A2609),0)=1,CATALOG_POINTS,0))=0,DAILY_POST_POINTS,MAX(IF(IFERROR(FIND(CATALOG_BASE,A2609),0)=1,CATALOG_POINTS,0))),IFERROR(INDEX(CATALOG_POINTS,MATCH(A2609,CATALOG_TASK,0)),""))</f>
        <v>1</v>
      </c>
      <c r="D2609" s="10" t="s">
        <v>1583</v>
      </c>
      <c r="E2609" s="41" t="str">
        <f t="shared" si="1"/>
        <v>PROX3</v>
      </c>
    </row>
    <row r="2610" ht="15.75" customHeight="1">
      <c r="A2610" s="10" t="s">
        <v>37</v>
      </c>
      <c r="B2610" s="10" t="s">
        <v>125</v>
      </c>
      <c r="C2610" s="41">
        <f t="array" ref="C2610">IF(IFERROR(INDEX(CATALOG_POINTS,MATCH(A2610,CATALOG_TASK,0)),"")="",IF(MAX(IF(IFERROR(FIND(CATALOG_BASE,A2610),0)=1,CATALOG_POINTS,0))=0,DAILY_POST_POINTS,MAX(IF(IFERROR(FIND(CATALOG_BASE,A2610),0)=1,CATALOG_POINTS,0))),IFERROR(INDEX(CATALOG_POINTS,MATCH(A2610,CATALOG_TASK,0)),""))</f>
        <v>2</v>
      </c>
      <c r="D2610" s="10" t="s">
        <v>1583</v>
      </c>
      <c r="E2610" s="41" t="str">
        <f t="shared" si="1"/>
        <v>PROX3</v>
      </c>
    </row>
    <row r="2611" ht="15.75" customHeight="1">
      <c r="A2611" s="10" t="s">
        <v>1584</v>
      </c>
      <c r="B2611" s="10" t="s">
        <v>127</v>
      </c>
      <c r="C2611" s="41">
        <f t="array" ref="C2611">IF(IFERROR(INDEX(CATALOG_POINTS,MATCH(A2611,CATALOG_TASK,0)),"")="",IF(MAX(IF(IFERROR(FIND(CATALOG_BASE,A2611),0)=1,CATALOG_POINTS,0))=0,DAILY_POST_POINTS,MAX(IF(IFERROR(FIND(CATALOG_BASE,A2611),0)=1,CATALOG_POINTS,0))),IFERROR(INDEX(CATALOG_POINTS,MATCH(A2611,CATALOG_TASK,0)),""))</f>
        <v>1</v>
      </c>
      <c r="D2611" s="10" t="s">
        <v>1584</v>
      </c>
      <c r="E2611" s="41" t="str">
        <f t="shared" si="1"/>
        <v>PROX3</v>
      </c>
    </row>
    <row r="2612" ht="15.75" customHeight="1">
      <c r="A2612" s="10" t="s">
        <v>1585</v>
      </c>
      <c r="B2612" s="10" t="s">
        <v>121</v>
      </c>
      <c r="C2612" s="41">
        <f t="array" ref="C2612">IF(IFERROR(INDEX(CATALOG_POINTS,MATCH(A2612,CATALOG_TASK,0)),"")="",IF(MAX(IF(IFERROR(FIND(CATALOG_BASE,A2612),0)=1,CATALOG_POINTS,0))=0,DAILY_POST_POINTS,MAX(IF(IFERROR(FIND(CATALOG_BASE,A2612),0)=1,CATALOG_POINTS,0))),IFERROR(INDEX(CATALOG_POINTS,MATCH(A2612,CATALOG_TASK,0)),""))</f>
        <v>1</v>
      </c>
      <c r="D2612" s="10" t="s">
        <v>1585</v>
      </c>
      <c r="E2612" s="41" t="str">
        <f t="shared" si="1"/>
        <v>PROX4</v>
      </c>
    </row>
    <row r="2613" ht="15.75" customHeight="1">
      <c r="A2613" s="10" t="s">
        <v>1586</v>
      </c>
      <c r="B2613" s="10" t="s">
        <v>134</v>
      </c>
      <c r="C2613" s="41">
        <f t="array" ref="C2613">IF(IFERROR(INDEX(CATALOG_POINTS,MATCH(A2613,CATALOG_TASK,0)),"")="",IF(MAX(IF(IFERROR(FIND(CATALOG_BASE,A2613),0)=1,CATALOG_POINTS,0))=0,DAILY_POST_POINTS,MAX(IF(IFERROR(FIND(CATALOG_BASE,A2613),0)=1,CATALOG_POINTS,0))),IFERROR(INDEX(CATALOG_POINTS,MATCH(A2613,CATALOG_TASK,0)),""))</f>
        <v>1</v>
      </c>
      <c r="D2613" s="10" t="s">
        <v>1586</v>
      </c>
      <c r="E2613" s="41" t="str">
        <f t="shared" si="1"/>
        <v>E0</v>
      </c>
    </row>
    <row r="2614" ht="15.75" customHeight="1">
      <c r="A2614" s="10" t="s">
        <v>1587</v>
      </c>
      <c r="B2614" s="10" t="s">
        <v>128</v>
      </c>
      <c r="C2614" s="41">
        <f t="array" ref="C2614">IF(IFERROR(INDEX(CATALOG_POINTS,MATCH(A2614,CATALOG_TASK,0)),"")="",IF(MAX(IF(IFERROR(FIND(CATALOG_BASE,A2614),0)=1,CATALOG_POINTS,0))=0,DAILY_POST_POINTS,MAX(IF(IFERROR(FIND(CATALOG_BASE,A2614),0)=1,CATALOG_POINTS,0))),IFERROR(INDEX(CATALOG_POINTS,MATCH(A2614,CATALOG_TASK,0)),""))</f>
        <v>1</v>
      </c>
      <c r="D2614" s="10" t="s">
        <v>1587</v>
      </c>
      <c r="E2614" s="41" t="str">
        <f t="shared" si="1"/>
        <v>PROX3</v>
      </c>
    </row>
    <row r="2615" ht="15.75" customHeight="1">
      <c r="A2615" s="10" t="s">
        <v>1588</v>
      </c>
      <c r="B2615" s="10" t="s">
        <v>131</v>
      </c>
      <c r="C2615" s="41">
        <f t="array" ref="C2615">IF(IFERROR(INDEX(CATALOG_POINTS,MATCH(A2615,CATALOG_TASK,0)),"")="",IF(MAX(IF(IFERROR(FIND(CATALOG_BASE,A2615),0)=1,CATALOG_POINTS,0))=0,DAILY_POST_POINTS,MAX(IF(IFERROR(FIND(CATALOG_BASE,A2615),0)=1,CATALOG_POINTS,0))),IFERROR(INDEX(CATALOG_POINTS,MATCH(A2615,CATALOG_TASK,0)),""))</f>
        <v>1</v>
      </c>
      <c r="D2615" s="10" t="s">
        <v>1588</v>
      </c>
      <c r="E2615" s="41" t="str">
        <f t="shared" si="1"/>
        <v>PROX4</v>
      </c>
    </row>
    <row r="2616" ht="15.75" customHeight="1">
      <c r="A2616" s="10" t="s">
        <v>170</v>
      </c>
      <c r="B2616" s="10" t="s">
        <v>125</v>
      </c>
      <c r="C2616" s="41">
        <f t="array" ref="C2616">IF(IFERROR(INDEX(CATALOG_POINTS,MATCH(A2616,CATALOG_TASK,0)),"")="",IF(MAX(IF(IFERROR(FIND(CATALOG_BASE,A2616),0)=1,CATALOG_POINTS,0))=0,DAILY_POST_POINTS,MAX(IF(IFERROR(FIND(CATALOG_BASE,A2616),0)=1,CATALOG_POINTS,0))),IFERROR(INDEX(CATALOG_POINTS,MATCH(A2616,CATALOG_TASK,0)),""))</f>
        <v>1</v>
      </c>
      <c r="D2616" s="10" t="s">
        <v>1589</v>
      </c>
      <c r="E2616" s="41" t="str">
        <f t="shared" si="1"/>
        <v>PROX4</v>
      </c>
    </row>
    <row r="2617" ht="15.75" customHeight="1">
      <c r="A2617" s="10" t="s">
        <v>1589</v>
      </c>
      <c r="B2617" s="10" t="s">
        <v>119</v>
      </c>
      <c r="C2617" s="41">
        <f t="array" ref="C2617">IF(IFERROR(INDEX(CATALOG_POINTS,MATCH(A2617,CATALOG_TASK,0)),"")="",IF(MAX(IF(IFERROR(FIND(CATALOG_BASE,A2617),0)=1,CATALOG_POINTS,0))=0,DAILY_POST_POINTS,MAX(IF(IFERROR(FIND(CATALOG_BASE,A2617),0)=1,CATALOG_POINTS,0))),IFERROR(INDEX(CATALOG_POINTS,MATCH(A2617,CATALOG_TASK,0)),""))</f>
        <v>1</v>
      </c>
      <c r="D2617" s="10" t="s">
        <v>1589</v>
      </c>
      <c r="E2617" s="41" t="str">
        <f t="shared" si="1"/>
        <v>PROX4</v>
      </c>
    </row>
    <row r="2618" ht="15.75" customHeight="1">
      <c r="A2618" s="10" t="s">
        <v>170</v>
      </c>
      <c r="B2618" s="10" t="s">
        <v>121</v>
      </c>
      <c r="C2618" s="41">
        <f t="array" ref="C2618">IF(IFERROR(INDEX(CATALOG_POINTS,MATCH(A2618,CATALOG_TASK,0)),"")="",IF(MAX(IF(IFERROR(FIND(CATALOG_BASE,A2618),0)=1,CATALOG_POINTS,0))=0,DAILY_POST_POINTS,MAX(IF(IFERROR(FIND(CATALOG_BASE,A2618),0)=1,CATALOG_POINTS,0))),IFERROR(INDEX(CATALOG_POINTS,MATCH(A2618,CATALOG_TASK,0)),""))</f>
        <v>1</v>
      </c>
      <c r="D2618" s="10" t="s">
        <v>1589</v>
      </c>
      <c r="E2618" s="41" t="str">
        <f t="shared" si="1"/>
        <v>PROX4</v>
      </c>
    </row>
    <row r="2619" ht="15.75" customHeight="1">
      <c r="A2619" s="10" t="s">
        <v>52</v>
      </c>
      <c r="B2619" s="10" t="s">
        <v>151</v>
      </c>
      <c r="C2619" s="41">
        <f t="array" ref="C2619">IF(IFERROR(INDEX(CATALOG_POINTS,MATCH(A2619,CATALOG_TASK,0)),"")="",IF(MAX(IF(IFERROR(FIND(CATALOG_BASE,A2619),0)=1,CATALOG_POINTS,0))=0,DAILY_POST_POINTS,MAX(IF(IFERROR(FIND(CATALOG_BASE,A2619),0)=1,CATALOG_POINTS,0))),IFERROR(INDEX(CATALOG_POINTS,MATCH(A2619,CATALOG_TASK,0)),""))</f>
        <v>10</v>
      </c>
      <c r="D2619" s="10" t="s">
        <v>1589</v>
      </c>
      <c r="E2619" s="41" t="str">
        <f t="shared" si="1"/>
        <v>PROX4</v>
      </c>
    </row>
    <row r="2620" ht="15.75" customHeight="1">
      <c r="A2620" s="10" t="s">
        <v>177</v>
      </c>
      <c r="B2620" s="10" t="s">
        <v>142</v>
      </c>
      <c r="C2620" s="41">
        <f t="array" ref="C2620">IF(IFERROR(INDEX(CATALOG_POINTS,MATCH(A2620,CATALOG_TASK,0)),"")="",IF(MAX(IF(IFERROR(FIND(CATALOG_BASE,A2620),0)=1,CATALOG_POINTS,0))=0,DAILY_POST_POINTS,MAX(IF(IFERROR(FIND(CATALOG_BASE,A2620),0)=1,CATALOG_POINTS,0))),IFERROR(INDEX(CATALOG_POINTS,MATCH(A2620,CATALOG_TASK,0)),""))</f>
        <v>6</v>
      </c>
      <c r="D2620" s="10" t="s">
        <v>1590</v>
      </c>
      <c r="E2620" s="41" t="str">
        <f t="shared" si="1"/>
        <v>E0</v>
      </c>
    </row>
    <row r="2621" ht="15.75" customHeight="1">
      <c r="A2621" s="10" t="s">
        <v>37</v>
      </c>
      <c r="B2621" s="10" t="s">
        <v>117</v>
      </c>
      <c r="C2621" s="41">
        <f t="array" ref="C2621">IF(IFERROR(INDEX(CATALOG_POINTS,MATCH(A2621,CATALOG_TASK,0)),"")="",IF(MAX(IF(IFERROR(FIND(CATALOG_BASE,A2621),0)=1,CATALOG_POINTS,0))=0,DAILY_POST_POINTS,MAX(IF(IFERROR(FIND(CATALOG_BASE,A2621),0)=1,CATALOG_POINTS,0))),IFERROR(INDEX(CATALOG_POINTS,MATCH(A2621,CATALOG_TASK,0)),""))</f>
        <v>2</v>
      </c>
      <c r="D2621" s="10" t="s">
        <v>1590</v>
      </c>
      <c r="E2621" s="41" t="str">
        <f t="shared" si="1"/>
        <v>E0</v>
      </c>
    </row>
    <row r="2622" ht="15.75" customHeight="1">
      <c r="A2622" s="10" t="s">
        <v>174</v>
      </c>
      <c r="B2622" s="10" t="s">
        <v>124</v>
      </c>
      <c r="C2622" s="41">
        <f t="array" ref="C2622">IF(IFERROR(INDEX(CATALOG_POINTS,MATCH(A2622,CATALOG_TASK,0)),"")="",IF(MAX(IF(IFERROR(FIND(CATALOG_BASE,A2622),0)=1,CATALOG_POINTS,0))=0,DAILY_POST_POINTS,MAX(IF(IFERROR(FIND(CATALOG_BASE,A2622),0)=1,CATALOG_POINTS,0))),IFERROR(INDEX(CATALOG_POINTS,MATCH(A2622,CATALOG_TASK,0)),""))</f>
        <v>1</v>
      </c>
      <c r="D2622" s="10" t="s">
        <v>1590</v>
      </c>
      <c r="E2622" s="41" t="str">
        <f t="shared" si="1"/>
        <v>E0</v>
      </c>
    </row>
    <row r="2623" ht="15.75" customHeight="1">
      <c r="A2623" s="10" t="s">
        <v>380</v>
      </c>
      <c r="B2623" s="10" t="s">
        <v>142</v>
      </c>
      <c r="C2623" s="41">
        <f t="array" ref="C2623">IF(IFERROR(INDEX(CATALOG_POINTS,MATCH(A2623,CATALOG_TASK,0)),"")="",IF(MAX(IF(IFERROR(FIND(CATALOG_BASE,A2623),0)=1,CATALOG_POINTS,0))=0,DAILY_POST_POINTS,MAX(IF(IFERROR(FIND(CATALOG_BASE,A2623),0)=1,CATALOG_POINTS,0))),IFERROR(INDEX(CATALOG_POINTS,MATCH(A2623,CATALOG_TASK,0)),""))</f>
        <v>1</v>
      </c>
      <c r="D2623" s="10" t="s">
        <v>1590</v>
      </c>
      <c r="E2623" s="41" t="str">
        <f t="shared" si="1"/>
        <v>E0</v>
      </c>
    </row>
    <row r="2624" ht="15.75" customHeight="1">
      <c r="A2624" s="10" t="s">
        <v>37</v>
      </c>
      <c r="B2624" s="10" t="s">
        <v>122</v>
      </c>
      <c r="C2624" s="41">
        <f t="array" ref="C2624">IF(IFERROR(INDEX(CATALOG_POINTS,MATCH(A2624,CATALOG_TASK,0)),"")="",IF(MAX(IF(IFERROR(FIND(CATALOG_BASE,A2624),0)=1,CATALOG_POINTS,0))=0,DAILY_POST_POINTS,MAX(IF(IFERROR(FIND(CATALOG_BASE,A2624),0)=1,CATALOG_POINTS,0))),IFERROR(INDEX(CATALOG_POINTS,MATCH(A2624,CATALOG_TASK,0)),""))</f>
        <v>2</v>
      </c>
      <c r="D2624" s="10" t="s">
        <v>1591</v>
      </c>
      <c r="E2624" s="41" t="str">
        <f t="shared" si="1"/>
        <v>PROX3</v>
      </c>
    </row>
    <row r="2625" ht="15.75" customHeight="1">
      <c r="A2625" s="10" t="s">
        <v>1591</v>
      </c>
      <c r="B2625" s="10" t="s">
        <v>126</v>
      </c>
      <c r="C2625" s="41">
        <f t="array" ref="C2625">IF(IFERROR(INDEX(CATALOG_POINTS,MATCH(A2625,CATALOG_TASK,0)),"")="",IF(MAX(IF(IFERROR(FIND(CATALOG_BASE,A2625),0)=1,CATALOG_POINTS,0))=0,DAILY_POST_POINTS,MAX(IF(IFERROR(FIND(CATALOG_BASE,A2625),0)=1,CATALOG_POINTS,0))),IFERROR(INDEX(CATALOG_POINTS,MATCH(A2625,CATALOG_TASK,0)),""))</f>
        <v>1</v>
      </c>
      <c r="D2625" s="10" t="s">
        <v>1591</v>
      </c>
      <c r="E2625" s="41" t="str">
        <f t="shared" si="1"/>
        <v>PROX3</v>
      </c>
    </row>
    <row r="2626" ht="15.75" customHeight="1">
      <c r="A2626" s="10" t="s">
        <v>37</v>
      </c>
      <c r="B2626" s="10" t="s">
        <v>119</v>
      </c>
      <c r="C2626" s="41">
        <f t="array" ref="C2626">IF(IFERROR(INDEX(CATALOG_POINTS,MATCH(A2626,CATALOG_TASK,0)),"")="",IF(MAX(IF(IFERROR(FIND(CATALOG_BASE,A2626),0)=1,CATALOG_POINTS,0))=0,DAILY_POST_POINTS,MAX(IF(IFERROR(FIND(CATALOG_BASE,A2626),0)=1,CATALOG_POINTS,0))),IFERROR(INDEX(CATALOG_POINTS,MATCH(A2626,CATALOG_TASK,0)),""))</f>
        <v>2</v>
      </c>
      <c r="D2626" s="10" t="s">
        <v>1591</v>
      </c>
      <c r="E2626" s="41" t="str">
        <f t="shared" si="1"/>
        <v>PROX3</v>
      </c>
    </row>
    <row r="2627" ht="15.75" customHeight="1">
      <c r="A2627" s="10" t="s">
        <v>1592</v>
      </c>
      <c r="B2627" s="10" t="s">
        <v>126</v>
      </c>
      <c r="C2627" s="41">
        <f t="array" ref="C2627">IF(IFERROR(INDEX(CATALOG_POINTS,MATCH(A2627,CATALOG_TASK,0)),"")="",IF(MAX(IF(IFERROR(FIND(CATALOG_BASE,A2627),0)=1,CATALOG_POINTS,0))=0,DAILY_POST_POINTS,MAX(IF(IFERROR(FIND(CATALOG_BASE,A2627),0)=1,CATALOG_POINTS,0))),IFERROR(INDEX(CATALOG_POINTS,MATCH(A2627,CATALOG_TASK,0)),""))</f>
        <v>1</v>
      </c>
      <c r="D2627" s="10" t="s">
        <v>1592</v>
      </c>
      <c r="E2627" s="41" t="str">
        <f t="shared" si="1"/>
        <v>PROX3</v>
      </c>
    </row>
    <row r="2628" ht="15.75" customHeight="1">
      <c r="A2628" s="10" t="s">
        <v>1593</v>
      </c>
      <c r="B2628" s="10" t="s">
        <v>126</v>
      </c>
      <c r="C2628" s="41">
        <f t="array" ref="C2628">IF(IFERROR(INDEX(CATALOG_POINTS,MATCH(A2628,CATALOG_TASK,0)),"")="",IF(MAX(IF(IFERROR(FIND(CATALOG_BASE,A2628),0)=1,CATALOG_POINTS,0))=0,DAILY_POST_POINTS,MAX(IF(IFERROR(FIND(CATALOG_BASE,A2628),0)=1,CATALOG_POINTS,0))),IFERROR(INDEX(CATALOG_POINTS,MATCH(A2628,CATALOG_TASK,0)),""))</f>
        <v>1</v>
      </c>
      <c r="D2628" s="10" t="s">
        <v>1593</v>
      </c>
      <c r="E2628" s="41" t="str">
        <f t="shared" si="1"/>
        <v>PROX4</v>
      </c>
    </row>
    <row r="2629" ht="15.75" customHeight="1">
      <c r="A2629" s="10" t="s">
        <v>37</v>
      </c>
      <c r="B2629" s="10" t="s">
        <v>117</v>
      </c>
      <c r="C2629" s="41">
        <f t="array" ref="C2629">IF(IFERROR(INDEX(CATALOG_POINTS,MATCH(A2629,CATALOG_TASK,0)),"")="",IF(MAX(IF(IFERROR(FIND(CATALOG_BASE,A2629),0)=1,CATALOG_POINTS,0))=0,DAILY_POST_POINTS,MAX(IF(IFERROR(FIND(CATALOG_BASE,A2629),0)=1,CATALOG_POINTS,0))),IFERROR(INDEX(CATALOG_POINTS,MATCH(A2629,CATALOG_TASK,0)),""))</f>
        <v>2</v>
      </c>
      <c r="D2629" s="10" t="s">
        <v>1594</v>
      </c>
      <c r="E2629" s="41" t="str">
        <f t="shared" si="1"/>
        <v>PROX3</v>
      </c>
    </row>
    <row r="2630" ht="15.75" customHeight="1">
      <c r="A2630" s="10" t="s">
        <v>1594</v>
      </c>
      <c r="B2630" s="10" t="s">
        <v>119</v>
      </c>
      <c r="C2630" s="41">
        <f t="array" ref="C2630">IF(IFERROR(INDEX(CATALOG_POINTS,MATCH(A2630,CATALOG_TASK,0)),"")="",IF(MAX(IF(IFERROR(FIND(CATALOG_BASE,A2630),0)=1,CATALOG_POINTS,0))=0,DAILY_POST_POINTS,MAX(IF(IFERROR(FIND(CATALOG_BASE,A2630),0)=1,CATALOG_POINTS,0))),IFERROR(INDEX(CATALOG_POINTS,MATCH(A2630,CATALOG_TASK,0)),""))</f>
        <v>1</v>
      </c>
      <c r="D2630" s="10" t="s">
        <v>1594</v>
      </c>
      <c r="E2630" s="41" t="str">
        <f t="shared" si="1"/>
        <v>PROX3</v>
      </c>
    </row>
    <row r="2631" ht="15.75" customHeight="1">
      <c r="A2631" s="10" t="s">
        <v>1595</v>
      </c>
      <c r="B2631" s="10" t="s">
        <v>131</v>
      </c>
      <c r="C2631" s="41">
        <f t="array" ref="C2631">IF(IFERROR(INDEX(CATALOG_POINTS,MATCH(A2631,CATALOG_TASK,0)),"")="",IF(MAX(IF(IFERROR(FIND(CATALOG_BASE,A2631),0)=1,CATALOG_POINTS,0))=0,DAILY_POST_POINTS,MAX(IF(IFERROR(FIND(CATALOG_BASE,A2631),0)=1,CATALOG_POINTS,0))),IFERROR(INDEX(CATALOG_POINTS,MATCH(A2631,CATALOG_TASK,0)),""))</f>
        <v>1</v>
      </c>
      <c r="D2631" s="10" t="s">
        <v>1595</v>
      </c>
      <c r="E2631" s="41" t="str">
        <f t="shared" si="1"/>
        <v>E0</v>
      </c>
    </row>
    <row r="2632" ht="15.75" customHeight="1">
      <c r="A2632" s="10" t="s">
        <v>1596</v>
      </c>
      <c r="B2632" s="10" t="s">
        <v>128</v>
      </c>
      <c r="C2632" s="41">
        <f t="array" ref="C2632">IF(IFERROR(INDEX(CATALOG_POINTS,MATCH(A2632,CATALOG_TASK,0)),"")="",IF(MAX(IF(IFERROR(FIND(CATALOG_BASE,A2632),0)=1,CATALOG_POINTS,0))=0,DAILY_POST_POINTS,MAX(IF(IFERROR(FIND(CATALOG_BASE,A2632),0)=1,CATALOG_POINTS,0))),IFERROR(INDEX(CATALOG_POINTS,MATCH(A2632,CATALOG_TASK,0)),""))</f>
        <v>1</v>
      </c>
      <c r="D2632" s="10" t="s">
        <v>1596</v>
      </c>
      <c r="E2632" s="41" t="str">
        <f t="shared" si="1"/>
        <v>PROX4</v>
      </c>
    </row>
    <row r="2633" ht="15.75" customHeight="1">
      <c r="A2633" s="10" t="s">
        <v>37</v>
      </c>
      <c r="B2633" s="10" t="s">
        <v>121</v>
      </c>
      <c r="C2633" s="41">
        <f t="array" ref="C2633">IF(IFERROR(INDEX(CATALOG_POINTS,MATCH(A2633,CATALOG_TASK,0)),"")="",IF(MAX(IF(IFERROR(FIND(CATALOG_BASE,A2633),0)=1,CATALOG_POINTS,0))=0,DAILY_POST_POINTS,MAX(IF(IFERROR(FIND(CATALOG_BASE,A2633),0)=1,CATALOG_POINTS,0))),IFERROR(INDEX(CATALOG_POINTS,MATCH(A2633,CATALOG_TASK,0)),""))</f>
        <v>2</v>
      </c>
      <c r="D2633" s="10" t="s">
        <v>1597</v>
      </c>
      <c r="E2633" s="41" t="str">
        <f t="shared" si="1"/>
        <v>PROX3</v>
      </c>
    </row>
    <row r="2634" ht="15.75" customHeight="1">
      <c r="A2634" s="10" t="s">
        <v>1597</v>
      </c>
      <c r="B2634" s="10" t="s">
        <v>133</v>
      </c>
      <c r="C2634" s="41">
        <f t="array" ref="C2634">IF(IFERROR(INDEX(CATALOG_POINTS,MATCH(A2634,CATALOG_TASK,0)),"")="",IF(MAX(IF(IFERROR(FIND(CATALOG_BASE,A2634),0)=1,CATALOG_POINTS,0))=0,DAILY_POST_POINTS,MAX(IF(IFERROR(FIND(CATALOG_BASE,A2634),0)=1,CATALOG_POINTS,0))),IFERROR(INDEX(CATALOG_POINTS,MATCH(A2634,CATALOG_TASK,0)),""))</f>
        <v>1</v>
      </c>
      <c r="D2634" s="10" t="s">
        <v>1597</v>
      </c>
      <c r="E2634" s="41" t="str">
        <f t="shared" si="1"/>
        <v>PROX3</v>
      </c>
    </row>
    <row r="2635" ht="15.75" customHeight="1">
      <c r="A2635" s="10" t="s">
        <v>168</v>
      </c>
      <c r="B2635" s="10" t="s">
        <v>124</v>
      </c>
      <c r="C2635" s="41">
        <f t="array" ref="C2635">IF(IFERROR(INDEX(CATALOG_POINTS,MATCH(A2635,CATALOG_TASK,0)),"")="",IF(MAX(IF(IFERROR(FIND(CATALOG_BASE,A2635),0)=1,CATALOG_POINTS,0))=0,DAILY_POST_POINTS,MAX(IF(IFERROR(FIND(CATALOG_BASE,A2635),0)=1,CATALOG_POINTS,0))),IFERROR(INDEX(CATALOG_POINTS,MATCH(A2635,CATALOG_TASK,0)),""))</f>
        <v>1</v>
      </c>
      <c r="D2635" s="10" t="s">
        <v>1598</v>
      </c>
      <c r="E2635" s="41" t="str">
        <f t="shared" si="1"/>
        <v>PROX3</v>
      </c>
    </row>
    <row r="2636" ht="15.75" customHeight="1">
      <c r="A2636" s="10" t="s">
        <v>37</v>
      </c>
      <c r="B2636" s="10" t="s">
        <v>124</v>
      </c>
      <c r="C2636" s="41">
        <f t="array" ref="C2636">IF(IFERROR(INDEX(CATALOG_POINTS,MATCH(A2636,CATALOG_TASK,0)),"")="",IF(MAX(IF(IFERROR(FIND(CATALOG_BASE,A2636),0)=1,CATALOG_POINTS,0))=0,DAILY_POST_POINTS,MAX(IF(IFERROR(FIND(CATALOG_BASE,A2636),0)=1,CATALOG_POINTS,0))),IFERROR(INDEX(CATALOG_POINTS,MATCH(A2636,CATALOG_TASK,0)),""))</f>
        <v>2</v>
      </c>
      <c r="D2636" s="10" t="s">
        <v>1598</v>
      </c>
      <c r="E2636" s="41" t="str">
        <f t="shared" si="1"/>
        <v>PROX3</v>
      </c>
    </row>
    <row r="2637" ht="15.75" customHeight="1">
      <c r="A2637" s="10" t="s">
        <v>168</v>
      </c>
      <c r="B2637" s="10" t="s">
        <v>124</v>
      </c>
      <c r="C2637" s="41">
        <f t="array" ref="C2637">IF(IFERROR(INDEX(CATALOG_POINTS,MATCH(A2637,CATALOG_TASK,0)),"")="",IF(MAX(IF(IFERROR(FIND(CATALOG_BASE,A2637),0)=1,CATALOG_POINTS,0))=0,DAILY_POST_POINTS,MAX(IF(IFERROR(FIND(CATALOG_BASE,A2637),0)=1,CATALOG_POINTS,0))),IFERROR(INDEX(CATALOG_POINTS,MATCH(A2637,CATALOG_TASK,0)),""))</f>
        <v>1</v>
      </c>
      <c r="D2637" s="10" t="s">
        <v>1598</v>
      </c>
      <c r="E2637" s="41" t="str">
        <f t="shared" si="1"/>
        <v>PROX3</v>
      </c>
    </row>
    <row r="2638" ht="15.75" customHeight="1">
      <c r="A2638" s="10" t="s">
        <v>1598</v>
      </c>
      <c r="B2638" s="10" t="s">
        <v>123</v>
      </c>
      <c r="C2638" s="41">
        <f t="array" ref="C2638">IF(IFERROR(INDEX(CATALOG_POINTS,MATCH(A2638,CATALOG_TASK,0)),"")="",IF(MAX(IF(IFERROR(FIND(CATALOG_BASE,A2638),0)=1,CATALOG_POINTS,0))=0,DAILY_POST_POINTS,MAX(IF(IFERROR(FIND(CATALOG_BASE,A2638),0)=1,CATALOG_POINTS,0))),IFERROR(INDEX(CATALOG_POINTS,MATCH(A2638,CATALOG_TASK,0)),""))</f>
        <v>1</v>
      </c>
      <c r="D2638" s="10" t="s">
        <v>1598</v>
      </c>
      <c r="E2638" s="41" t="str">
        <f t="shared" si="1"/>
        <v>PROX3</v>
      </c>
    </row>
    <row r="2639" ht="15.75" customHeight="1">
      <c r="A2639" s="10" t="s">
        <v>1599</v>
      </c>
      <c r="B2639" s="10" t="s">
        <v>121</v>
      </c>
      <c r="C2639" s="41">
        <f t="array" ref="C2639">IF(IFERROR(INDEX(CATALOG_POINTS,MATCH(A2639,CATALOG_TASK,0)),"")="",IF(MAX(IF(IFERROR(FIND(CATALOG_BASE,A2639),0)=1,CATALOG_POINTS,0))=0,DAILY_POST_POINTS,MAX(IF(IFERROR(FIND(CATALOG_BASE,A2639),0)=1,CATALOG_POINTS,0))),IFERROR(INDEX(CATALOG_POINTS,MATCH(A2639,CATALOG_TASK,0)),""))</f>
        <v>1</v>
      </c>
      <c r="D2639" s="10" t="s">
        <v>1599</v>
      </c>
      <c r="E2639" s="41" t="str">
        <f t="shared" si="1"/>
        <v>PROX3</v>
      </c>
    </row>
    <row r="2640" ht="15.75" customHeight="1">
      <c r="A2640" s="10" t="s">
        <v>1600</v>
      </c>
      <c r="B2640" s="10" t="s">
        <v>126</v>
      </c>
      <c r="C2640" s="41">
        <f t="array" ref="C2640">IF(IFERROR(INDEX(CATALOG_POINTS,MATCH(A2640,CATALOG_TASK,0)),"")="",IF(MAX(IF(IFERROR(FIND(CATALOG_BASE,A2640),0)=1,CATALOG_POINTS,0))=0,DAILY_POST_POINTS,MAX(IF(IFERROR(FIND(CATALOG_BASE,A2640),0)=1,CATALOG_POINTS,0))),IFERROR(INDEX(CATALOG_POINTS,MATCH(A2640,CATALOG_TASK,0)),""))</f>
        <v>1</v>
      </c>
      <c r="D2640" s="10" t="s">
        <v>1600</v>
      </c>
      <c r="E2640" s="41" t="str">
        <f t="shared" si="1"/>
        <v>PROX3</v>
      </c>
    </row>
    <row r="2641" ht="15.75" customHeight="1">
      <c r="A2641" s="10" t="s">
        <v>1601</v>
      </c>
      <c r="B2641" s="10" t="s">
        <v>121</v>
      </c>
      <c r="C2641" s="41">
        <f t="array" ref="C2641">IF(IFERROR(INDEX(CATALOG_POINTS,MATCH(A2641,CATALOG_TASK,0)),"")="",IF(MAX(IF(IFERROR(FIND(CATALOG_BASE,A2641),0)=1,CATALOG_POINTS,0))=0,DAILY_POST_POINTS,MAX(IF(IFERROR(FIND(CATALOG_BASE,A2641),0)=1,CATALOG_POINTS,0))),IFERROR(INDEX(CATALOG_POINTS,MATCH(A2641,CATALOG_TASK,0)),""))</f>
        <v>1</v>
      </c>
      <c r="D2641" s="10" t="s">
        <v>1601</v>
      </c>
      <c r="E2641" s="41" t="str">
        <f t="shared" si="1"/>
        <v>PROX3</v>
      </c>
    </row>
    <row r="2642" ht="15.75" customHeight="1">
      <c r="A2642" s="10" t="s">
        <v>37</v>
      </c>
      <c r="B2642" s="10" t="s">
        <v>122</v>
      </c>
      <c r="C2642" s="41">
        <f t="array" ref="C2642">IF(IFERROR(INDEX(CATALOG_POINTS,MATCH(A2642,CATALOG_TASK,0)),"")="",IF(MAX(IF(IFERROR(FIND(CATALOG_BASE,A2642),0)=1,CATALOG_POINTS,0))=0,DAILY_POST_POINTS,MAX(IF(IFERROR(FIND(CATALOG_BASE,A2642),0)=1,CATALOG_POINTS,0))),IFERROR(INDEX(CATALOG_POINTS,MATCH(A2642,CATALOG_TASK,0)),""))</f>
        <v>2</v>
      </c>
      <c r="D2642" s="10" t="s">
        <v>1601</v>
      </c>
      <c r="E2642" s="41" t="str">
        <f t="shared" si="1"/>
        <v>PROX3</v>
      </c>
    </row>
    <row r="2643" ht="15.75" customHeight="1">
      <c r="A2643" s="10" t="s">
        <v>37</v>
      </c>
      <c r="B2643" s="10" t="s">
        <v>122</v>
      </c>
      <c r="C2643" s="41">
        <f t="array" ref="C2643">IF(IFERROR(INDEX(CATALOG_POINTS,MATCH(A2643,CATALOG_TASK,0)),"")="",IF(MAX(IF(IFERROR(FIND(CATALOG_BASE,A2643),0)=1,CATALOG_POINTS,0))=0,DAILY_POST_POINTS,MAX(IF(IFERROR(FIND(CATALOG_BASE,A2643),0)=1,CATALOG_POINTS,0))),IFERROR(INDEX(CATALOG_POINTS,MATCH(A2643,CATALOG_TASK,0)),""))</f>
        <v>2</v>
      </c>
      <c r="D2643" s="10" t="s">
        <v>1601</v>
      </c>
      <c r="E2643" s="41" t="str">
        <f t="shared" si="1"/>
        <v>PROX3</v>
      </c>
    </row>
    <row r="2644" ht="15.75" customHeight="1">
      <c r="A2644" s="10" t="s">
        <v>37</v>
      </c>
      <c r="B2644" s="10" t="s">
        <v>122</v>
      </c>
      <c r="C2644" s="41">
        <f t="array" ref="C2644">IF(IFERROR(INDEX(CATALOG_POINTS,MATCH(A2644,CATALOG_TASK,0)),"")="",IF(MAX(IF(IFERROR(FIND(CATALOG_BASE,A2644),0)=1,CATALOG_POINTS,0))=0,DAILY_POST_POINTS,MAX(IF(IFERROR(FIND(CATALOG_BASE,A2644),0)=1,CATALOG_POINTS,0))),IFERROR(INDEX(CATALOG_POINTS,MATCH(A2644,CATALOG_TASK,0)),""))</f>
        <v>2</v>
      </c>
      <c r="D2644" s="10" t="s">
        <v>1601</v>
      </c>
      <c r="E2644" s="41" t="str">
        <f t="shared" si="1"/>
        <v>PROX3</v>
      </c>
    </row>
    <row r="2645" ht="15.75" customHeight="1">
      <c r="A2645" s="10" t="s">
        <v>37</v>
      </c>
      <c r="B2645" s="10" t="s">
        <v>122</v>
      </c>
      <c r="C2645" s="41">
        <f t="array" ref="C2645">IF(IFERROR(INDEX(CATALOG_POINTS,MATCH(A2645,CATALOG_TASK,0)),"")="",IF(MAX(IF(IFERROR(FIND(CATALOG_BASE,A2645),0)=1,CATALOG_POINTS,0))=0,DAILY_POST_POINTS,MAX(IF(IFERROR(FIND(CATALOG_BASE,A2645),0)=1,CATALOG_POINTS,0))),IFERROR(INDEX(CATALOG_POINTS,MATCH(A2645,CATALOG_TASK,0)),""))</f>
        <v>2</v>
      </c>
      <c r="D2645" s="10" t="s">
        <v>1601</v>
      </c>
      <c r="E2645" s="41" t="str">
        <f t="shared" si="1"/>
        <v>PROX3</v>
      </c>
    </row>
    <row r="2646" ht="15.75" customHeight="1">
      <c r="A2646" s="10" t="s">
        <v>37</v>
      </c>
      <c r="B2646" s="10" t="s">
        <v>120</v>
      </c>
      <c r="C2646" s="41">
        <f t="array" ref="C2646">IF(IFERROR(INDEX(CATALOG_POINTS,MATCH(A2646,CATALOG_TASK,0)),"")="",IF(MAX(IF(IFERROR(FIND(CATALOG_BASE,A2646),0)=1,CATALOG_POINTS,0))=0,DAILY_POST_POINTS,MAX(IF(IFERROR(FIND(CATALOG_BASE,A2646),0)=1,CATALOG_POINTS,0))),IFERROR(INDEX(CATALOG_POINTS,MATCH(A2646,CATALOG_TASK,0)),""))</f>
        <v>2</v>
      </c>
      <c r="D2646" s="10" t="s">
        <v>1601</v>
      </c>
      <c r="E2646" s="41" t="str">
        <f t="shared" si="1"/>
        <v>PROX3</v>
      </c>
    </row>
    <row r="2647" ht="15.75" customHeight="1">
      <c r="A2647" s="10" t="s">
        <v>37</v>
      </c>
      <c r="B2647" s="10" t="s">
        <v>122</v>
      </c>
      <c r="C2647" s="41">
        <f t="array" ref="C2647">IF(IFERROR(INDEX(CATALOG_POINTS,MATCH(A2647,CATALOG_TASK,0)),"")="",IF(MAX(IF(IFERROR(FIND(CATALOG_BASE,A2647),0)=1,CATALOG_POINTS,0))=0,DAILY_POST_POINTS,MAX(IF(IFERROR(FIND(CATALOG_BASE,A2647),0)=1,CATALOG_POINTS,0))),IFERROR(INDEX(CATALOG_POINTS,MATCH(A2647,CATALOG_TASK,0)),""))</f>
        <v>2</v>
      </c>
      <c r="D2647" s="10" t="s">
        <v>1601</v>
      </c>
      <c r="E2647" s="41" t="str">
        <f t="shared" si="1"/>
        <v>PROX3</v>
      </c>
    </row>
    <row r="2648" ht="15.75" customHeight="1">
      <c r="A2648" s="10" t="s">
        <v>37</v>
      </c>
      <c r="B2648" s="10" t="s">
        <v>120</v>
      </c>
      <c r="C2648" s="41">
        <f t="array" ref="C2648">IF(IFERROR(INDEX(CATALOG_POINTS,MATCH(A2648,CATALOG_TASK,0)),"")="",IF(MAX(IF(IFERROR(FIND(CATALOG_BASE,A2648),0)=1,CATALOG_POINTS,0))=0,DAILY_POST_POINTS,MAX(IF(IFERROR(FIND(CATALOG_BASE,A2648),0)=1,CATALOG_POINTS,0))),IFERROR(INDEX(CATALOG_POINTS,MATCH(A2648,CATALOG_TASK,0)),""))</f>
        <v>2</v>
      </c>
      <c r="D2648" s="10" t="s">
        <v>1601</v>
      </c>
      <c r="E2648" s="41" t="str">
        <f t="shared" si="1"/>
        <v>PROX3</v>
      </c>
    </row>
    <row r="2649" ht="15.75" customHeight="1">
      <c r="A2649" s="10" t="s">
        <v>37</v>
      </c>
      <c r="B2649" s="10" t="s">
        <v>124</v>
      </c>
      <c r="C2649" s="41">
        <f t="array" ref="C2649">IF(IFERROR(INDEX(CATALOG_POINTS,MATCH(A2649,CATALOG_TASK,0)),"")="",IF(MAX(IF(IFERROR(FIND(CATALOG_BASE,A2649),0)=1,CATALOG_POINTS,0))=0,DAILY_POST_POINTS,MAX(IF(IFERROR(FIND(CATALOG_BASE,A2649),0)=1,CATALOG_POINTS,0))),IFERROR(INDEX(CATALOG_POINTS,MATCH(A2649,CATALOG_TASK,0)),""))</f>
        <v>2</v>
      </c>
      <c r="D2649" s="10" t="s">
        <v>1602</v>
      </c>
      <c r="E2649" s="41" t="str">
        <f t="shared" si="1"/>
        <v>PROX3</v>
      </c>
    </row>
    <row r="2650" ht="15.75" customHeight="1">
      <c r="A2650" s="10" t="s">
        <v>37</v>
      </c>
      <c r="B2650" s="10" t="s">
        <v>121</v>
      </c>
      <c r="C2650" s="41">
        <f t="array" ref="C2650">IF(IFERROR(INDEX(CATALOG_POINTS,MATCH(A2650,CATALOG_TASK,0)),"")="",IF(MAX(IF(IFERROR(FIND(CATALOG_BASE,A2650),0)=1,CATALOG_POINTS,0))=0,DAILY_POST_POINTS,MAX(IF(IFERROR(FIND(CATALOG_BASE,A2650),0)=1,CATALOG_POINTS,0))),IFERROR(INDEX(CATALOG_POINTS,MATCH(A2650,CATALOG_TASK,0)),""))</f>
        <v>2</v>
      </c>
      <c r="D2650" s="10" t="s">
        <v>1602</v>
      </c>
      <c r="E2650" s="41" t="str">
        <f t="shared" si="1"/>
        <v>PROX3</v>
      </c>
    </row>
    <row r="2651" ht="15.75" customHeight="1">
      <c r="A2651" s="10" t="s">
        <v>1602</v>
      </c>
      <c r="B2651" s="10" t="s">
        <v>119</v>
      </c>
      <c r="C2651" s="41">
        <f t="array" ref="C2651">IF(IFERROR(INDEX(CATALOG_POINTS,MATCH(A2651,CATALOG_TASK,0)),"")="",IF(MAX(IF(IFERROR(FIND(CATALOG_BASE,A2651),0)=1,CATALOG_POINTS,0))=0,DAILY_POST_POINTS,MAX(IF(IFERROR(FIND(CATALOG_BASE,A2651),0)=1,CATALOG_POINTS,0))),IFERROR(INDEX(CATALOG_POINTS,MATCH(A2651,CATALOG_TASK,0)),""))</f>
        <v>1</v>
      </c>
      <c r="D2651" s="10" t="s">
        <v>1602</v>
      </c>
      <c r="E2651" s="41" t="str">
        <f t="shared" si="1"/>
        <v>PROX3</v>
      </c>
    </row>
    <row r="2652" ht="15.75" customHeight="1">
      <c r="A2652" s="10" t="s">
        <v>1603</v>
      </c>
      <c r="B2652" s="10" t="s">
        <v>126</v>
      </c>
      <c r="C2652" s="41">
        <f t="array" ref="C2652">IF(IFERROR(INDEX(CATALOG_POINTS,MATCH(A2652,CATALOG_TASK,0)),"")="",IF(MAX(IF(IFERROR(FIND(CATALOG_BASE,A2652),0)=1,CATALOG_POINTS,0))=0,DAILY_POST_POINTS,MAX(IF(IFERROR(FIND(CATALOG_BASE,A2652),0)=1,CATALOG_POINTS,0))),IFERROR(INDEX(CATALOG_POINTS,MATCH(A2652,CATALOG_TASK,0)),""))</f>
        <v>1</v>
      </c>
      <c r="D2652" s="10" t="s">
        <v>1603</v>
      </c>
      <c r="E2652" s="41" t="str">
        <f t="shared" si="1"/>
        <v>PROX3</v>
      </c>
    </row>
    <row r="2653" ht="15.75" customHeight="1">
      <c r="A2653" s="10" t="s">
        <v>1604</v>
      </c>
      <c r="B2653" s="10" t="s">
        <v>134</v>
      </c>
      <c r="C2653" s="41">
        <f t="array" ref="C2653">IF(IFERROR(INDEX(CATALOG_POINTS,MATCH(A2653,CATALOG_TASK,0)),"")="",IF(MAX(IF(IFERROR(FIND(CATALOG_BASE,A2653),0)=1,CATALOG_POINTS,0))=0,DAILY_POST_POINTS,MAX(IF(IFERROR(FIND(CATALOG_BASE,A2653),0)=1,CATALOG_POINTS,0))),IFERROR(INDEX(CATALOG_POINTS,MATCH(A2653,CATALOG_TASK,0)),""))</f>
        <v>1</v>
      </c>
      <c r="D2653" s="10" t="s">
        <v>1604</v>
      </c>
      <c r="E2653" s="41" t="str">
        <f t="shared" si="1"/>
        <v>PROX3</v>
      </c>
    </row>
    <row r="2654" ht="15.75" customHeight="1">
      <c r="A2654" s="10" t="s">
        <v>1605</v>
      </c>
      <c r="B2654" s="10" t="s">
        <v>134</v>
      </c>
      <c r="C2654" s="41">
        <f t="array" ref="C2654">IF(IFERROR(INDEX(CATALOG_POINTS,MATCH(A2654,CATALOG_TASK,0)),"")="",IF(MAX(IF(IFERROR(FIND(CATALOG_BASE,A2654),0)=1,CATALOG_POINTS,0))=0,DAILY_POST_POINTS,MAX(IF(IFERROR(FIND(CATALOG_BASE,A2654),0)=1,CATALOG_POINTS,0))),IFERROR(INDEX(CATALOG_POINTS,MATCH(A2654,CATALOG_TASK,0)),""))</f>
        <v>1</v>
      </c>
      <c r="D2654" s="10" t="s">
        <v>1605</v>
      </c>
      <c r="E2654" s="41" t="str">
        <f t="shared" si="1"/>
        <v/>
      </c>
    </row>
    <row r="2655" ht="15.75" customHeight="1">
      <c r="A2655" s="10" t="s">
        <v>55</v>
      </c>
      <c r="B2655" s="10" t="s">
        <v>139</v>
      </c>
      <c r="C2655" s="41">
        <f t="array" ref="C2655">IF(IFERROR(INDEX(CATALOG_POINTS,MATCH(A2655,CATALOG_TASK,0)),"")="",IF(MAX(IF(IFERROR(FIND(CATALOG_BASE,A2655),0)=1,CATALOG_POINTS,0))=0,DAILY_POST_POINTS,MAX(IF(IFERROR(FIND(CATALOG_BASE,A2655),0)=1,CATALOG_POINTS,0))),IFERROR(INDEX(CATALOG_POINTS,MATCH(A2655,CATALOG_TASK,0)),""))</f>
        <v>8</v>
      </c>
      <c r="D2655" s="10" t="s">
        <v>1605</v>
      </c>
      <c r="E2655" s="41" t="str">
        <f t="shared" si="1"/>
        <v/>
      </c>
    </row>
    <row r="2656" ht="15.75" customHeight="1">
      <c r="A2656" s="10" t="s">
        <v>1606</v>
      </c>
      <c r="B2656" s="10" t="s">
        <v>123</v>
      </c>
      <c r="C2656" s="41">
        <f t="array" ref="C2656">IF(IFERROR(INDEX(CATALOG_POINTS,MATCH(A2656,CATALOG_TASK,0)),"")="",IF(MAX(IF(IFERROR(FIND(CATALOG_BASE,A2656),0)=1,CATALOG_POINTS,0))=0,DAILY_POST_POINTS,MAX(IF(IFERROR(FIND(CATALOG_BASE,A2656),0)=1,CATALOG_POINTS,0))),IFERROR(INDEX(CATALOG_POINTS,MATCH(A2656,CATALOG_TASK,0)),""))</f>
        <v>1</v>
      </c>
      <c r="D2656" s="10" t="s">
        <v>1606</v>
      </c>
      <c r="E2656" s="41" t="str">
        <f t="shared" si="1"/>
        <v>PROX3</v>
      </c>
    </row>
    <row r="2657" ht="15.75" customHeight="1">
      <c r="A2657" s="10" t="s">
        <v>37</v>
      </c>
      <c r="B2657" s="10" t="s">
        <v>126</v>
      </c>
      <c r="C2657" s="41">
        <f t="array" ref="C2657">IF(IFERROR(INDEX(CATALOG_POINTS,MATCH(A2657,CATALOG_TASK,0)),"")="",IF(MAX(IF(IFERROR(FIND(CATALOG_BASE,A2657),0)=1,CATALOG_POINTS,0))=0,DAILY_POST_POINTS,MAX(IF(IFERROR(FIND(CATALOG_BASE,A2657),0)=1,CATALOG_POINTS,0))),IFERROR(INDEX(CATALOG_POINTS,MATCH(A2657,CATALOG_TASK,0)),""))</f>
        <v>2</v>
      </c>
      <c r="D2657" s="10" t="s">
        <v>1606</v>
      </c>
      <c r="E2657" s="41" t="str">
        <f t="shared" si="1"/>
        <v>PROX3</v>
      </c>
    </row>
    <row r="2658" ht="15.75" customHeight="1">
      <c r="A2658" s="10" t="s">
        <v>1607</v>
      </c>
      <c r="B2658" s="10" t="s">
        <v>120</v>
      </c>
      <c r="C2658" s="41">
        <f t="array" ref="C2658">IF(IFERROR(INDEX(CATALOG_POINTS,MATCH(A2658,CATALOG_TASK,0)),"")="",IF(MAX(IF(IFERROR(FIND(CATALOG_BASE,A2658),0)=1,CATALOG_POINTS,0))=0,DAILY_POST_POINTS,MAX(IF(IFERROR(FIND(CATALOG_BASE,A2658),0)=1,CATALOG_POINTS,0))),IFERROR(INDEX(CATALOG_POINTS,MATCH(A2658,CATALOG_TASK,0)),""))</f>
        <v>1</v>
      </c>
      <c r="D2658" s="10" t="s">
        <v>1607</v>
      </c>
      <c r="E2658" s="41" t="str">
        <f t="shared" si="1"/>
        <v>PROX4</v>
      </c>
    </row>
    <row r="2659" ht="15.75" customHeight="1">
      <c r="A2659" s="10" t="s">
        <v>178</v>
      </c>
      <c r="B2659" s="10" t="s">
        <v>117</v>
      </c>
      <c r="C2659" s="41">
        <f t="array" ref="C2659">IF(IFERROR(INDEX(CATALOG_POINTS,MATCH(A2659,CATALOG_TASK,0)),"")="",IF(MAX(IF(IFERROR(FIND(CATALOG_BASE,A2659),0)=1,CATALOG_POINTS,0))=0,DAILY_POST_POINTS,MAX(IF(IFERROR(FIND(CATALOG_BASE,A2659),0)=1,CATALOG_POINTS,0))),IFERROR(INDEX(CATALOG_POINTS,MATCH(A2659,CATALOG_TASK,0)),""))</f>
        <v>1</v>
      </c>
      <c r="D2659" s="10" t="s">
        <v>1607</v>
      </c>
      <c r="E2659" s="41" t="str">
        <f t="shared" si="1"/>
        <v>PROX4</v>
      </c>
    </row>
    <row r="2660" ht="15.75" customHeight="1">
      <c r="A2660" s="10" t="s">
        <v>380</v>
      </c>
      <c r="B2660" s="10" t="s">
        <v>139</v>
      </c>
      <c r="C2660" s="41">
        <f t="array" ref="C2660">IF(IFERROR(INDEX(CATALOG_POINTS,MATCH(A2660,CATALOG_TASK,0)),"")="",IF(MAX(IF(IFERROR(FIND(CATALOG_BASE,A2660),0)=1,CATALOG_POINTS,0))=0,DAILY_POST_POINTS,MAX(IF(IFERROR(FIND(CATALOG_BASE,A2660),0)=1,CATALOG_POINTS,0))),IFERROR(INDEX(CATALOG_POINTS,MATCH(A2660,CATALOG_TASK,0)),""))</f>
        <v>1</v>
      </c>
      <c r="D2660" s="10" t="s">
        <v>1607</v>
      </c>
      <c r="E2660" s="41" t="str">
        <f t="shared" si="1"/>
        <v>PROX4</v>
      </c>
    </row>
    <row r="2661" ht="15.75" customHeight="1">
      <c r="A2661" s="10" t="s">
        <v>37</v>
      </c>
      <c r="B2661" s="10" t="s">
        <v>125</v>
      </c>
      <c r="C2661" s="41">
        <f t="array" ref="C2661">IF(IFERROR(INDEX(CATALOG_POINTS,MATCH(A2661,CATALOG_TASK,0)),"")="",IF(MAX(IF(IFERROR(FIND(CATALOG_BASE,A2661),0)=1,CATALOG_POINTS,0))=0,DAILY_POST_POINTS,MAX(IF(IFERROR(FIND(CATALOG_BASE,A2661),0)=1,CATALOG_POINTS,0))),IFERROR(INDEX(CATALOG_POINTS,MATCH(A2661,CATALOG_TASK,0)),""))</f>
        <v>2</v>
      </c>
      <c r="D2661" s="10" t="s">
        <v>1607</v>
      </c>
      <c r="E2661" s="41" t="str">
        <f t="shared" si="1"/>
        <v>PROX4</v>
      </c>
    </row>
    <row r="2662" ht="15.75" customHeight="1">
      <c r="A2662" s="10" t="s">
        <v>1608</v>
      </c>
      <c r="B2662" s="10" t="s">
        <v>128</v>
      </c>
      <c r="C2662" s="41">
        <f t="array" ref="C2662">IF(IFERROR(INDEX(CATALOG_POINTS,MATCH(A2662,CATALOG_TASK,0)),"")="",IF(MAX(IF(IFERROR(FIND(CATALOG_BASE,A2662),0)=1,CATALOG_POINTS,0))=0,DAILY_POST_POINTS,MAX(IF(IFERROR(FIND(CATALOG_BASE,A2662),0)=1,CATALOG_POINTS,0))),IFERROR(INDEX(CATALOG_POINTS,MATCH(A2662,CATALOG_TASK,0)),""))</f>
        <v>1</v>
      </c>
      <c r="D2662" s="10" t="s">
        <v>1608</v>
      </c>
      <c r="E2662" s="41" t="str">
        <f t="shared" si="1"/>
        <v>E0</v>
      </c>
    </row>
    <row r="2663" ht="15.75" customHeight="1">
      <c r="A2663" s="10" t="s">
        <v>1609</v>
      </c>
      <c r="B2663" s="10" t="s">
        <v>127</v>
      </c>
      <c r="C2663" s="41">
        <f t="array" ref="C2663">IF(IFERROR(INDEX(CATALOG_POINTS,MATCH(A2663,CATALOG_TASK,0)),"")="",IF(MAX(IF(IFERROR(FIND(CATALOG_BASE,A2663),0)=1,CATALOG_POINTS,0))=0,DAILY_POST_POINTS,MAX(IF(IFERROR(FIND(CATALOG_BASE,A2663),0)=1,CATALOG_POINTS,0))),IFERROR(INDEX(CATALOG_POINTS,MATCH(A2663,CATALOG_TASK,0)),""))</f>
        <v>1</v>
      </c>
      <c r="D2663" s="10" t="s">
        <v>1609</v>
      </c>
      <c r="E2663" s="41" t="str">
        <f t="shared" si="1"/>
        <v>E0</v>
      </c>
    </row>
    <row r="2664" ht="15.75" customHeight="1">
      <c r="A2664" s="10" t="s">
        <v>1610</v>
      </c>
      <c r="B2664" s="10" t="s">
        <v>128</v>
      </c>
      <c r="C2664" s="41">
        <f t="array" ref="C2664">IF(IFERROR(INDEX(CATALOG_POINTS,MATCH(A2664,CATALOG_TASK,0)),"")="",IF(MAX(IF(IFERROR(FIND(CATALOG_BASE,A2664),0)=1,CATALOG_POINTS,0))=0,DAILY_POST_POINTS,MAX(IF(IFERROR(FIND(CATALOG_BASE,A2664),0)=1,CATALOG_POINTS,0))),IFERROR(INDEX(CATALOG_POINTS,MATCH(A2664,CATALOG_TASK,0)),""))</f>
        <v>1</v>
      </c>
      <c r="D2664" s="10" t="s">
        <v>1610</v>
      </c>
      <c r="E2664" s="41" t="str">
        <f t="shared" si="1"/>
        <v>PROX4</v>
      </c>
    </row>
    <row r="2665" ht="15.75" customHeight="1">
      <c r="A2665" s="10" t="s">
        <v>1611</v>
      </c>
      <c r="B2665" s="10" t="s">
        <v>136</v>
      </c>
      <c r="C2665" s="41">
        <f t="array" ref="C2665">IF(IFERROR(INDEX(CATALOG_POINTS,MATCH(A2665,CATALOG_TASK,0)),"")="",IF(MAX(IF(IFERROR(FIND(CATALOG_BASE,A2665),0)=1,CATALOG_POINTS,0))=0,DAILY_POST_POINTS,MAX(IF(IFERROR(FIND(CATALOG_BASE,A2665),0)=1,CATALOG_POINTS,0))),IFERROR(INDEX(CATALOG_POINTS,MATCH(A2665,CATALOG_TASK,0)),""))</f>
        <v>1</v>
      </c>
      <c r="D2665" s="10" t="s">
        <v>1611</v>
      </c>
      <c r="E2665" s="41" t="str">
        <f t="shared" si="1"/>
        <v>PROX4</v>
      </c>
    </row>
    <row r="2666" ht="15.75" customHeight="1">
      <c r="A2666" s="10" t="s">
        <v>1612</v>
      </c>
      <c r="B2666" s="10" t="s">
        <v>125</v>
      </c>
      <c r="C2666" s="41">
        <f t="array" ref="C2666">IF(IFERROR(INDEX(CATALOG_POINTS,MATCH(A2666,CATALOG_TASK,0)),"")="",IF(MAX(IF(IFERROR(FIND(CATALOG_BASE,A2666),0)=1,CATALOG_POINTS,0))=0,DAILY_POST_POINTS,MAX(IF(IFERROR(FIND(CATALOG_BASE,A2666),0)=1,CATALOG_POINTS,0))),IFERROR(INDEX(CATALOG_POINTS,MATCH(A2666,CATALOG_TASK,0)),""))</f>
        <v>1</v>
      </c>
      <c r="D2666" s="10" t="s">
        <v>1612</v>
      </c>
      <c r="E2666" s="41" t="str">
        <f t="shared" si="1"/>
        <v>PROX3</v>
      </c>
    </row>
    <row r="2667" ht="15.75" customHeight="1">
      <c r="A2667" s="10" t="s">
        <v>1613</v>
      </c>
      <c r="B2667" s="10" t="s">
        <v>119</v>
      </c>
      <c r="C2667" s="41">
        <f t="array" ref="C2667">IF(IFERROR(INDEX(CATALOG_POINTS,MATCH(A2667,CATALOG_TASK,0)),"")="",IF(MAX(IF(IFERROR(FIND(CATALOG_BASE,A2667),0)=1,CATALOG_POINTS,0))=0,DAILY_POST_POINTS,MAX(IF(IFERROR(FIND(CATALOG_BASE,A2667),0)=1,CATALOG_POINTS,0))),IFERROR(INDEX(CATALOG_POINTS,MATCH(A2667,CATALOG_TASK,0)),""))</f>
        <v>1</v>
      </c>
      <c r="D2667" s="10" t="s">
        <v>1613</v>
      </c>
      <c r="E2667" s="41" t="str">
        <f t="shared" si="1"/>
        <v>PROX3</v>
      </c>
    </row>
    <row r="2668" ht="15.75" customHeight="1">
      <c r="A2668" s="10" t="s">
        <v>1614</v>
      </c>
      <c r="B2668" s="10" t="s">
        <v>127</v>
      </c>
      <c r="C2668" s="41">
        <f t="array" ref="C2668">IF(IFERROR(INDEX(CATALOG_POINTS,MATCH(A2668,CATALOG_TASK,0)),"")="",IF(MAX(IF(IFERROR(FIND(CATALOG_BASE,A2668),0)=1,CATALOG_POINTS,0))=0,DAILY_POST_POINTS,MAX(IF(IFERROR(FIND(CATALOG_BASE,A2668),0)=1,CATALOG_POINTS,0))),IFERROR(INDEX(CATALOG_POINTS,MATCH(A2668,CATALOG_TASK,0)),""))</f>
        <v>1</v>
      </c>
      <c r="D2668" s="10" t="s">
        <v>1614</v>
      </c>
      <c r="E2668" s="41" t="str">
        <f t="shared" si="1"/>
        <v>PROX3</v>
      </c>
    </row>
    <row r="2669" ht="15.75" customHeight="1">
      <c r="A2669" s="10" t="s">
        <v>1615</v>
      </c>
      <c r="B2669" s="10" t="s">
        <v>133</v>
      </c>
      <c r="C2669" s="41">
        <f t="array" ref="C2669">IF(IFERROR(INDEX(CATALOG_POINTS,MATCH(A2669,CATALOG_TASK,0)),"")="",IF(MAX(IF(IFERROR(FIND(CATALOG_BASE,A2669),0)=1,CATALOG_POINTS,0))=0,DAILY_POST_POINTS,MAX(IF(IFERROR(FIND(CATALOG_BASE,A2669),0)=1,CATALOG_POINTS,0))),IFERROR(INDEX(CATALOG_POINTS,MATCH(A2669,CATALOG_TASK,0)),""))</f>
        <v>1</v>
      </c>
      <c r="D2669" s="10" t="s">
        <v>1615</v>
      </c>
      <c r="E2669" s="41" t="str">
        <f t="shared" si="1"/>
        <v>PROX3</v>
      </c>
    </row>
    <row r="2670" ht="15.75" customHeight="1">
      <c r="A2670" s="10" t="s">
        <v>37</v>
      </c>
      <c r="B2670" s="10" t="s">
        <v>120</v>
      </c>
      <c r="C2670" s="41">
        <f t="array" ref="C2670">IF(IFERROR(INDEX(CATALOG_POINTS,MATCH(A2670,CATALOG_TASK,0)),"")="",IF(MAX(IF(IFERROR(FIND(CATALOG_BASE,A2670),0)=1,CATALOG_POINTS,0))=0,DAILY_POST_POINTS,MAX(IF(IFERROR(FIND(CATALOG_BASE,A2670),0)=1,CATALOG_POINTS,0))),IFERROR(INDEX(CATALOG_POINTS,MATCH(A2670,CATALOG_TASK,0)),""))</f>
        <v>2</v>
      </c>
      <c r="D2670" s="10" t="s">
        <v>1616</v>
      </c>
      <c r="E2670" s="41" t="str">
        <f t="shared" si="1"/>
        <v>PROX4</v>
      </c>
    </row>
    <row r="2671" ht="15.75" customHeight="1">
      <c r="A2671" s="10" t="s">
        <v>1616</v>
      </c>
      <c r="B2671" s="10" t="s">
        <v>136</v>
      </c>
      <c r="C2671" s="41">
        <f t="array" ref="C2671">IF(IFERROR(INDEX(CATALOG_POINTS,MATCH(A2671,CATALOG_TASK,0)),"")="",IF(MAX(IF(IFERROR(FIND(CATALOG_BASE,A2671),0)=1,CATALOG_POINTS,0))=0,DAILY_POST_POINTS,MAX(IF(IFERROR(FIND(CATALOG_BASE,A2671),0)=1,CATALOG_POINTS,0))),IFERROR(INDEX(CATALOG_POINTS,MATCH(A2671,CATALOG_TASK,0)),""))</f>
        <v>1</v>
      </c>
      <c r="D2671" s="10" t="s">
        <v>1616</v>
      </c>
      <c r="E2671" s="41" t="str">
        <f t="shared" si="1"/>
        <v>PROX4</v>
      </c>
    </row>
    <row r="2672" ht="15.75" customHeight="1">
      <c r="A2672" s="10" t="s">
        <v>1617</v>
      </c>
      <c r="B2672" s="10" t="s">
        <v>136</v>
      </c>
      <c r="C2672" s="41">
        <f t="array" ref="C2672">IF(IFERROR(INDEX(CATALOG_POINTS,MATCH(A2672,CATALOG_TASK,0)),"")="",IF(MAX(IF(IFERROR(FIND(CATALOG_BASE,A2672),0)=1,CATALOG_POINTS,0))=0,DAILY_POST_POINTS,MAX(IF(IFERROR(FIND(CATALOG_BASE,A2672),0)=1,CATALOG_POINTS,0))),IFERROR(INDEX(CATALOG_POINTS,MATCH(A2672,CATALOG_TASK,0)),""))</f>
        <v>1</v>
      </c>
      <c r="D2672" s="10" t="s">
        <v>1617</v>
      </c>
      <c r="E2672" s="41" t="str">
        <f t="shared" si="1"/>
        <v>PROX3</v>
      </c>
    </row>
    <row r="2673" ht="15.75" customHeight="1">
      <c r="A2673" s="10" t="s">
        <v>1618</v>
      </c>
      <c r="B2673" s="10" t="s">
        <v>119</v>
      </c>
      <c r="C2673" s="41">
        <f t="array" ref="C2673">IF(IFERROR(INDEX(CATALOG_POINTS,MATCH(A2673,CATALOG_TASK,0)),"")="",IF(MAX(IF(IFERROR(FIND(CATALOG_BASE,A2673),0)=1,CATALOG_POINTS,0))=0,DAILY_POST_POINTS,MAX(IF(IFERROR(FIND(CATALOG_BASE,A2673),0)=1,CATALOG_POINTS,0))),IFERROR(INDEX(CATALOG_POINTS,MATCH(A2673,CATALOG_TASK,0)),""))</f>
        <v>1</v>
      </c>
      <c r="D2673" s="10" t="s">
        <v>1618</v>
      </c>
      <c r="E2673" s="41" t="str">
        <f t="shared" si="1"/>
        <v>PROX3</v>
      </c>
    </row>
    <row r="2674" ht="15.75" customHeight="1">
      <c r="A2674" s="10" t="s">
        <v>178</v>
      </c>
      <c r="B2674" s="10" t="s">
        <v>128</v>
      </c>
      <c r="C2674" s="41">
        <f t="array" ref="C2674">IF(IFERROR(INDEX(CATALOG_POINTS,MATCH(A2674,CATALOG_TASK,0)),"")="",IF(MAX(IF(IFERROR(FIND(CATALOG_BASE,A2674),0)=1,CATALOG_POINTS,0))=0,DAILY_POST_POINTS,MAX(IF(IFERROR(FIND(CATALOG_BASE,A2674),0)=1,CATALOG_POINTS,0))),IFERROR(INDEX(CATALOG_POINTS,MATCH(A2674,CATALOG_TASK,0)),""))</f>
        <v>1</v>
      </c>
      <c r="D2674" s="10" t="s">
        <v>1619</v>
      </c>
      <c r="E2674" s="41" t="str">
        <f t="shared" si="1"/>
        <v>PROX3</v>
      </c>
    </row>
    <row r="2675" ht="15.75" customHeight="1">
      <c r="A2675" s="10" t="s">
        <v>1619</v>
      </c>
      <c r="B2675" s="10" t="s">
        <v>123</v>
      </c>
      <c r="C2675" s="41">
        <f t="array" ref="C2675">IF(IFERROR(INDEX(CATALOG_POINTS,MATCH(A2675,CATALOG_TASK,0)),"")="",IF(MAX(IF(IFERROR(FIND(CATALOG_BASE,A2675),0)=1,CATALOG_POINTS,0))=0,DAILY_POST_POINTS,MAX(IF(IFERROR(FIND(CATALOG_BASE,A2675),0)=1,CATALOG_POINTS,0))),IFERROR(INDEX(CATALOG_POINTS,MATCH(A2675,CATALOG_TASK,0)),""))</f>
        <v>1</v>
      </c>
      <c r="D2675" s="10" t="s">
        <v>1619</v>
      </c>
      <c r="E2675" s="41" t="str">
        <f t="shared" si="1"/>
        <v>PROX3</v>
      </c>
    </row>
    <row r="2676" ht="15.75" customHeight="1">
      <c r="A2676" s="10" t="s">
        <v>1620</v>
      </c>
      <c r="B2676" s="10" t="s">
        <v>126</v>
      </c>
      <c r="C2676" s="41">
        <f t="array" ref="C2676">IF(IFERROR(INDEX(CATALOG_POINTS,MATCH(A2676,CATALOG_TASK,0)),"")="",IF(MAX(IF(IFERROR(FIND(CATALOG_BASE,A2676),0)=1,CATALOG_POINTS,0))=0,DAILY_POST_POINTS,MAX(IF(IFERROR(FIND(CATALOG_BASE,A2676),0)=1,CATALOG_POINTS,0))),IFERROR(INDEX(CATALOG_POINTS,MATCH(A2676,CATALOG_TASK,0)),""))</f>
        <v>1</v>
      </c>
      <c r="D2676" s="10" t="s">
        <v>1620</v>
      </c>
      <c r="E2676" s="41" t="str">
        <f t="shared" si="1"/>
        <v>PROX3</v>
      </c>
    </row>
    <row r="2677" ht="15.75" customHeight="1">
      <c r="A2677" s="10" t="s">
        <v>1621</v>
      </c>
      <c r="B2677" s="10" t="s">
        <v>127</v>
      </c>
      <c r="C2677" s="41">
        <f t="array" ref="C2677">IF(IFERROR(INDEX(CATALOG_POINTS,MATCH(A2677,CATALOG_TASK,0)),"")="",IF(MAX(IF(IFERROR(FIND(CATALOG_BASE,A2677),0)=1,CATALOG_POINTS,0))=0,DAILY_POST_POINTS,MAX(IF(IFERROR(FIND(CATALOG_BASE,A2677),0)=1,CATALOG_POINTS,0))),IFERROR(INDEX(CATALOG_POINTS,MATCH(A2677,CATALOG_TASK,0)),""))</f>
        <v>1</v>
      </c>
      <c r="D2677" s="10" t="s">
        <v>1621</v>
      </c>
      <c r="E2677" s="41" t="str">
        <f t="shared" si="1"/>
        <v>PROX3</v>
      </c>
    </row>
    <row r="2678" ht="15.75" customHeight="1">
      <c r="A2678" s="10" t="s">
        <v>1622</v>
      </c>
      <c r="B2678" s="10" t="s">
        <v>122</v>
      </c>
      <c r="C2678" s="41">
        <f t="array" ref="C2678">IF(IFERROR(INDEX(CATALOG_POINTS,MATCH(A2678,CATALOG_TASK,0)),"")="",IF(MAX(IF(IFERROR(FIND(CATALOG_BASE,A2678),0)=1,CATALOG_POINTS,0))=0,DAILY_POST_POINTS,MAX(IF(IFERROR(FIND(CATALOG_BASE,A2678),0)=1,CATALOG_POINTS,0))),IFERROR(INDEX(CATALOG_POINTS,MATCH(A2678,CATALOG_TASK,0)),""))</f>
        <v>1</v>
      </c>
      <c r="D2678" s="10" t="s">
        <v>1622</v>
      </c>
      <c r="E2678" s="41" t="str">
        <f t="shared" si="1"/>
        <v>PROX4</v>
      </c>
    </row>
    <row r="2679" ht="15.75" customHeight="1">
      <c r="A2679" s="10" t="s">
        <v>1623</v>
      </c>
      <c r="B2679" s="10" t="s">
        <v>137</v>
      </c>
      <c r="C2679" s="41">
        <f t="array" ref="C2679">IF(IFERROR(INDEX(CATALOG_POINTS,MATCH(A2679,CATALOG_TASK,0)),"")="",IF(MAX(IF(IFERROR(FIND(CATALOG_BASE,A2679),0)=1,CATALOG_POINTS,0))=0,DAILY_POST_POINTS,MAX(IF(IFERROR(FIND(CATALOG_BASE,A2679),0)=1,CATALOG_POINTS,0))),IFERROR(INDEX(CATALOG_POINTS,MATCH(A2679,CATALOG_TASK,0)),""))</f>
        <v>1</v>
      </c>
      <c r="D2679" s="10" t="s">
        <v>1623</v>
      </c>
      <c r="E2679" s="41" t="str">
        <f t="shared" si="1"/>
        <v>PROX3</v>
      </c>
    </row>
    <row r="2680" ht="15.75" customHeight="1">
      <c r="A2680" s="10" t="s">
        <v>1624</v>
      </c>
      <c r="B2680" s="10" t="s">
        <v>124</v>
      </c>
      <c r="C2680" s="41">
        <f t="array" ref="C2680">IF(IFERROR(INDEX(CATALOG_POINTS,MATCH(A2680,CATALOG_TASK,0)),"")="",IF(MAX(IF(IFERROR(FIND(CATALOG_BASE,A2680),0)=1,CATALOG_POINTS,0))=0,DAILY_POST_POINTS,MAX(IF(IFERROR(FIND(CATALOG_BASE,A2680),0)=1,CATALOG_POINTS,0))),IFERROR(INDEX(CATALOG_POINTS,MATCH(A2680,CATALOG_TASK,0)),""))</f>
        <v>1</v>
      </c>
      <c r="D2680" s="10" t="s">
        <v>1624</v>
      </c>
      <c r="E2680" s="41" t="str">
        <f t="shared" si="1"/>
        <v>PROX3</v>
      </c>
    </row>
    <row r="2681" ht="15.75" customHeight="1">
      <c r="A2681" s="10" t="s">
        <v>1625</v>
      </c>
      <c r="B2681" s="10" t="s">
        <v>136</v>
      </c>
      <c r="C2681" s="41">
        <f t="array" ref="C2681">IF(IFERROR(INDEX(CATALOG_POINTS,MATCH(A2681,CATALOG_TASK,0)),"")="",IF(MAX(IF(IFERROR(FIND(CATALOG_BASE,A2681),0)=1,CATALOG_POINTS,0))=0,DAILY_POST_POINTS,MAX(IF(IFERROR(FIND(CATALOG_BASE,A2681),0)=1,CATALOG_POINTS,0))),IFERROR(INDEX(CATALOG_POINTS,MATCH(A2681,CATALOG_TASK,0)),""))</f>
        <v>1</v>
      </c>
      <c r="D2681" s="10" t="s">
        <v>1626</v>
      </c>
      <c r="E2681" s="41" t="str">
        <f t="shared" si="1"/>
        <v/>
      </c>
    </row>
    <row r="2682" ht="15.75" customHeight="1">
      <c r="A2682" s="10" t="s">
        <v>1627</v>
      </c>
      <c r="B2682" s="10" t="s">
        <v>136</v>
      </c>
      <c r="C2682" s="41">
        <f t="array" ref="C2682">IF(IFERROR(INDEX(CATALOG_POINTS,MATCH(A2682,CATALOG_TASK,0)),"")="",IF(MAX(IF(IFERROR(FIND(CATALOG_BASE,A2682),0)=1,CATALOG_POINTS,0))=0,DAILY_POST_POINTS,MAX(IF(IFERROR(FIND(CATALOG_BASE,A2682),0)=1,CATALOG_POINTS,0))),IFERROR(INDEX(CATALOG_POINTS,MATCH(A2682,CATALOG_TASK,0)),""))</f>
        <v>1</v>
      </c>
      <c r="D2682" s="10" t="s">
        <v>1627</v>
      </c>
      <c r="E2682" s="41" t="str">
        <f t="shared" si="1"/>
        <v>PROX3</v>
      </c>
    </row>
    <row r="2683" ht="15.75" customHeight="1">
      <c r="A2683" s="10" t="s">
        <v>1628</v>
      </c>
      <c r="B2683" s="10" t="s">
        <v>135</v>
      </c>
      <c r="C2683" s="41">
        <f t="array" ref="C2683">IF(IFERROR(INDEX(CATALOG_POINTS,MATCH(A2683,CATALOG_TASK,0)),"")="",IF(MAX(IF(IFERROR(FIND(CATALOG_BASE,A2683),0)=1,CATALOG_POINTS,0))=0,DAILY_POST_POINTS,MAX(IF(IFERROR(FIND(CATALOG_BASE,A2683),0)=1,CATALOG_POINTS,0))),IFERROR(INDEX(CATALOG_POINTS,MATCH(A2683,CATALOG_TASK,0)),""))</f>
        <v>1</v>
      </c>
      <c r="D2683" s="10" t="s">
        <v>1628</v>
      </c>
      <c r="E2683" s="41" t="str">
        <f t="shared" si="1"/>
        <v>PROX3</v>
      </c>
    </row>
    <row r="2684" ht="15.75" customHeight="1">
      <c r="A2684" s="10" t="s">
        <v>37</v>
      </c>
      <c r="B2684" s="10" t="s">
        <v>120</v>
      </c>
      <c r="C2684" s="41">
        <f t="array" ref="C2684">IF(IFERROR(INDEX(CATALOG_POINTS,MATCH(A2684,CATALOG_TASK,0)),"")="",IF(MAX(IF(IFERROR(FIND(CATALOG_BASE,A2684),0)=1,CATALOG_POINTS,0))=0,DAILY_POST_POINTS,MAX(IF(IFERROR(FIND(CATALOG_BASE,A2684),0)=1,CATALOG_POINTS,0))),IFERROR(INDEX(CATALOG_POINTS,MATCH(A2684,CATALOG_TASK,0)),""))</f>
        <v>2</v>
      </c>
      <c r="D2684" s="10" t="s">
        <v>1628</v>
      </c>
      <c r="E2684" s="41" t="str">
        <f t="shared" si="1"/>
        <v>PROX3</v>
      </c>
    </row>
    <row r="2685" ht="15.75" customHeight="1">
      <c r="A2685" s="10" t="s">
        <v>177</v>
      </c>
      <c r="B2685" s="10" t="s">
        <v>140</v>
      </c>
      <c r="C2685" s="41">
        <f t="array" ref="C2685">IF(IFERROR(INDEX(CATALOG_POINTS,MATCH(A2685,CATALOG_TASK,0)),"")="",IF(MAX(IF(IFERROR(FIND(CATALOG_BASE,A2685),0)=1,CATALOG_POINTS,0))=0,DAILY_POST_POINTS,MAX(IF(IFERROR(FIND(CATALOG_BASE,A2685),0)=1,CATALOG_POINTS,0))),IFERROR(INDEX(CATALOG_POINTS,MATCH(A2685,CATALOG_TASK,0)),""))</f>
        <v>6</v>
      </c>
      <c r="D2685" s="10" t="s">
        <v>1628</v>
      </c>
      <c r="E2685" s="41" t="str">
        <f t="shared" si="1"/>
        <v>PROX3</v>
      </c>
    </row>
    <row r="2686" ht="15.75" customHeight="1">
      <c r="A2686" s="10" t="s">
        <v>37</v>
      </c>
      <c r="B2686" s="10" t="s">
        <v>125</v>
      </c>
      <c r="C2686" s="41">
        <f t="array" ref="C2686">IF(IFERROR(INDEX(CATALOG_POINTS,MATCH(A2686,CATALOG_TASK,0)),"")="",IF(MAX(IF(IFERROR(FIND(CATALOG_BASE,A2686),0)=1,CATALOG_POINTS,0))=0,DAILY_POST_POINTS,MAX(IF(IFERROR(FIND(CATALOG_BASE,A2686),0)=1,CATALOG_POINTS,0))),IFERROR(INDEX(CATALOG_POINTS,MATCH(A2686,CATALOG_TASK,0)),""))</f>
        <v>2</v>
      </c>
      <c r="D2686" s="10" t="s">
        <v>1628</v>
      </c>
      <c r="E2686" s="41" t="str">
        <f t="shared" si="1"/>
        <v>PROX3</v>
      </c>
    </row>
    <row r="2687" ht="15.75" customHeight="1">
      <c r="A2687" s="10" t="s">
        <v>1629</v>
      </c>
      <c r="B2687" s="10" t="s">
        <v>123</v>
      </c>
      <c r="C2687" s="41">
        <f t="array" ref="C2687">IF(IFERROR(INDEX(CATALOG_POINTS,MATCH(A2687,CATALOG_TASK,0)),"")="",IF(MAX(IF(IFERROR(FIND(CATALOG_BASE,A2687),0)=1,CATALOG_POINTS,0))=0,DAILY_POST_POINTS,MAX(IF(IFERROR(FIND(CATALOG_BASE,A2687),0)=1,CATALOG_POINTS,0))),IFERROR(INDEX(CATALOG_POINTS,MATCH(A2687,CATALOG_TASK,0)),""))</f>
        <v>1</v>
      </c>
      <c r="D2687" s="10" t="s">
        <v>1629</v>
      </c>
      <c r="E2687" s="41" t="str">
        <f t="shared" si="1"/>
        <v>E0</v>
      </c>
    </row>
    <row r="2688" ht="15.75" customHeight="1">
      <c r="A2688" s="10" t="s">
        <v>1630</v>
      </c>
      <c r="B2688" s="10" t="s">
        <v>136</v>
      </c>
      <c r="C2688" s="41">
        <f t="array" ref="C2688">IF(IFERROR(INDEX(CATALOG_POINTS,MATCH(A2688,CATALOG_TASK,0)),"")="",IF(MAX(IF(IFERROR(FIND(CATALOG_BASE,A2688),0)=1,CATALOG_POINTS,0))=0,DAILY_POST_POINTS,MAX(IF(IFERROR(FIND(CATALOG_BASE,A2688),0)=1,CATALOG_POINTS,0))),IFERROR(INDEX(CATALOG_POINTS,MATCH(A2688,CATALOG_TASK,0)),""))</f>
        <v>1</v>
      </c>
      <c r="D2688" s="10" t="s">
        <v>1630</v>
      </c>
      <c r="E2688" s="41" t="str">
        <f t="shared" si="1"/>
        <v>PROX3</v>
      </c>
    </row>
    <row r="2689" ht="15.75" customHeight="1">
      <c r="A2689" s="10" t="s">
        <v>1631</v>
      </c>
      <c r="B2689" s="10" t="s">
        <v>117</v>
      </c>
      <c r="C2689" s="41">
        <f t="array" ref="C2689">IF(IFERROR(INDEX(CATALOG_POINTS,MATCH(A2689,CATALOG_TASK,0)),"")="",IF(MAX(IF(IFERROR(FIND(CATALOG_BASE,A2689),0)=1,CATALOG_POINTS,0))=0,DAILY_POST_POINTS,MAX(IF(IFERROR(FIND(CATALOG_BASE,A2689),0)=1,CATALOG_POINTS,0))),IFERROR(INDEX(CATALOG_POINTS,MATCH(A2689,CATALOG_TASK,0)),""))</f>
        <v>1</v>
      </c>
      <c r="D2689" s="10" t="s">
        <v>1631</v>
      </c>
      <c r="E2689" s="41" t="str">
        <f t="shared" si="1"/>
        <v>PROX3</v>
      </c>
    </row>
    <row r="2690" ht="15.75" customHeight="1">
      <c r="A2690" s="10" t="s">
        <v>1632</v>
      </c>
      <c r="B2690" s="10" t="s">
        <v>121</v>
      </c>
      <c r="C2690" s="41">
        <f t="array" ref="C2690">IF(IFERROR(INDEX(CATALOG_POINTS,MATCH(A2690,CATALOG_TASK,0)),"")="",IF(MAX(IF(IFERROR(FIND(CATALOG_BASE,A2690),0)=1,CATALOG_POINTS,0))=0,DAILY_POST_POINTS,MAX(IF(IFERROR(FIND(CATALOG_BASE,A2690),0)=1,CATALOG_POINTS,0))),IFERROR(INDEX(CATALOG_POINTS,MATCH(A2690,CATALOG_TASK,0)),""))</f>
        <v>1</v>
      </c>
      <c r="D2690" s="10" t="s">
        <v>1632</v>
      </c>
      <c r="E2690" s="41" t="str">
        <f t="shared" si="1"/>
        <v>PROX3</v>
      </c>
    </row>
    <row r="2691" ht="15.75" customHeight="1">
      <c r="A2691" s="10" t="s">
        <v>1633</v>
      </c>
      <c r="B2691" s="10" t="s">
        <v>119</v>
      </c>
      <c r="C2691" s="41">
        <f t="array" ref="C2691">IF(IFERROR(INDEX(CATALOG_POINTS,MATCH(A2691,CATALOG_TASK,0)),"")="",IF(MAX(IF(IFERROR(FIND(CATALOG_BASE,A2691),0)=1,CATALOG_POINTS,0))=0,DAILY_POST_POINTS,MAX(IF(IFERROR(FIND(CATALOG_BASE,A2691),0)=1,CATALOG_POINTS,0))),IFERROR(INDEX(CATALOG_POINTS,MATCH(A2691,CATALOG_TASK,0)),""))</f>
        <v>1</v>
      </c>
      <c r="D2691" s="10" t="s">
        <v>1633</v>
      </c>
      <c r="E2691" s="41" t="str">
        <f t="shared" si="1"/>
        <v>PROX3</v>
      </c>
    </row>
    <row r="2692" ht="15.75" customHeight="1">
      <c r="A2692" s="10" t="s">
        <v>168</v>
      </c>
      <c r="B2692" s="10" t="s">
        <v>123</v>
      </c>
      <c r="C2692" s="41">
        <f t="array" ref="C2692">IF(IFERROR(INDEX(CATALOG_POINTS,MATCH(A2692,CATALOG_TASK,0)),"")="",IF(MAX(IF(IFERROR(FIND(CATALOG_BASE,A2692),0)=1,CATALOG_POINTS,0))=0,DAILY_POST_POINTS,MAX(IF(IFERROR(FIND(CATALOG_BASE,A2692),0)=1,CATALOG_POINTS,0))),IFERROR(INDEX(CATALOG_POINTS,MATCH(A2692,CATALOG_TASK,0)),""))</f>
        <v>1</v>
      </c>
      <c r="D2692" s="10" t="s">
        <v>1634</v>
      </c>
      <c r="E2692" s="41" t="str">
        <f t="shared" si="1"/>
        <v>E0</v>
      </c>
    </row>
    <row r="2693" ht="15.75" customHeight="1">
      <c r="A2693" s="10" t="s">
        <v>174</v>
      </c>
      <c r="B2693" s="10" t="s">
        <v>123</v>
      </c>
      <c r="C2693" s="41">
        <f t="array" ref="C2693">IF(IFERROR(INDEX(CATALOG_POINTS,MATCH(A2693,CATALOG_TASK,0)),"")="",IF(MAX(IF(IFERROR(FIND(CATALOG_BASE,A2693),0)=1,CATALOG_POINTS,0))=0,DAILY_POST_POINTS,MAX(IF(IFERROR(FIND(CATALOG_BASE,A2693),0)=1,CATALOG_POINTS,0))),IFERROR(INDEX(CATALOG_POINTS,MATCH(A2693,CATALOG_TASK,0)),""))</f>
        <v>1</v>
      </c>
      <c r="D2693" s="10" t="s">
        <v>1634</v>
      </c>
      <c r="E2693" s="41" t="str">
        <f t="shared" si="1"/>
        <v>E0</v>
      </c>
    </row>
    <row r="2694" ht="15.75" customHeight="1">
      <c r="A2694" s="10" t="s">
        <v>1634</v>
      </c>
      <c r="B2694" s="10" t="s">
        <v>123</v>
      </c>
      <c r="C2694" s="41">
        <f t="array" ref="C2694">IF(IFERROR(INDEX(CATALOG_POINTS,MATCH(A2694,CATALOG_TASK,0)),"")="",IF(MAX(IF(IFERROR(FIND(CATALOG_BASE,A2694),0)=1,CATALOG_POINTS,0))=0,DAILY_POST_POINTS,MAX(IF(IFERROR(FIND(CATALOG_BASE,A2694),0)=1,CATALOG_POINTS,0))),IFERROR(INDEX(CATALOG_POINTS,MATCH(A2694,CATALOG_TASK,0)),""))</f>
        <v>1</v>
      </c>
      <c r="D2694" s="10" t="s">
        <v>1634</v>
      </c>
      <c r="E2694" s="41" t="str">
        <f t="shared" si="1"/>
        <v>E0</v>
      </c>
    </row>
    <row r="2695" ht="15.75" customHeight="1">
      <c r="A2695" s="10" t="s">
        <v>37</v>
      </c>
      <c r="B2695" s="10" t="s">
        <v>119</v>
      </c>
      <c r="C2695" s="41">
        <f t="array" ref="C2695">IF(IFERROR(INDEX(CATALOG_POINTS,MATCH(A2695,CATALOG_TASK,0)),"")="",IF(MAX(IF(IFERROR(FIND(CATALOG_BASE,A2695),0)=1,CATALOG_POINTS,0))=0,DAILY_POST_POINTS,MAX(IF(IFERROR(FIND(CATALOG_BASE,A2695),0)=1,CATALOG_POINTS,0))),IFERROR(INDEX(CATALOG_POINTS,MATCH(A2695,CATALOG_TASK,0)),""))</f>
        <v>2</v>
      </c>
      <c r="D2695" s="10" t="s">
        <v>1635</v>
      </c>
      <c r="E2695" s="41" t="str">
        <f t="shared" si="1"/>
        <v>PROX3</v>
      </c>
    </row>
    <row r="2696" ht="15.75" customHeight="1">
      <c r="A2696" s="10" t="s">
        <v>168</v>
      </c>
      <c r="B2696" s="10" t="s">
        <v>119</v>
      </c>
      <c r="C2696" s="41">
        <f t="array" ref="C2696">IF(IFERROR(INDEX(CATALOG_POINTS,MATCH(A2696,CATALOG_TASK,0)),"")="",IF(MAX(IF(IFERROR(FIND(CATALOG_BASE,A2696),0)=1,CATALOG_POINTS,0))=0,DAILY_POST_POINTS,MAX(IF(IFERROR(FIND(CATALOG_BASE,A2696),0)=1,CATALOG_POINTS,0))),IFERROR(INDEX(CATALOG_POINTS,MATCH(A2696,CATALOG_TASK,0)),""))</f>
        <v>1</v>
      </c>
      <c r="D2696" s="10" t="s">
        <v>1635</v>
      </c>
      <c r="E2696" s="41" t="str">
        <f t="shared" si="1"/>
        <v>PROX3</v>
      </c>
    </row>
    <row r="2697" ht="15.75" customHeight="1">
      <c r="A2697" s="10" t="s">
        <v>174</v>
      </c>
      <c r="B2697" s="10" t="s">
        <v>124</v>
      </c>
      <c r="C2697" s="41">
        <f t="array" ref="C2697">IF(IFERROR(INDEX(CATALOG_POINTS,MATCH(A2697,CATALOG_TASK,0)),"")="",IF(MAX(IF(IFERROR(FIND(CATALOG_BASE,A2697),0)=1,CATALOG_POINTS,0))=0,DAILY_POST_POINTS,MAX(IF(IFERROR(FIND(CATALOG_BASE,A2697),0)=1,CATALOG_POINTS,0))),IFERROR(INDEX(CATALOG_POINTS,MATCH(A2697,CATALOG_TASK,0)),""))</f>
        <v>1</v>
      </c>
      <c r="D2697" s="10" t="s">
        <v>1635</v>
      </c>
      <c r="E2697" s="41" t="str">
        <f t="shared" si="1"/>
        <v>PROX3</v>
      </c>
    </row>
    <row r="2698" ht="15.75" customHeight="1">
      <c r="A2698" s="10" t="s">
        <v>180</v>
      </c>
      <c r="B2698" s="10" t="s">
        <v>138</v>
      </c>
      <c r="C2698" s="41">
        <f t="array" ref="C2698">IF(IFERROR(INDEX(CATALOG_POINTS,MATCH(A2698,CATALOG_TASK,0)),"")="",IF(MAX(IF(IFERROR(FIND(CATALOG_BASE,A2698),0)=1,CATALOG_POINTS,0))=0,DAILY_POST_POINTS,MAX(IF(IFERROR(FIND(CATALOG_BASE,A2698),0)=1,CATALOG_POINTS,0))),IFERROR(INDEX(CATALOG_POINTS,MATCH(A2698,CATALOG_TASK,0)),""))</f>
        <v>1</v>
      </c>
      <c r="D2698" s="10" t="s">
        <v>1635</v>
      </c>
      <c r="E2698" s="41" t="str">
        <f t="shared" si="1"/>
        <v>PROX3</v>
      </c>
    </row>
    <row r="2699" ht="15.75" customHeight="1">
      <c r="A2699" s="10" t="s">
        <v>1636</v>
      </c>
      <c r="B2699" s="10" t="s">
        <v>125</v>
      </c>
      <c r="C2699" s="41">
        <f t="array" ref="C2699">IF(IFERROR(INDEX(CATALOG_POINTS,MATCH(A2699,CATALOG_TASK,0)),"")="",IF(MAX(IF(IFERROR(FIND(CATALOG_BASE,A2699),0)=1,CATALOG_POINTS,0))=0,DAILY_POST_POINTS,MAX(IF(IFERROR(FIND(CATALOG_BASE,A2699),0)=1,CATALOG_POINTS,0))),IFERROR(INDEX(CATALOG_POINTS,MATCH(A2699,CATALOG_TASK,0)),""))</f>
        <v>1</v>
      </c>
      <c r="D2699" s="10" t="s">
        <v>1636</v>
      </c>
      <c r="E2699" s="41" t="str">
        <f t="shared" si="1"/>
        <v>PROX4</v>
      </c>
    </row>
    <row r="2700" ht="15.75" customHeight="1">
      <c r="A2700" s="10" t="s">
        <v>1637</v>
      </c>
      <c r="B2700" s="10" t="s">
        <v>124</v>
      </c>
      <c r="C2700" s="41">
        <f t="array" ref="C2700">IF(IFERROR(INDEX(CATALOG_POINTS,MATCH(A2700,CATALOG_TASK,0)),"")="",IF(MAX(IF(IFERROR(FIND(CATALOG_BASE,A2700),0)=1,CATALOG_POINTS,0))=0,DAILY_POST_POINTS,MAX(IF(IFERROR(FIND(CATALOG_BASE,A2700),0)=1,CATALOG_POINTS,0))),IFERROR(INDEX(CATALOG_POINTS,MATCH(A2700,CATALOG_TASK,0)),""))</f>
        <v>1</v>
      </c>
      <c r="D2700" s="10" t="s">
        <v>1637</v>
      </c>
      <c r="E2700" s="41" t="str">
        <f t="shared" si="1"/>
        <v>PROX3</v>
      </c>
    </row>
    <row r="2701" ht="15.75" customHeight="1">
      <c r="A2701" s="10" t="s">
        <v>24</v>
      </c>
      <c r="B2701" s="10" t="s">
        <v>127</v>
      </c>
      <c r="C2701" s="41">
        <f t="array" ref="C2701">IF(IFERROR(INDEX(CATALOG_POINTS,MATCH(A2701,CATALOG_TASK,0)),"")="",IF(MAX(IF(IFERROR(FIND(CATALOG_BASE,A2701),0)=1,CATALOG_POINTS,0))=0,DAILY_POST_POINTS,MAX(IF(IFERROR(FIND(CATALOG_BASE,A2701),0)=1,CATALOG_POINTS,0))),IFERROR(INDEX(CATALOG_POINTS,MATCH(A2701,CATALOG_TASK,0)),""))</f>
        <v>2</v>
      </c>
      <c r="D2701" s="10" t="s">
        <v>1637</v>
      </c>
      <c r="E2701" s="41" t="str">
        <f t="shared" si="1"/>
        <v>PROX3</v>
      </c>
    </row>
    <row r="2702" ht="15.75" customHeight="1">
      <c r="A2702" s="10" t="s">
        <v>168</v>
      </c>
      <c r="B2702" s="10" t="s">
        <v>127</v>
      </c>
      <c r="C2702" s="41">
        <f t="array" ref="C2702">IF(IFERROR(INDEX(CATALOG_POINTS,MATCH(A2702,CATALOG_TASK,0)),"")="",IF(MAX(IF(IFERROR(FIND(CATALOG_BASE,A2702),0)=1,CATALOG_POINTS,0))=0,DAILY_POST_POINTS,MAX(IF(IFERROR(FIND(CATALOG_BASE,A2702),0)=1,CATALOG_POINTS,0))),IFERROR(INDEX(CATALOG_POINTS,MATCH(A2702,CATALOG_TASK,0)),""))</f>
        <v>1</v>
      </c>
      <c r="D2702" s="10" t="s">
        <v>1637</v>
      </c>
      <c r="E2702" s="41" t="str">
        <f t="shared" si="1"/>
        <v>PROX3</v>
      </c>
    </row>
    <row r="2703" ht="15.75" customHeight="1">
      <c r="A2703" s="10" t="s">
        <v>1638</v>
      </c>
      <c r="B2703" s="10" t="s">
        <v>120</v>
      </c>
      <c r="C2703" s="41">
        <f t="array" ref="C2703">IF(IFERROR(INDEX(CATALOG_POINTS,MATCH(A2703,CATALOG_TASK,0)),"")="",IF(MAX(IF(IFERROR(FIND(CATALOG_BASE,A2703),0)=1,CATALOG_POINTS,0))=0,DAILY_POST_POINTS,MAX(IF(IFERROR(FIND(CATALOG_BASE,A2703),0)=1,CATALOG_POINTS,0))),IFERROR(INDEX(CATALOG_POINTS,MATCH(A2703,CATALOG_TASK,0)),""))</f>
        <v>1</v>
      </c>
      <c r="D2703" s="10" t="s">
        <v>1638</v>
      </c>
      <c r="E2703" s="41" t="str">
        <f t="shared" si="1"/>
        <v>PROX3</v>
      </c>
    </row>
    <row r="2704" ht="15.75" customHeight="1">
      <c r="A2704" s="10" t="s">
        <v>168</v>
      </c>
      <c r="B2704" s="10" t="s">
        <v>117</v>
      </c>
      <c r="C2704" s="41">
        <f t="array" ref="C2704">IF(IFERROR(INDEX(CATALOG_POINTS,MATCH(A2704,CATALOG_TASK,0)),"")="",IF(MAX(IF(IFERROR(FIND(CATALOG_BASE,A2704),0)=1,CATALOG_POINTS,0))=0,DAILY_POST_POINTS,MAX(IF(IFERROR(FIND(CATALOG_BASE,A2704),0)=1,CATALOG_POINTS,0))),IFERROR(INDEX(CATALOG_POINTS,MATCH(A2704,CATALOG_TASK,0)),""))</f>
        <v>1</v>
      </c>
      <c r="D2704" s="10" t="s">
        <v>1639</v>
      </c>
      <c r="E2704" s="41" t="str">
        <f t="shared" si="1"/>
        <v>PROX3</v>
      </c>
    </row>
    <row r="2705" ht="15.75" customHeight="1">
      <c r="A2705" s="10" t="s">
        <v>168</v>
      </c>
      <c r="B2705" s="10" t="s">
        <v>117</v>
      </c>
      <c r="C2705" s="41">
        <f t="array" ref="C2705">IF(IFERROR(INDEX(CATALOG_POINTS,MATCH(A2705,CATALOG_TASK,0)),"")="",IF(MAX(IF(IFERROR(FIND(CATALOG_BASE,A2705),0)=1,CATALOG_POINTS,0))=0,DAILY_POST_POINTS,MAX(IF(IFERROR(FIND(CATALOG_BASE,A2705),0)=1,CATALOG_POINTS,0))),IFERROR(INDEX(CATALOG_POINTS,MATCH(A2705,CATALOG_TASK,0)),""))</f>
        <v>1</v>
      </c>
      <c r="D2705" s="10" t="s">
        <v>1639</v>
      </c>
      <c r="E2705" s="41" t="str">
        <f t="shared" si="1"/>
        <v>PROX3</v>
      </c>
    </row>
    <row r="2706" ht="15.75" customHeight="1">
      <c r="A2706" s="10" t="s">
        <v>1639</v>
      </c>
      <c r="B2706" s="10" t="s">
        <v>136</v>
      </c>
      <c r="C2706" s="41">
        <f t="array" ref="C2706">IF(IFERROR(INDEX(CATALOG_POINTS,MATCH(A2706,CATALOG_TASK,0)),"")="",IF(MAX(IF(IFERROR(FIND(CATALOG_BASE,A2706),0)=1,CATALOG_POINTS,0))=0,DAILY_POST_POINTS,MAX(IF(IFERROR(FIND(CATALOG_BASE,A2706),0)=1,CATALOG_POINTS,0))),IFERROR(INDEX(CATALOG_POINTS,MATCH(A2706,CATALOG_TASK,0)),""))</f>
        <v>1</v>
      </c>
      <c r="D2706" s="10" t="s">
        <v>1639</v>
      </c>
      <c r="E2706" s="41" t="str">
        <f t="shared" si="1"/>
        <v>PROX3</v>
      </c>
    </row>
    <row r="2707" ht="15.75" customHeight="1">
      <c r="A2707" s="10" t="s">
        <v>168</v>
      </c>
      <c r="B2707" s="10" t="s">
        <v>117</v>
      </c>
      <c r="C2707" s="41">
        <f t="array" ref="C2707">IF(IFERROR(INDEX(CATALOG_POINTS,MATCH(A2707,CATALOG_TASK,0)),"")="",IF(MAX(IF(IFERROR(FIND(CATALOG_BASE,A2707),0)=1,CATALOG_POINTS,0))=0,DAILY_POST_POINTS,MAX(IF(IFERROR(FIND(CATALOG_BASE,A2707),0)=1,CATALOG_POINTS,0))),IFERROR(INDEX(CATALOG_POINTS,MATCH(A2707,CATALOG_TASK,0)),""))</f>
        <v>1</v>
      </c>
      <c r="D2707" s="10" t="s">
        <v>1639</v>
      </c>
      <c r="E2707" s="41" t="str">
        <f t="shared" si="1"/>
        <v>PROX3</v>
      </c>
    </row>
    <row r="2708" ht="15.75" customHeight="1">
      <c r="A2708" s="10" t="s">
        <v>168</v>
      </c>
      <c r="B2708" s="10" t="s">
        <v>125</v>
      </c>
      <c r="C2708" s="41">
        <f t="array" ref="C2708">IF(IFERROR(INDEX(CATALOG_POINTS,MATCH(A2708,CATALOG_TASK,0)),"")="",IF(MAX(IF(IFERROR(FIND(CATALOG_BASE,A2708),0)=1,CATALOG_POINTS,0))=0,DAILY_POST_POINTS,MAX(IF(IFERROR(FIND(CATALOG_BASE,A2708),0)=1,CATALOG_POINTS,0))),IFERROR(INDEX(CATALOG_POINTS,MATCH(A2708,CATALOG_TASK,0)),""))</f>
        <v>1</v>
      </c>
      <c r="D2708" s="10" t="s">
        <v>1639</v>
      </c>
      <c r="E2708" s="41" t="str">
        <f t="shared" si="1"/>
        <v>PROX3</v>
      </c>
    </row>
    <row r="2709" ht="15.75" customHeight="1">
      <c r="A2709" s="10" t="s">
        <v>168</v>
      </c>
      <c r="B2709" s="10" t="s">
        <v>125</v>
      </c>
      <c r="C2709" s="41">
        <f t="array" ref="C2709">IF(IFERROR(INDEX(CATALOG_POINTS,MATCH(A2709,CATALOG_TASK,0)),"")="",IF(MAX(IF(IFERROR(FIND(CATALOG_BASE,A2709),0)=1,CATALOG_POINTS,0))=0,DAILY_POST_POINTS,MAX(IF(IFERROR(FIND(CATALOG_BASE,A2709),0)=1,CATALOG_POINTS,0))),IFERROR(INDEX(CATALOG_POINTS,MATCH(A2709,CATALOG_TASK,0)),""))</f>
        <v>1</v>
      </c>
      <c r="D2709" s="10" t="s">
        <v>1639</v>
      </c>
      <c r="E2709" s="41" t="str">
        <f t="shared" si="1"/>
        <v>PROX3</v>
      </c>
    </row>
    <row r="2710" ht="15.75" customHeight="1">
      <c r="A2710" s="10" t="s">
        <v>168</v>
      </c>
      <c r="B2710" s="10" t="s">
        <v>117</v>
      </c>
      <c r="C2710" s="41">
        <f t="array" ref="C2710">IF(IFERROR(INDEX(CATALOG_POINTS,MATCH(A2710,CATALOG_TASK,0)),"")="",IF(MAX(IF(IFERROR(FIND(CATALOG_BASE,A2710),0)=1,CATALOG_POINTS,0))=0,DAILY_POST_POINTS,MAX(IF(IFERROR(FIND(CATALOG_BASE,A2710),0)=1,CATALOG_POINTS,0))),IFERROR(INDEX(CATALOG_POINTS,MATCH(A2710,CATALOG_TASK,0)),""))</f>
        <v>1</v>
      </c>
      <c r="D2710" s="10" t="s">
        <v>1639</v>
      </c>
      <c r="E2710" s="41" t="str">
        <f t="shared" si="1"/>
        <v>PROX3</v>
      </c>
    </row>
    <row r="2711" ht="15.75" customHeight="1">
      <c r="A2711" s="10" t="s">
        <v>168</v>
      </c>
      <c r="B2711" s="10" t="s">
        <v>125</v>
      </c>
      <c r="C2711" s="41">
        <f t="array" ref="C2711">IF(IFERROR(INDEX(CATALOG_POINTS,MATCH(A2711,CATALOG_TASK,0)),"")="",IF(MAX(IF(IFERROR(FIND(CATALOG_BASE,A2711),0)=1,CATALOG_POINTS,0))=0,DAILY_POST_POINTS,MAX(IF(IFERROR(FIND(CATALOG_BASE,A2711),0)=1,CATALOG_POINTS,0))),IFERROR(INDEX(CATALOG_POINTS,MATCH(A2711,CATALOG_TASK,0)),""))</f>
        <v>1</v>
      </c>
      <c r="D2711" s="10" t="s">
        <v>1639</v>
      </c>
      <c r="E2711" s="41" t="str">
        <f t="shared" si="1"/>
        <v>PROX3</v>
      </c>
    </row>
    <row r="2712" ht="15.75" customHeight="1">
      <c r="A2712" s="10" t="s">
        <v>1640</v>
      </c>
      <c r="B2712" s="10" t="s">
        <v>129</v>
      </c>
      <c r="C2712" s="41">
        <f t="array" ref="C2712">IF(IFERROR(INDEX(CATALOG_POINTS,MATCH(A2712,CATALOG_TASK,0)),"")="",IF(MAX(IF(IFERROR(FIND(CATALOG_BASE,A2712),0)=1,CATALOG_POINTS,0))=0,DAILY_POST_POINTS,MAX(IF(IFERROR(FIND(CATALOG_BASE,A2712),0)=1,CATALOG_POINTS,0))),IFERROR(INDEX(CATALOG_POINTS,MATCH(A2712,CATALOG_TASK,0)),""))</f>
        <v>1</v>
      </c>
      <c r="D2712" s="10" t="s">
        <v>1640</v>
      </c>
      <c r="E2712" s="41" t="str">
        <f t="shared" si="1"/>
        <v>E0</v>
      </c>
    </row>
    <row r="2713" ht="15.75" customHeight="1">
      <c r="A2713" s="10" t="s">
        <v>1641</v>
      </c>
      <c r="B2713" s="10" t="s">
        <v>123</v>
      </c>
      <c r="C2713" s="41">
        <f t="array" ref="C2713">IF(IFERROR(INDEX(CATALOG_POINTS,MATCH(A2713,CATALOG_TASK,0)),"")="",IF(MAX(IF(IFERROR(FIND(CATALOG_BASE,A2713),0)=1,CATALOG_POINTS,0))=0,DAILY_POST_POINTS,MAX(IF(IFERROR(FIND(CATALOG_BASE,A2713),0)=1,CATALOG_POINTS,0))),IFERROR(INDEX(CATALOG_POINTS,MATCH(A2713,CATALOG_TASK,0)),""))</f>
        <v>1</v>
      </c>
      <c r="D2713" s="10" t="s">
        <v>1641</v>
      </c>
      <c r="E2713" s="41" t="str">
        <f t="shared" si="1"/>
        <v/>
      </c>
    </row>
    <row r="2714" ht="15.75" customHeight="1">
      <c r="A2714" s="10" t="s">
        <v>168</v>
      </c>
      <c r="B2714" s="10" t="s">
        <v>120</v>
      </c>
      <c r="C2714" s="41">
        <f t="array" ref="C2714">IF(IFERROR(INDEX(CATALOG_POINTS,MATCH(A2714,CATALOG_TASK,0)),"")="",IF(MAX(IF(IFERROR(FIND(CATALOG_BASE,A2714),0)=1,CATALOG_POINTS,0))=0,DAILY_POST_POINTS,MAX(IF(IFERROR(FIND(CATALOG_BASE,A2714),0)=1,CATALOG_POINTS,0))),IFERROR(INDEX(CATALOG_POINTS,MATCH(A2714,CATALOG_TASK,0)),""))</f>
        <v>1</v>
      </c>
      <c r="D2714" s="10" t="s">
        <v>1642</v>
      </c>
      <c r="E2714" s="41" t="str">
        <f t="shared" si="1"/>
        <v/>
      </c>
    </row>
    <row r="2715" ht="15.75" customHeight="1">
      <c r="A2715" s="10" t="s">
        <v>1643</v>
      </c>
      <c r="B2715" s="10" t="s">
        <v>137</v>
      </c>
      <c r="C2715" s="41">
        <f t="array" ref="C2715">IF(IFERROR(INDEX(CATALOG_POINTS,MATCH(A2715,CATALOG_TASK,0)),"")="",IF(MAX(IF(IFERROR(FIND(CATALOG_BASE,A2715),0)=1,CATALOG_POINTS,0))=0,DAILY_POST_POINTS,MAX(IF(IFERROR(FIND(CATALOG_BASE,A2715),0)=1,CATALOG_POINTS,0))),IFERROR(INDEX(CATALOG_POINTS,MATCH(A2715,CATALOG_TASK,0)),""))</f>
        <v>1</v>
      </c>
      <c r="D2715" s="10" t="s">
        <v>1642</v>
      </c>
      <c r="E2715" s="41" t="str">
        <f t="shared" si="1"/>
        <v/>
      </c>
    </row>
    <row r="2716" ht="15.75" customHeight="1">
      <c r="A2716" s="10" t="s">
        <v>1644</v>
      </c>
      <c r="B2716" s="10" t="s">
        <v>117</v>
      </c>
      <c r="C2716" s="41">
        <f t="array" ref="C2716">IF(IFERROR(INDEX(CATALOG_POINTS,MATCH(A2716,CATALOG_TASK,0)),"")="",IF(MAX(IF(IFERROR(FIND(CATALOG_BASE,A2716),0)=1,CATALOG_POINTS,0))=0,DAILY_POST_POINTS,MAX(IF(IFERROR(FIND(CATALOG_BASE,A2716),0)=1,CATALOG_POINTS,0))),IFERROR(INDEX(CATALOG_POINTS,MATCH(A2716,CATALOG_TASK,0)),""))</f>
        <v>1</v>
      </c>
      <c r="D2716" s="10" t="s">
        <v>1644</v>
      </c>
      <c r="E2716" s="41" t="str">
        <f t="shared" si="1"/>
        <v>PROX4</v>
      </c>
    </row>
    <row r="2717" ht="15.75" customHeight="1">
      <c r="A2717" s="10" t="s">
        <v>1645</v>
      </c>
      <c r="B2717" s="10" t="s">
        <v>117</v>
      </c>
      <c r="C2717" s="41">
        <f t="array" ref="C2717">IF(IFERROR(INDEX(CATALOG_POINTS,MATCH(A2717,CATALOG_TASK,0)),"")="",IF(MAX(IF(IFERROR(FIND(CATALOG_BASE,A2717),0)=1,CATALOG_POINTS,0))=0,DAILY_POST_POINTS,MAX(IF(IFERROR(FIND(CATALOG_BASE,A2717),0)=1,CATALOG_POINTS,0))),IFERROR(INDEX(CATALOG_POINTS,MATCH(A2717,CATALOG_TASK,0)),""))</f>
        <v>1</v>
      </c>
      <c r="D2717" s="10" t="s">
        <v>1645</v>
      </c>
      <c r="E2717" s="41" t="str">
        <f t="shared" si="1"/>
        <v>PROX3</v>
      </c>
    </row>
    <row r="2718" ht="15.75" customHeight="1">
      <c r="A2718" s="10" t="s">
        <v>1646</v>
      </c>
      <c r="B2718" s="10" t="s">
        <v>125</v>
      </c>
      <c r="C2718" s="41">
        <f t="array" ref="C2718">IF(IFERROR(INDEX(CATALOG_POINTS,MATCH(A2718,CATALOG_TASK,0)),"")="",IF(MAX(IF(IFERROR(FIND(CATALOG_BASE,A2718),0)=1,CATALOG_POINTS,0))=0,DAILY_POST_POINTS,MAX(IF(IFERROR(FIND(CATALOG_BASE,A2718),0)=1,CATALOG_POINTS,0))),IFERROR(INDEX(CATALOG_POINTS,MATCH(A2718,CATALOG_TASK,0)),""))</f>
        <v>1</v>
      </c>
      <c r="D2718" s="10" t="s">
        <v>1646</v>
      </c>
      <c r="E2718" s="41" t="str">
        <f t="shared" si="1"/>
        <v>PROX3</v>
      </c>
    </row>
    <row r="2719" ht="15.75" customHeight="1">
      <c r="A2719" s="10" t="s">
        <v>1647</v>
      </c>
      <c r="B2719" s="10" t="s">
        <v>122</v>
      </c>
      <c r="C2719" s="41">
        <f t="array" ref="C2719">IF(IFERROR(INDEX(CATALOG_POINTS,MATCH(A2719,CATALOG_TASK,0)),"")="",IF(MAX(IF(IFERROR(FIND(CATALOG_BASE,A2719),0)=1,CATALOG_POINTS,0))=0,DAILY_POST_POINTS,MAX(IF(IFERROR(FIND(CATALOG_BASE,A2719),0)=1,CATALOG_POINTS,0))),IFERROR(INDEX(CATALOG_POINTS,MATCH(A2719,CATALOG_TASK,0)),""))</f>
        <v>1</v>
      </c>
      <c r="D2719" s="10" t="s">
        <v>1647</v>
      </c>
      <c r="E2719" s="41" t="str">
        <f t="shared" si="1"/>
        <v>PROX4</v>
      </c>
    </row>
    <row r="2720" ht="15.75" customHeight="1">
      <c r="A2720" s="10" t="s">
        <v>1648</v>
      </c>
      <c r="B2720" s="10" t="s">
        <v>137</v>
      </c>
      <c r="C2720" s="41">
        <f t="array" ref="C2720">IF(IFERROR(INDEX(CATALOG_POINTS,MATCH(A2720,CATALOG_TASK,0)),"")="",IF(MAX(IF(IFERROR(FIND(CATALOG_BASE,A2720),0)=1,CATALOG_POINTS,0))=0,DAILY_POST_POINTS,MAX(IF(IFERROR(FIND(CATALOG_BASE,A2720),0)=1,CATALOG_POINTS,0))),IFERROR(INDEX(CATALOG_POINTS,MATCH(A2720,CATALOG_TASK,0)),""))</f>
        <v>1</v>
      </c>
      <c r="D2720" s="10" t="s">
        <v>1648</v>
      </c>
      <c r="E2720" s="41" t="str">
        <f t="shared" si="1"/>
        <v>PROX3</v>
      </c>
    </row>
    <row r="2721" ht="15.75" customHeight="1">
      <c r="A2721" s="10" t="s">
        <v>1649</v>
      </c>
      <c r="B2721" s="10" t="s">
        <v>126</v>
      </c>
      <c r="C2721" s="41">
        <f t="array" ref="C2721">IF(IFERROR(INDEX(CATALOG_POINTS,MATCH(A2721,CATALOG_TASK,0)),"")="",IF(MAX(IF(IFERROR(FIND(CATALOG_BASE,A2721),0)=1,CATALOG_POINTS,0))=0,DAILY_POST_POINTS,MAX(IF(IFERROR(FIND(CATALOG_BASE,A2721),0)=1,CATALOG_POINTS,0))),IFERROR(INDEX(CATALOG_POINTS,MATCH(A2721,CATALOG_TASK,0)),""))</f>
        <v>1</v>
      </c>
      <c r="D2721" s="10" t="s">
        <v>1649</v>
      </c>
      <c r="E2721" s="41" t="str">
        <f t="shared" si="1"/>
        <v>PROX3</v>
      </c>
    </row>
    <row r="2722" ht="15.75" customHeight="1">
      <c r="A2722" s="10" t="s">
        <v>1650</v>
      </c>
      <c r="B2722" s="10" t="s">
        <v>123</v>
      </c>
      <c r="C2722" s="41">
        <f t="array" ref="C2722">IF(IFERROR(INDEX(CATALOG_POINTS,MATCH(A2722,CATALOG_TASK,0)),"")="",IF(MAX(IF(IFERROR(FIND(CATALOG_BASE,A2722),0)=1,CATALOG_POINTS,0))=0,DAILY_POST_POINTS,MAX(IF(IFERROR(FIND(CATALOG_BASE,A2722),0)=1,CATALOG_POINTS,0))),IFERROR(INDEX(CATALOG_POINTS,MATCH(A2722,CATALOG_TASK,0)),""))</f>
        <v>1</v>
      </c>
      <c r="D2722" s="10" t="s">
        <v>1650</v>
      </c>
      <c r="E2722" s="41" t="str">
        <f t="shared" si="1"/>
        <v>E0</v>
      </c>
    </row>
    <row r="2723" ht="15.75" customHeight="1">
      <c r="A2723" s="10" t="s">
        <v>1651</v>
      </c>
      <c r="B2723" s="10" t="s">
        <v>122</v>
      </c>
      <c r="C2723" s="41">
        <f t="array" ref="C2723">IF(IFERROR(INDEX(CATALOG_POINTS,MATCH(A2723,CATALOG_TASK,0)),"")="",IF(MAX(IF(IFERROR(FIND(CATALOG_BASE,A2723),0)=1,CATALOG_POINTS,0))=0,DAILY_POST_POINTS,MAX(IF(IFERROR(FIND(CATALOG_BASE,A2723),0)=1,CATALOG_POINTS,0))),IFERROR(INDEX(CATALOG_POINTS,MATCH(A2723,CATALOG_TASK,0)),""))</f>
        <v>1</v>
      </c>
      <c r="D2723" s="10" t="s">
        <v>1651</v>
      </c>
      <c r="E2723" s="41" t="str">
        <f t="shared" si="1"/>
        <v>PROX3</v>
      </c>
    </row>
    <row r="2724" ht="15.75" customHeight="1">
      <c r="A2724" s="10" t="s">
        <v>177</v>
      </c>
      <c r="B2724" s="10" t="s">
        <v>139</v>
      </c>
      <c r="C2724" s="41">
        <f t="array" ref="C2724">IF(IFERROR(INDEX(CATALOG_POINTS,MATCH(A2724,CATALOG_TASK,0)),"")="",IF(MAX(IF(IFERROR(FIND(CATALOG_BASE,A2724),0)=1,CATALOG_POINTS,0))=0,DAILY_POST_POINTS,MAX(IF(IFERROR(FIND(CATALOG_BASE,A2724),0)=1,CATALOG_POINTS,0))),IFERROR(INDEX(CATALOG_POINTS,MATCH(A2724,CATALOG_TASK,0)),""))</f>
        <v>6</v>
      </c>
      <c r="D2724" s="10" t="s">
        <v>1652</v>
      </c>
      <c r="E2724" s="41" t="str">
        <f t="shared" si="1"/>
        <v>PROX3</v>
      </c>
    </row>
    <row r="2725" ht="15.75" customHeight="1">
      <c r="A2725" s="10" t="s">
        <v>1652</v>
      </c>
      <c r="B2725" s="10" t="s">
        <v>124</v>
      </c>
      <c r="C2725" s="41">
        <f t="array" ref="C2725">IF(IFERROR(INDEX(CATALOG_POINTS,MATCH(A2725,CATALOG_TASK,0)),"")="",IF(MAX(IF(IFERROR(FIND(CATALOG_BASE,A2725),0)=1,CATALOG_POINTS,0))=0,DAILY_POST_POINTS,MAX(IF(IFERROR(FIND(CATALOG_BASE,A2725),0)=1,CATALOG_POINTS,0))),IFERROR(INDEX(CATALOG_POINTS,MATCH(A2725,CATALOG_TASK,0)),""))</f>
        <v>1</v>
      </c>
      <c r="D2725" s="10" t="s">
        <v>1652</v>
      </c>
      <c r="E2725" s="41" t="str">
        <f t="shared" si="1"/>
        <v>PROX3</v>
      </c>
    </row>
    <row r="2726" ht="15.75" customHeight="1">
      <c r="A2726" s="10" t="s">
        <v>391</v>
      </c>
      <c r="B2726" s="10" t="s">
        <v>139</v>
      </c>
      <c r="C2726" s="41">
        <f t="array" ref="C2726">IF(IFERROR(INDEX(CATALOG_POINTS,MATCH(A2726,CATALOG_TASK,0)),"")="",IF(MAX(IF(IFERROR(FIND(CATALOG_BASE,A2726),0)=1,CATALOG_POINTS,0))=0,DAILY_POST_POINTS,MAX(IF(IFERROR(FIND(CATALOG_BASE,A2726),0)=1,CATALOG_POINTS,0))),IFERROR(INDEX(CATALOG_POINTS,MATCH(A2726,CATALOG_TASK,0)),""))</f>
        <v>1</v>
      </c>
      <c r="D2726" s="10" t="s">
        <v>1652</v>
      </c>
      <c r="E2726" s="41" t="str">
        <f t="shared" si="1"/>
        <v>PROX3</v>
      </c>
    </row>
    <row r="2727" ht="15.75" customHeight="1">
      <c r="A2727" s="10" t="s">
        <v>1653</v>
      </c>
      <c r="B2727" s="10" t="s">
        <v>132</v>
      </c>
      <c r="C2727" s="41">
        <f t="array" ref="C2727">IF(IFERROR(INDEX(CATALOG_POINTS,MATCH(A2727,CATALOG_TASK,0)),"")="",IF(MAX(IF(IFERROR(FIND(CATALOG_BASE,A2727),0)=1,CATALOG_POINTS,0))=0,DAILY_POST_POINTS,MAX(IF(IFERROR(FIND(CATALOG_BASE,A2727),0)=1,CATALOG_POINTS,0))),IFERROR(INDEX(CATALOG_POINTS,MATCH(A2727,CATALOG_TASK,0)),""))</f>
        <v>1</v>
      </c>
      <c r="D2727" s="10" t="s">
        <v>1653</v>
      </c>
      <c r="E2727" s="41" t="str">
        <f t="shared" si="1"/>
        <v>PROX3</v>
      </c>
    </row>
    <row r="2728" ht="15.75" customHeight="1">
      <c r="A2728" s="10" t="s">
        <v>1654</v>
      </c>
      <c r="B2728" s="10" t="s">
        <v>117</v>
      </c>
      <c r="C2728" s="41">
        <f t="array" ref="C2728">IF(IFERROR(INDEX(CATALOG_POINTS,MATCH(A2728,CATALOG_TASK,0)),"")="",IF(MAX(IF(IFERROR(FIND(CATALOG_BASE,A2728),0)=1,CATALOG_POINTS,0))=0,DAILY_POST_POINTS,MAX(IF(IFERROR(FIND(CATALOG_BASE,A2728),0)=1,CATALOG_POINTS,0))),IFERROR(INDEX(CATALOG_POINTS,MATCH(A2728,CATALOG_TASK,0)),""))</f>
        <v>1</v>
      </c>
      <c r="D2728" s="10" t="s">
        <v>1654</v>
      </c>
      <c r="E2728" s="41" t="str">
        <f t="shared" si="1"/>
        <v>PROX3</v>
      </c>
    </row>
    <row r="2729" ht="15.75" customHeight="1">
      <c r="A2729" s="10" t="s">
        <v>1655</v>
      </c>
      <c r="B2729" s="10" t="s">
        <v>136</v>
      </c>
      <c r="C2729" s="41">
        <f t="array" ref="C2729">IF(IFERROR(INDEX(CATALOG_POINTS,MATCH(A2729,CATALOG_TASK,0)),"")="",IF(MAX(IF(IFERROR(FIND(CATALOG_BASE,A2729),0)=1,CATALOG_POINTS,0))=0,DAILY_POST_POINTS,MAX(IF(IFERROR(FIND(CATALOG_BASE,A2729),0)=1,CATALOG_POINTS,0))),IFERROR(INDEX(CATALOG_POINTS,MATCH(A2729,CATALOG_TASK,0)),""))</f>
        <v>1</v>
      </c>
      <c r="D2729" s="10" t="s">
        <v>1655</v>
      </c>
      <c r="E2729" s="41" t="str">
        <f t="shared" si="1"/>
        <v>E0</v>
      </c>
    </row>
    <row r="2730" ht="15.75" customHeight="1">
      <c r="A2730" s="10" t="s">
        <v>1656</v>
      </c>
      <c r="B2730" s="10" t="s">
        <v>128</v>
      </c>
      <c r="C2730" s="41">
        <f t="array" ref="C2730">IF(IFERROR(INDEX(CATALOG_POINTS,MATCH(A2730,CATALOG_TASK,0)),"")="",IF(MAX(IF(IFERROR(FIND(CATALOG_BASE,A2730),0)=1,CATALOG_POINTS,0))=0,DAILY_POST_POINTS,MAX(IF(IFERROR(FIND(CATALOG_BASE,A2730),0)=1,CATALOG_POINTS,0))),IFERROR(INDEX(CATALOG_POINTS,MATCH(A2730,CATALOG_TASK,0)),""))</f>
        <v>1</v>
      </c>
      <c r="D2730" s="10" t="s">
        <v>1656</v>
      </c>
      <c r="E2730" s="41" t="str">
        <f t="shared" si="1"/>
        <v>PROX3</v>
      </c>
    </row>
    <row r="2731" ht="15.75" customHeight="1">
      <c r="A2731" s="10" t="s">
        <v>37</v>
      </c>
      <c r="B2731" s="10" t="s">
        <v>125</v>
      </c>
      <c r="C2731" s="41">
        <f t="array" ref="C2731">IF(IFERROR(INDEX(CATALOG_POINTS,MATCH(A2731,CATALOG_TASK,0)),"")="",IF(MAX(IF(IFERROR(FIND(CATALOG_BASE,A2731),0)=1,CATALOG_POINTS,0))=0,DAILY_POST_POINTS,MAX(IF(IFERROR(FIND(CATALOG_BASE,A2731),0)=1,CATALOG_POINTS,0))),IFERROR(INDEX(CATALOG_POINTS,MATCH(A2731,CATALOG_TASK,0)),""))</f>
        <v>2</v>
      </c>
      <c r="D2731" s="10" t="s">
        <v>1657</v>
      </c>
      <c r="E2731" s="41" t="str">
        <f t="shared" si="1"/>
        <v>PROX3</v>
      </c>
    </row>
    <row r="2732" ht="15.75" customHeight="1">
      <c r="A2732" s="10" t="s">
        <v>1657</v>
      </c>
      <c r="B2732" s="10" t="s">
        <v>120</v>
      </c>
      <c r="C2732" s="41">
        <f t="array" ref="C2732">IF(IFERROR(INDEX(CATALOG_POINTS,MATCH(A2732,CATALOG_TASK,0)),"")="",IF(MAX(IF(IFERROR(FIND(CATALOG_BASE,A2732),0)=1,CATALOG_POINTS,0))=0,DAILY_POST_POINTS,MAX(IF(IFERROR(FIND(CATALOG_BASE,A2732),0)=1,CATALOG_POINTS,0))),IFERROR(INDEX(CATALOG_POINTS,MATCH(A2732,CATALOG_TASK,0)),""))</f>
        <v>1</v>
      </c>
      <c r="D2732" s="10" t="s">
        <v>1657</v>
      </c>
      <c r="E2732" s="41" t="str">
        <f t="shared" si="1"/>
        <v>PROX3</v>
      </c>
    </row>
    <row r="2733" ht="15.75" customHeight="1">
      <c r="A2733" s="10" t="s">
        <v>178</v>
      </c>
      <c r="B2733" s="10" t="s">
        <v>123</v>
      </c>
      <c r="C2733" s="41">
        <f t="array" ref="C2733">IF(IFERROR(INDEX(CATALOG_POINTS,MATCH(A2733,CATALOG_TASK,0)),"")="",IF(MAX(IF(IFERROR(FIND(CATALOG_BASE,A2733),0)=1,CATALOG_POINTS,0))=0,DAILY_POST_POINTS,MAX(IF(IFERROR(FIND(CATALOG_BASE,A2733),0)=1,CATALOG_POINTS,0))),IFERROR(INDEX(CATALOG_POINTS,MATCH(A2733,CATALOG_TASK,0)),""))</f>
        <v>1</v>
      </c>
      <c r="D2733" s="10" t="s">
        <v>1657</v>
      </c>
      <c r="E2733" s="41" t="str">
        <f t="shared" si="1"/>
        <v>PROX3</v>
      </c>
    </row>
    <row r="2734" ht="15.75" customHeight="1">
      <c r="A2734" s="10" t="s">
        <v>1658</v>
      </c>
      <c r="B2734" s="10" t="s">
        <v>123</v>
      </c>
      <c r="C2734" s="41">
        <f t="array" ref="C2734">IF(IFERROR(INDEX(CATALOG_POINTS,MATCH(A2734,CATALOG_TASK,0)),"")="",IF(MAX(IF(IFERROR(FIND(CATALOG_BASE,A2734),0)=1,CATALOG_POINTS,0))=0,DAILY_POST_POINTS,MAX(IF(IFERROR(FIND(CATALOG_BASE,A2734),0)=1,CATALOG_POINTS,0))),IFERROR(INDEX(CATALOG_POINTS,MATCH(A2734,CATALOG_TASK,0)),""))</f>
        <v>1</v>
      </c>
      <c r="D2734" s="10" t="s">
        <v>1658</v>
      </c>
      <c r="E2734" s="41" t="str">
        <f t="shared" si="1"/>
        <v>E0</v>
      </c>
    </row>
    <row r="2735" ht="15.75" customHeight="1">
      <c r="A2735" s="10" t="s">
        <v>1659</v>
      </c>
      <c r="B2735" s="10" t="s">
        <v>133</v>
      </c>
      <c r="C2735" s="41">
        <f t="array" ref="C2735">IF(IFERROR(INDEX(CATALOG_POINTS,MATCH(A2735,CATALOG_TASK,0)),"")="",IF(MAX(IF(IFERROR(FIND(CATALOG_BASE,A2735),0)=1,CATALOG_POINTS,0))=0,DAILY_POST_POINTS,MAX(IF(IFERROR(FIND(CATALOG_BASE,A2735),0)=1,CATALOG_POINTS,0))),IFERROR(INDEX(CATALOG_POINTS,MATCH(A2735,CATALOG_TASK,0)),""))</f>
        <v>1</v>
      </c>
      <c r="D2735" s="10" t="s">
        <v>1659</v>
      </c>
      <c r="E2735" s="41" t="str">
        <f t="shared" si="1"/>
        <v>PROX3</v>
      </c>
    </row>
    <row r="2736" ht="15.75" customHeight="1">
      <c r="A2736" s="10" t="s">
        <v>37</v>
      </c>
      <c r="B2736" s="10" t="s">
        <v>127</v>
      </c>
      <c r="C2736" s="41">
        <f t="array" ref="C2736">IF(IFERROR(INDEX(CATALOG_POINTS,MATCH(A2736,CATALOG_TASK,0)),"")="",IF(MAX(IF(IFERROR(FIND(CATALOG_BASE,A2736),0)=1,CATALOG_POINTS,0))=0,DAILY_POST_POINTS,MAX(IF(IFERROR(FIND(CATALOG_BASE,A2736),0)=1,CATALOG_POINTS,0))),IFERROR(INDEX(CATALOG_POINTS,MATCH(A2736,CATALOG_TASK,0)),""))</f>
        <v>2</v>
      </c>
      <c r="D2736" s="10" t="s">
        <v>1659</v>
      </c>
      <c r="E2736" s="41" t="str">
        <f t="shared" si="1"/>
        <v>PROX3</v>
      </c>
    </row>
    <row r="2737" ht="15.75" customHeight="1">
      <c r="A2737" s="10" t="s">
        <v>1660</v>
      </c>
      <c r="B2737" s="10" t="s">
        <v>131</v>
      </c>
      <c r="C2737" s="41">
        <f t="array" ref="C2737">IF(IFERROR(INDEX(CATALOG_POINTS,MATCH(A2737,CATALOG_TASK,0)),"")="",IF(MAX(IF(IFERROR(FIND(CATALOG_BASE,A2737),0)=1,CATALOG_POINTS,0))=0,DAILY_POST_POINTS,MAX(IF(IFERROR(FIND(CATALOG_BASE,A2737),0)=1,CATALOG_POINTS,0))),IFERROR(INDEX(CATALOG_POINTS,MATCH(A2737,CATALOG_TASK,0)),""))</f>
        <v>1</v>
      </c>
      <c r="D2737" s="10" t="s">
        <v>1660</v>
      </c>
      <c r="E2737" s="41" t="str">
        <f t="shared" si="1"/>
        <v>PROX5</v>
      </c>
    </row>
    <row r="2738" ht="15.75" customHeight="1">
      <c r="A2738" s="10" t="s">
        <v>1661</v>
      </c>
      <c r="B2738" s="10" t="s">
        <v>128</v>
      </c>
      <c r="C2738" s="41">
        <f t="array" ref="C2738">IF(IFERROR(INDEX(CATALOG_POINTS,MATCH(A2738,CATALOG_TASK,0)),"")="",IF(MAX(IF(IFERROR(FIND(CATALOG_BASE,A2738),0)=1,CATALOG_POINTS,0))=0,DAILY_POST_POINTS,MAX(IF(IFERROR(FIND(CATALOG_BASE,A2738),0)=1,CATALOG_POINTS,0))),IFERROR(INDEX(CATALOG_POINTS,MATCH(A2738,CATALOG_TASK,0)),""))</f>
        <v>1</v>
      </c>
      <c r="D2738" s="10" t="s">
        <v>1661</v>
      </c>
      <c r="E2738" s="41" t="str">
        <f t="shared" si="1"/>
        <v>PROX3</v>
      </c>
    </row>
    <row r="2739" ht="15.75" customHeight="1">
      <c r="A2739" s="10" t="s">
        <v>1662</v>
      </c>
      <c r="B2739" s="10" t="s">
        <v>129</v>
      </c>
      <c r="C2739" s="41">
        <f t="array" ref="C2739">IF(IFERROR(INDEX(CATALOG_POINTS,MATCH(A2739,CATALOG_TASK,0)),"")="",IF(MAX(IF(IFERROR(FIND(CATALOG_BASE,A2739),0)=1,CATALOG_POINTS,0))=0,DAILY_POST_POINTS,MAX(IF(IFERROR(FIND(CATALOG_BASE,A2739),0)=1,CATALOG_POINTS,0))),IFERROR(INDEX(CATALOG_POINTS,MATCH(A2739,CATALOG_TASK,0)),""))</f>
        <v>1</v>
      </c>
      <c r="D2739" s="10" t="s">
        <v>1662</v>
      </c>
      <c r="E2739" s="41" t="str">
        <f t="shared" si="1"/>
        <v>PROX4</v>
      </c>
    </row>
    <row r="2740" ht="15.75" customHeight="1">
      <c r="A2740" s="10" t="s">
        <v>37</v>
      </c>
      <c r="B2740" s="10" t="s">
        <v>117</v>
      </c>
      <c r="C2740" s="41">
        <f t="array" ref="C2740">IF(IFERROR(INDEX(CATALOG_POINTS,MATCH(A2740,CATALOG_TASK,0)),"")="",IF(MAX(IF(IFERROR(FIND(CATALOG_BASE,A2740),0)=1,CATALOG_POINTS,0))=0,DAILY_POST_POINTS,MAX(IF(IFERROR(FIND(CATALOG_BASE,A2740),0)=1,CATALOG_POINTS,0))),IFERROR(INDEX(CATALOG_POINTS,MATCH(A2740,CATALOG_TASK,0)),""))</f>
        <v>2</v>
      </c>
      <c r="D2740" s="10" t="s">
        <v>1662</v>
      </c>
      <c r="E2740" s="41" t="str">
        <f t="shared" si="1"/>
        <v>PROX4</v>
      </c>
    </row>
    <row r="2741" ht="15.75" customHeight="1">
      <c r="A2741" s="10" t="s">
        <v>1663</v>
      </c>
      <c r="B2741" s="10" t="s">
        <v>128</v>
      </c>
      <c r="C2741" s="41">
        <f t="array" ref="C2741">IF(IFERROR(INDEX(CATALOG_POINTS,MATCH(A2741,CATALOG_TASK,0)),"")="",IF(MAX(IF(IFERROR(FIND(CATALOG_BASE,A2741),0)=1,CATALOG_POINTS,0))=0,DAILY_POST_POINTS,MAX(IF(IFERROR(FIND(CATALOG_BASE,A2741),0)=1,CATALOG_POINTS,0))),IFERROR(INDEX(CATALOG_POINTS,MATCH(A2741,CATALOG_TASK,0)),""))</f>
        <v>1</v>
      </c>
      <c r="D2741" s="10" t="s">
        <v>1663</v>
      </c>
      <c r="E2741" s="41" t="str">
        <f t="shared" si="1"/>
        <v>PROX3</v>
      </c>
    </row>
    <row r="2742" ht="15.75" customHeight="1">
      <c r="A2742" s="10" t="s">
        <v>1664</v>
      </c>
      <c r="B2742" s="10" t="s">
        <v>128</v>
      </c>
      <c r="C2742" s="41">
        <f t="array" ref="C2742">IF(IFERROR(INDEX(CATALOG_POINTS,MATCH(A2742,CATALOG_TASK,0)),"")="",IF(MAX(IF(IFERROR(FIND(CATALOG_BASE,A2742),0)=1,CATALOG_POINTS,0))=0,DAILY_POST_POINTS,MAX(IF(IFERROR(FIND(CATALOG_BASE,A2742),0)=1,CATALOG_POINTS,0))),IFERROR(INDEX(CATALOG_POINTS,MATCH(A2742,CATALOG_TASK,0)),""))</f>
        <v>1</v>
      </c>
      <c r="D2742" s="10" t="s">
        <v>1664</v>
      </c>
      <c r="E2742" s="41" t="str">
        <f t="shared" si="1"/>
        <v>PROX3</v>
      </c>
    </row>
    <row r="2743" ht="15.75" customHeight="1">
      <c r="A2743" s="10" t="s">
        <v>1665</v>
      </c>
      <c r="B2743" s="10" t="s">
        <v>133</v>
      </c>
      <c r="C2743" s="41">
        <f t="array" ref="C2743">IF(IFERROR(INDEX(CATALOG_POINTS,MATCH(A2743,CATALOG_TASK,0)),"")="",IF(MAX(IF(IFERROR(FIND(CATALOG_BASE,A2743),0)=1,CATALOG_POINTS,0))=0,DAILY_POST_POINTS,MAX(IF(IFERROR(FIND(CATALOG_BASE,A2743),0)=1,CATALOG_POINTS,0))),IFERROR(INDEX(CATALOG_POINTS,MATCH(A2743,CATALOG_TASK,0)),""))</f>
        <v>1</v>
      </c>
      <c r="D2743" s="10" t="s">
        <v>1665</v>
      </c>
      <c r="E2743" s="41" t="str">
        <f t="shared" si="1"/>
        <v>PROX3</v>
      </c>
    </row>
    <row r="2744" ht="15.75" customHeight="1">
      <c r="A2744" s="10" t="s">
        <v>37</v>
      </c>
      <c r="B2744" s="10" t="s">
        <v>117</v>
      </c>
      <c r="C2744" s="41">
        <f t="array" ref="C2744">IF(IFERROR(INDEX(CATALOG_POINTS,MATCH(A2744,CATALOG_TASK,0)),"")="",IF(MAX(IF(IFERROR(FIND(CATALOG_BASE,A2744),0)=1,CATALOG_POINTS,0))=0,DAILY_POST_POINTS,MAX(IF(IFERROR(FIND(CATALOG_BASE,A2744),0)=1,CATALOG_POINTS,0))),IFERROR(INDEX(CATALOG_POINTS,MATCH(A2744,CATALOG_TASK,0)),""))</f>
        <v>2</v>
      </c>
      <c r="D2744" s="10" t="s">
        <v>1665</v>
      </c>
      <c r="E2744" s="41" t="str">
        <f t="shared" si="1"/>
        <v>PROX3</v>
      </c>
    </row>
    <row r="2745" ht="15.75" customHeight="1">
      <c r="A2745" s="10" t="s">
        <v>37</v>
      </c>
      <c r="B2745" s="10" t="s">
        <v>122</v>
      </c>
      <c r="C2745" s="41">
        <f t="array" ref="C2745">IF(IFERROR(INDEX(CATALOG_POINTS,MATCH(A2745,CATALOG_TASK,0)),"")="",IF(MAX(IF(IFERROR(FIND(CATALOG_BASE,A2745),0)=1,CATALOG_POINTS,0))=0,DAILY_POST_POINTS,MAX(IF(IFERROR(FIND(CATALOG_BASE,A2745),0)=1,CATALOG_POINTS,0))),IFERROR(INDEX(CATALOG_POINTS,MATCH(A2745,CATALOG_TASK,0)),""))</f>
        <v>2</v>
      </c>
      <c r="D2745" s="10" t="s">
        <v>1666</v>
      </c>
      <c r="E2745" s="41" t="str">
        <f t="shared" si="1"/>
        <v>PROX3</v>
      </c>
    </row>
    <row r="2746" ht="15.75" customHeight="1">
      <c r="A2746" s="10" t="s">
        <v>1666</v>
      </c>
      <c r="B2746" s="10" t="s">
        <v>136</v>
      </c>
      <c r="C2746" s="41">
        <f t="array" ref="C2746">IF(IFERROR(INDEX(CATALOG_POINTS,MATCH(A2746,CATALOG_TASK,0)),"")="",IF(MAX(IF(IFERROR(FIND(CATALOG_BASE,A2746),0)=1,CATALOG_POINTS,0))=0,DAILY_POST_POINTS,MAX(IF(IFERROR(FIND(CATALOG_BASE,A2746),0)=1,CATALOG_POINTS,0))),IFERROR(INDEX(CATALOG_POINTS,MATCH(A2746,CATALOG_TASK,0)),""))</f>
        <v>1</v>
      </c>
      <c r="D2746" s="10" t="s">
        <v>1666</v>
      </c>
      <c r="E2746" s="41" t="str">
        <f t="shared" si="1"/>
        <v>PROX3</v>
      </c>
    </row>
    <row r="2747" ht="15.75" customHeight="1">
      <c r="A2747" s="10" t="s">
        <v>1667</v>
      </c>
      <c r="B2747" s="10" t="s">
        <v>134</v>
      </c>
      <c r="C2747" s="41">
        <f t="array" ref="C2747">IF(IFERROR(INDEX(CATALOG_POINTS,MATCH(A2747,CATALOG_TASK,0)),"")="",IF(MAX(IF(IFERROR(FIND(CATALOG_BASE,A2747),0)=1,CATALOG_POINTS,0))=0,DAILY_POST_POINTS,MAX(IF(IFERROR(FIND(CATALOG_BASE,A2747),0)=1,CATALOG_POINTS,0))),IFERROR(INDEX(CATALOG_POINTS,MATCH(A2747,CATALOG_TASK,0)),""))</f>
        <v>1</v>
      </c>
      <c r="D2747" s="10" t="s">
        <v>1667</v>
      </c>
      <c r="E2747" s="41" t="str">
        <f t="shared" si="1"/>
        <v>PROX4</v>
      </c>
    </row>
    <row r="2748" ht="15.75" customHeight="1">
      <c r="A2748" s="10" t="s">
        <v>1668</v>
      </c>
      <c r="B2748" s="10" t="s">
        <v>127</v>
      </c>
      <c r="C2748" s="41">
        <f t="array" ref="C2748">IF(IFERROR(INDEX(CATALOG_POINTS,MATCH(A2748,CATALOG_TASK,0)),"")="",IF(MAX(IF(IFERROR(FIND(CATALOG_BASE,A2748),0)=1,CATALOG_POINTS,0))=0,DAILY_POST_POINTS,MAX(IF(IFERROR(FIND(CATALOG_BASE,A2748),0)=1,CATALOG_POINTS,0))),IFERROR(INDEX(CATALOG_POINTS,MATCH(A2748,CATALOG_TASK,0)),""))</f>
        <v>1</v>
      </c>
      <c r="D2748" s="10" t="s">
        <v>1668</v>
      </c>
      <c r="E2748" s="41" t="str">
        <f t="shared" si="1"/>
        <v>PROX3</v>
      </c>
    </row>
    <row r="2749" ht="15.75" customHeight="1">
      <c r="A2749" s="10" t="s">
        <v>37</v>
      </c>
      <c r="B2749" s="10" t="s">
        <v>121</v>
      </c>
      <c r="C2749" s="41">
        <f t="array" ref="C2749">IF(IFERROR(INDEX(CATALOG_POINTS,MATCH(A2749,CATALOG_TASK,0)),"")="",IF(MAX(IF(IFERROR(FIND(CATALOG_BASE,A2749),0)=1,CATALOG_POINTS,0))=0,DAILY_POST_POINTS,MAX(IF(IFERROR(FIND(CATALOG_BASE,A2749),0)=1,CATALOG_POINTS,0))),IFERROR(INDEX(CATALOG_POINTS,MATCH(A2749,CATALOG_TASK,0)),""))</f>
        <v>2</v>
      </c>
      <c r="D2749" s="10" t="s">
        <v>1668</v>
      </c>
      <c r="E2749" s="41" t="str">
        <f t="shared" si="1"/>
        <v>PROX3</v>
      </c>
    </row>
    <row r="2750" ht="15.75" customHeight="1">
      <c r="A2750" s="10" t="s">
        <v>1669</v>
      </c>
      <c r="B2750" s="10" t="s">
        <v>136</v>
      </c>
      <c r="C2750" s="41">
        <f t="array" ref="C2750">IF(IFERROR(INDEX(CATALOG_POINTS,MATCH(A2750,CATALOG_TASK,0)),"")="",IF(MAX(IF(IFERROR(FIND(CATALOG_BASE,A2750),0)=1,CATALOG_POINTS,0))=0,DAILY_POST_POINTS,MAX(IF(IFERROR(FIND(CATALOG_BASE,A2750),0)=1,CATALOG_POINTS,0))),IFERROR(INDEX(CATALOG_POINTS,MATCH(A2750,CATALOG_TASK,0)),""))</f>
        <v>1</v>
      </c>
      <c r="D2750" s="10" t="s">
        <v>1669</v>
      </c>
      <c r="E2750" s="41" t="str">
        <f t="shared" si="1"/>
        <v>E0</v>
      </c>
    </row>
    <row r="2751" ht="15.75" customHeight="1">
      <c r="A2751" s="10" t="s">
        <v>37</v>
      </c>
      <c r="B2751" s="10" t="s">
        <v>127</v>
      </c>
      <c r="C2751" s="41">
        <f t="array" ref="C2751">IF(IFERROR(INDEX(CATALOG_POINTS,MATCH(A2751,CATALOG_TASK,0)),"")="",IF(MAX(IF(IFERROR(FIND(CATALOG_BASE,A2751),0)=1,CATALOG_POINTS,0))=0,DAILY_POST_POINTS,MAX(IF(IFERROR(FIND(CATALOG_BASE,A2751),0)=1,CATALOG_POINTS,0))),IFERROR(INDEX(CATALOG_POINTS,MATCH(A2751,CATALOG_TASK,0)),""))</f>
        <v>2</v>
      </c>
      <c r="D2751" s="10" t="s">
        <v>1669</v>
      </c>
      <c r="E2751" s="41" t="str">
        <f t="shared" si="1"/>
        <v>E0</v>
      </c>
    </row>
    <row r="2752" ht="15.75" customHeight="1">
      <c r="A2752" s="10" t="s">
        <v>1670</v>
      </c>
      <c r="B2752" s="10" t="s">
        <v>121</v>
      </c>
      <c r="C2752" s="41">
        <f t="array" ref="C2752">IF(IFERROR(INDEX(CATALOG_POINTS,MATCH(A2752,CATALOG_TASK,0)),"")="",IF(MAX(IF(IFERROR(FIND(CATALOG_BASE,A2752),0)=1,CATALOG_POINTS,0))=0,DAILY_POST_POINTS,MAX(IF(IFERROR(FIND(CATALOG_BASE,A2752),0)=1,CATALOG_POINTS,0))),IFERROR(INDEX(CATALOG_POINTS,MATCH(A2752,CATALOG_TASK,0)),""))</f>
        <v>1</v>
      </c>
      <c r="D2752" s="10" t="s">
        <v>1670</v>
      </c>
      <c r="E2752" s="41" t="str">
        <f t="shared" si="1"/>
        <v>PROX3</v>
      </c>
    </row>
    <row r="2753" ht="15.75" customHeight="1">
      <c r="A2753" s="10" t="s">
        <v>174</v>
      </c>
      <c r="B2753" s="10" t="s">
        <v>125</v>
      </c>
      <c r="C2753" s="41">
        <f t="array" ref="C2753">IF(IFERROR(INDEX(CATALOG_POINTS,MATCH(A2753,CATALOG_TASK,0)),"")="",IF(MAX(IF(IFERROR(FIND(CATALOG_BASE,A2753),0)=1,CATALOG_POINTS,0))=0,DAILY_POST_POINTS,MAX(IF(IFERROR(FIND(CATALOG_BASE,A2753),0)=1,CATALOG_POINTS,0))),IFERROR(INDEX(CATALOG_POINTS,MATCH(A2753,CATALOG_TASK,0)),""))</f>
        <v>1</v>
      </c>
      <c r="D2753" s="10" t="s">
        <v>1671</v>
      </c>
      <c r="E2753" s="41" t="str">
        <f t="shared" si="1"/>
        <v>PROX3</v>
      </c>
    </row>
    <row r="2754" ht="15.75" customHeight="1">
      <c r="A2754" s="10" t="s">
        <v>178</v>
      </c>
      <c r="B2754" s="10" t="s">
        <v>122</v>
      </c>
      <c r="C2754" s="41">
        <f t="array" ref="C2754">IF(IFERROR(INDEX(CATALOG_POINTS,MATCH(A2754,CATALOG_TASK,0)),"")="",IF(MAX(IF(IFERROR(FIND(CATALOG_BASE,A2754),0)=1,CATALOG_POINTS,0))=0,DAILY_POST_POINTS,MAX(IF(IFERROR(FIND(CATALOG_BASE,A2754),0)=1,CATALOG_POINTS,0))),IFERROR(INDEX(CATALOG_POINTS,MATCH(A2754,CATALOG_TASK,0)),""))</f>
        <v>1</v>
      </c>
      <c r="D2754" s="10" t="s">
        <v>1671</v>
      </c>
      <c r="E2754" s="41" t="str">
        <f t="shared" si="1"/>
        <v>PROX3</v>
      </c>
    </row>
    <row r="2755" ht="15.75" customHeight="1">
      <c r="A2755" s="10" t="s">
        <v>1672</v>
      </c>
      <c r="B2755" s="10" t="s">
        <v>124</v>
      </c>
      <c r="C2755" s="41">
        <f t="array" ref="C2755">IF(IFERROR(INDEX(CATALOG_POINTS,MATCH(A2755,CATALOG_TASK,0)),"")="",IF(MAX(IF(IFERROR(FIND(CATALOG_BASE,A2755),0)=1,CATALOG_POINTS,0))=0,DAILY_POST_POINTS,MAX(IF(IFERROR(FIND(CATALOG_BASE,A2755),0)=1,CATALOG_POINTS,0))),IFERROR(INDEX(CATALOG_POINTS,MATCH(A2755,CATALOG_TASK,0)),""))</f>
        <v>1</v>
      </c>
      <c r="D2755" s="10" t="s">
        <v>1672</v>
      </c>
      <c r="E2755" s="41" t="str">
        <f t="shared" si="1"/>
        <v>PROX3</v>
      </c>
    </row>
    <row r="2756" ht="15.75" customHeight="1">
      <c r="A2756" s="10" t="s">
        <v>1673</v>
      </c>
      <c r="B2756" s="10" t="s">
        <v>129</v>
      </c>
      <c r="C2756" s="41">
        <f t="array" ref="C2756">IF(IFERROR(INDEX(CATALOG_POINTS,MATCH(A2756,CATALOG_TASK,0)),"")="",IF(MAX(IF(IFERROR(FIND(CATALOG_BASE,A2756),0)=1,CATALOG_POINTS,0))=0,DAILY_POST_POINTS,MAX(IF(IFERROR(FIND(CATALOG_BASE,A2756),0)=1,CATALOG_POINTS,0))),IFERROR(INDEX(CATALOG_POINTS,MATCH(A2756,CATALOG_TASK,0)),""))</f>
        <v>1</v>
      </c>
      <c r="D2756" s="10" t="s">
        <v>1673</v>
      </c>
      <c r="E2756" s="41" t="str">
        <f t="shared" si="1"/>
        <v>PROX4</v>
      </c>
    </row>
    <row r="2757" ht="15.75" customHeight="1">
      <c r="A2757" s="10" t="s">
        <v>1674</v>
      </c>
      <c r="B2757" s="10" t="s">
        <v>124</v>
      </c>
      <c r="C2757" s="41">
        <f t="array" ref="C2757">IF(IFERROR(INDEX(CATALOG_POINTS,MATCH(A2757,CATALOG_TASK,0)),"")="",IF(MAX(IF(IFERROR(FIND(CATALOG_BASE,A2757),0)=1,CATALOG_POINTS,0))=0,DAILY_POST_POINTS,MAX(IF(IFERROR(FIND(CATALOG_BASE,A2757),0)=1,CATALOG_POINTS,0))),IFERROR(INDEX(CATALOG_POINTS,MATCH(A2757,CATALOG_TASK,0)),""))</f>
        <v>1</v>
      </c>
      <c r="D2757" s="10" t="s">
        <v>1674</v>
      </c>
      <c r="E2757" s="41" t="str">
        <f t="shared" si="1"/>
        <v>PROX3</v>
      </c>
    </row>
    <row r="2758" ht="15.75" customHeight="1">
      <c r="A2758" s="10" t="s">
        <v>1675</v>
      </c>
      <c r="B2758" s="10" t="s">
        <v>134</v>
      </c>
      <c r="C2758" s="41">
        <f t="array" ref="C2758">IF(IFERROR(INDEX(CATALOG_POINTS,MATCH(A2758,CATALOG_TASK,0)),"")="",IF(MAX(IF(IFERROR(FIND(CATALOG_BASE,A2758),0)=1,CATALOG_POINTS,0))=0,DAILY_POST_POINTS,MAX(IF(IFERROR(FIND(CATALOG_BASE,A2758),0)=1,CATALOG_POINTS,0))),IFERROR(INDEX(CATALOG_POINTS,MATCH(A2758,CATALOG_TASK,0)),""))</f>
        <v>1</v>
      </c>
      <c r="D2758" s="10" t="s">
        <v>1675</v>
      </c>
      <c r="E2758" s="41" t="str">
        <f t="shared" si="1"/>
        <v>PROX3</v>
      </c>
    </row>
    <row r="2759" ht="15.75" customHeight="1">
      <c r="A2759" s="10" t="s">
        <v>1676</v>
      </c>
      <c r="B2759" s="10" t="s">
        <v>132</v>
      </c>
      <c r="C2759" s="41">
        <f t="array" ref="C2759">IF(IFERROR(INDEX(CATALOG_POINTS,MATCH(A2759,CATALOG_TASK,0)),"")="",IF(MAX(IF(IFERROR(FIND(CATALOG_BASE,A2759),0)=1,CATALOG_POINTS,0))=0,DAILY_POST_POINTS,MAX(IF(IFERROR(FIND(CATALOG_BASE,A2759),0)=1,CATALOG_POINTS,0))),IFERROR(INDEX(CATALOG_POINTS,MATCH(A2759,CATALOG_TASK,0)),""))</f>
        <v>1</v>
      </c>
      <c r="D2759" s="10" t="s">
        <v>1676</v>
      </c>
      <c r="E2759" s="41" t="str">
        <f t="shared" si="1"/>
        <v>PROX3</v>
      </c>
    </row>
    <row r="2760" ht="15.75" customHeight="1">
      <c r="A2760" s="10" t="s">
        <v>37</v>
      </c>
      <c r="B2760" s="10" t="s">
        <v>120</v>
      </c>
      <c r="C2760" s="41">
        <f t="array" ref="C2760">IF(IFERROR(INDEX(CATALOG_POINTS,MATCH(A2760,CATALOG_TASK,0)),"")="",IF(MAX(IF(IFERROR(FIND(CATALOG_BASE,A2760),0)=1,CATALOG_POINTS,0))=0,DAILY_POST_POINTS,MAX(IF(IFERROR(FIND(CATALOG_BASE,A2760),0)=1,CATALOG_POINTS,0))),IFERROR(INDEX(CATALOG_POINTS,MATCH(A2760,CATALOG_TASK,0)),""))</f>
        <v>2</v>
      </c>
      <c r="D2760" s="10" t="s">
        <v>1677</v>
      </c>
      <c r="E2760" s="41" t="str">
        <f t="shared" si="1"/>
        <v>E0</v>
      </c>
    </row>
    <row r="2761" ht="15.75" customHeight="1">
      <c r="A2761" s="10" t="s">
        <v>1677</v>
      </c>
      <c r="B2761" s="10" t="s">
        <v>120</v>
      </c>
      <c r="C2761" s="41">
        <f t="array" ref="C2761">IF(IFERROR(INDEX(CATALOG_POINTS,MATCH(A2761,CATALOG_TASK,0)),"")="",IF(MAX(IF(IFERROR(FIND(CATALOG_BASE,A2761),0)=1,CATALOG_POINTS,0))=0,DAILY_POST_POINTS,MAX(IF(IFERROR(FIND(CATALOG_BASE,A2761),0)=1,CATALOG_POINTS,0))),IFERROR(INDEX(CATALOG_POINTS,MATCH(A2761,CATALOG_TASK,0)),""))</f>
        <v>1</v>
      </c>
      <c r="D2761" s="10" t="s">
        <v>1677</v>
      </c>
      <c r="E2761" s="41" t="str">
        <f t="shared" si="1"/>
        <v>E0</v>
      </c>
    </row>
    <row r="2762" ht="15.75" customHeight="1">
      <c r="A2762" s="10" t="s">
        <v>37</v>
      </c>
      <c r="B2762" s="10" t="s">
        <v>119</v>
      </c>
      <c r="C2762" s="41">
        <f t="array" ref="C2762">IF(IFERROR(INDEX(CATALOG_POINTS,MATCH(A2762,CATALOG_TASK,0)),"")="",IF(MAX(IF(IFERROR(FIND(CATALOG_BASE,A2762),0)=1,CATALOG_POINTS,0))=0,DAILY_POST_POINTS,MAX(IF(IFERROR(FIND(CATALOG_BASE,A2762),0)=1,CATALOG_POINTS,0))),IFERROR(INDEX(CATALOG_POINTS,MATCH(A2762,CATALOG_TASK,0)),""))</f>
        <v>2</v>
      </c>
      <c r="D2762" s="10" t="s">
        <v>1678</v>
      </c>
      <c r="E2762" s="41" t="str">
        <f t="shared" si="1"/>
        <v/>
      </c>
    </row>
    <row r="2763" ht="15.75" customHeight="1">
      <c r="A2763" s="10" t="s">
        <v>37</v>
      </c>
      <c r="B2763" s="10" t="s">
        <v>128</v>
      </c>
      <c r="C2763" s="41">
        <f t="array" ref="C2763">IF(IFERROR(INDEX(CATALOG_POINTS,MATCH(A2763,CATALOG_TASK,0)),"")="",IF(MAX(IF(IFERROR(FIND(CATALOG_BASE,A2763),0)=1,CATALOG_POINTS,0))=0,DAILY_POST_POINTS,MAX(IF(IFERROR(FIND(CATALOG_BASE,A2763),0)=1,CATALOG_POINTS,0))),IFERROR(INDEX(CATALOG_POINTS,MATCH(A2763,CATALOG_TASK,0)),""))</f>
        <v>2</v>
      </c>
      <c r="D2763" s="10" t="s">
        <v>1678</v>
      </c>
      <c r="E2763" s="41" t="str">
        <f t="shared" si="1"/>
        <v/>
      </c>
    </row>
    <row r="2764" ht="15.75" customHeight="1">
      <c r="A2764" s="10" t="s">
        <v>168</v>
      </c>
      <c r="B2764" s="10" t="s">
        <v>128</v>
      </c>
      <c r="C2764" s="41">
        <f t="array" ref="C2764">IF(IFERROR(INDEX(CATALOG_POINTS,MATCH(A2764,CATALOG_TASK,0)),"")="",IF(MAX(IF(IFERROR(FIND(CATALOG_BASE,A2764),0)=1,CATALOG_POINTS,0))=0,DAILY_POST_POINTS,MAX(IF(IFERROR(FIND(CATALOG_BASE,A2764),0)=1,CATALOG_POINTS,0))),IFERROR(INDEX(CATALOG_POINTS,MATCH(A2764,CATALOG_TASK,0)),""))</f>
        <v>1</v>
      </c>
      <c r="D2764" s="10" t="s">
        <v>1678</v>
      </c>
      <c r="E2764" s="41" t="str">
        <f t="shared" si="1"/>
        <v/>
      </c>
    </row>
    <row r="2765" ht="15.75" customHeight="1">
      <c r="A2765" s="10" t="s">
        <v>1678</v>
      </c>
      <c r="B2765" s="10" t="s">
        <v>125</v>
      </c>
      <c r="C2765" s="41">
        <f t="array" ref="C2765">IF(IFERROR(INDEX(CATALOG_POINTS,MATCH(A2765,CATALOG_TASK,0)),"")="",IF(MAX(IF(IFERROR(FIND(CATALOG_BASE,A2765),0)=1,CATALOG_POINTS,0))=0,DAILY_POST_POINTS,MAX(IF(IFERROR(FIND(CATALOG_BASE,A2765),0)=1,CATALOG_POINTS,0))),IFERROR(INDEX(CATALOG_POINTS,MATCH(A2765,CATALOG_TASK,0)),""))</f>
        <v>1</v>
      </c>
      <c r="D2765" s="10" t="s">
        <v>1678</v>
      </c>
      <c r="E2765" s="41" t="str">
        <f t="shared" si="1"/>
        <v/>
      </c>
    </row>
    <row r="2766" ht="15.75" customHeight="1">
      <c r="A2766" s="10" t="s">
        <v>37</v>
      </c>
      <c r="B2766" s="10" t="s">
        <v>120</v>
      </c>
      <c r="C2766" s="41">
        <f t="array" ref="C2766">IF(IFERROR(INDEX(CATALOG_POINTS,MATCH(A2766,CATALOG_TASK,0)),"")="",IF(MAX(IF(IFERROR(FIND(CATALOG_BASE,A2766),0)=1,CATALOG_POINTS,0))=0,DAILY_POST_POINTS,MAX(IF(IFERROR(FIND(CATALOG_BASE,A2766),0)=1,CATALOG_POINTS,0))),IFERROR(INDEX(CATALOG_POINTS,MATCH(A2766,CATALOG_TASK,0)),""))</f>
        <v>2</v>
      </c>
      <c r="D2766" s="10" t="s">
        <v>1678</v>
      </c>
      <c r="E2766" s="41" t="str">
        <f t="shared" si="1"/>
        <v/>
      </c>
    </row>
    <row r="2767" ht="15.75" customHeight="1">
      <c r="A2767" s="10" t="s">
        <v>37</v>
      </c>
      <c r="B2767" s="10" t="s">
        <v>119</v>
      </c>
      <c r="C2767" s="41">
        <f t="array" ref="C2767">IF(IFERROR(INDEX(CATALOG_POINTS,MATCH(A2767,CATALOG_TASK,0)),"")="",IF(MAX(IF(IFERROR(FIND(CATALOG_BASE,A2767),0)=1,CATALOG_POINTS,0))=0,DAILY_POST_POINTS,MAX(IF(IFERROR(FIND(CATALOG_BASE,A2767),0)=1,CATALOG_POINTS,0))),IFERROR(INDEX(CATALOG_POINTS,MATCH(A2767,CATALOG_TASK,0)),""))</f>
        <v>2</v>
      </c>
      <c r="D2767" s="10" t="s">
        <v>1678</v>
      </c>
      <c r="E2767" s="41" t="str">
        <f t="shared" si="1"/>
        <v/>
      </c>
    </row>
    <row r="2768" ht="15.75" customHeight="1">
      <c r="A2768" s="10" t="s">
        <v>1679</v>
      </c>
      <c r="B2768" s="10" t="s">
        <v>119</v>
      </c>
      <c r="C2768" s="41">
        <f t="array" ref="C2768">IF(IFERROR(INDEX(CATALOG_POINTS,MATCH(A2768,CATALOG_TASK,0)),"")="",IF(MAX(IF(IFERROR(FIND(CATALOG_BASE,A2768),0)=1,CATALOG_POINTS,0))=0,DAILY_POST_POINTS,MAX(IF(IFERROR(FIND(CATALOG_BASE,A2768),0)=1,CATALOG_POINTS,0))),IFERROR(INDEX(CATALOG_POINTS,MATCH(A2768,CATALOG_TASK,0)),""))</f>
        <v>1</v>
      </c>
      <c r="D2768" s="10" t="s">
        <v>1679</v>
      </c>
      <c r="E2768" s="41" t="str">
        <f t="shared" si="1"/>
        <v>PROX4</v>
      </c>
    </row>
    <row r="2769" ht="15.75" customHeight="1">
      <c r="A2769" s="10" t="s">
        <v>37</v>
      </c>
      <c r="B2769" s="10" t="s">
        <v>127</v>
      </c>
      <c r="C2769" s="41">
        <f t="array" ref="C2769">IF(IFERROR(INDEX(CATALOG_POINTS,MATCH(A2769,CATALOG_TASK,0)),"")="",IF(MAX(IF(IFERROR(FIND(CATALOG_BASE,A2769),0)=1,CATALOG_POINTS,0))=0,DAILY_POST_POINTS,MAX(IF(IFERROR(FIND(CATALOG_BASE,A2769),0)=1,CATALOG_POINTS,0))),IFERROR(INDEX(CATALOG_POINTS,MATCH(A2769,CATALOG_TASK,0)),""))</f>
        <v>2</v>
      </c>
      <c r="D2769" s="10" t="s">
        <v>1679</v>
      </c>
      <c r="E2769" s="41" t="str">
        <f t="shared" si="1"/>
        <v>PROX4</v>
      </c>
    </row>
    <row r="2770" ht="15.75" customHeight="1">
      <c r="A2770" s="10" t="s">
        <v>55</v>
      </c>
      <c r="B2770" s="10" t="s">
        <v>141</v>
      </c>
      <c r="C2770" s="41">
        <f t="array" ref="C2770">IF(IFERROR(INDEX(CATALOG_POINTS,MATCH(A2770,CATALOG_TASK,0)),"")="",IF(MAX(IF(IFERROR(FIND(CATALOG_BASE,A2770),0)=1,CATALOG_POINTS,0))=0,DAILY_POST_POINTS,MAX(IF(IFERROR(FIND(CATALOG_BASE,A2770),0)=1,CATALOG_POINTS,0))),IFERROR(INDEX(CATALOG_POINTS,MATCH(A2770,CATALOG_TASK,0)),""))</f>
        <v>8</v>
      </c>
      <c r="D2770" s="10" t="s">
        <v>1679</v>
      </c>
      <c r="E2770" s="41" t="str">
        <f t="shared" si="1"/>
        <v>PROX4</v>
      </c>
    </row>
    <row r="2771" ht="15.75" customHeight="1">
      <c r="A2771" s="10" t="s">
        <v>37</v>
      </c>
      <c r="B2771" s="10" t="s">
        <v>120</v>
      </c>
      <c r="C2771" s="41">
        <f t="array" ref="C2771">IF(IFERROR(INDEX(CATALOG_POINTS,MATCH(A2771,CATALOG_TASK,0)),"")="",IF(MAX(IF(IFERROR(FIND(CATALOG_BASE,A2771),0)=1,CATALOG_POINTS,0))=0,DAILY_POST_POINTS,MAX(IF(IFERROR(FIND(CATALOG_BASE,A2771),0)=1,CATALOG_POINTS,0))),IFERROR(INDEX(CATALOG_POINTS,MATCH(A2771,CATALOG_TASK,0)),""))</f>
        <v>2</v>
      </c>
      <c r="D2771" s="10" t="s">
        <v>1679</v>
      </c>
      <c r="E2771" s="41" t="str">
        <f t="shared" si="1"/>
        <v>PROX4</v>
      </c>
    </row>
    <row r="2772" ht="15.75" customHeight="1">
      <c r="A2772" s="10" t="s">
        <v>1680</v>
      </c>
      <c r="B2772" s="10" t="s">
        <v>123</v>
      </c>
      <c r="C2772" s="41">
        <f t="array" ref="C2772">IF(IFERROR(INDEX(CATALOG_POINTS,MATCH(A2772,CATALOG_TASK,0)),"")="",IF(MAX(IF(IFERROR(FIND(CATALOG_BASE,A2772),0)=1,CATALOG_POINTS,0))=0,DAILY_POST_POINTS,MAX(IF(IFERROR(FIND(CATALOG_BASE,A2772),0)=1,CATALOG_POINTS,0))),IFERROR(INDEX(CATALOG_POINTS,MATCH(A2772,CATALOG_TASK,0)),""))</f>
        <v>1</v>
      </c>
      <c r="D2772" s="10" t="s">
        <v>1680</v>
      </c>
      <c r="E2772" s="41" t="str">
        <f t="shared" si="1"/>
        <v>E0</v>
      </c>
    </row>
    <row r="2773" ht="15.75" customHeight="1">
      <c r="A2773" s="10" t="s">
        <v>37</v>
      </c>
      <c r="B2773" s="10" t="s">
        <v>117</v>
      </c>
      <c r="C2773" s="41">
        <f t="array" ref="C2773">IF(IFERROR(INDEX(CATALOG_POINTS,MATCH(A2773,CATALOG_TASK,0)),"")="",IF(MAX(IF(IFERROR(FIND(CATALOG_BASE,A2773),0)=1,CATALOG_POINTS,0))=0,DAILY_POST_POINTS,MAX(IF(IFERROR(FIND(CATALOG_BASE,A2773),0)=1,CATALOG_POINTS,0))),IFERROR(INDEX(CATALOG_POINTS,MATCH(A2773,CATALOG_TASK,0)),""))</f>
        <v>2</v>
      </c>
      <c r="D2773" s="10" t="s">
        <v>1681</v>
      </c>
      <c r="E2773" s="41" t="str">
        <f t="shared" si="1"/>
        <v>PROX3</v>
      </c>
    </row>
    <row r="2774" ht="15.75" customHeight="1">
      <c r="A2774" s="10" t="s">
        <v>1681</v>
      </c>
      <c r="B2774" s="10" t="s">
        <v>124</v>
      </c>
      <c r="C2774" s="41">
        <f t="array" ref="C2774">IF(IFERROR(INDEX(CATALOG_POINTS,MATCH(A2774,CATALOG_TASK,0)),"")="",IF(MAX(IF(IFERROR(FIND(CATALOG_BASE,A2774),0)=1,CATALOG_POINTS,0))=0,DAILY_POST_POINTS,MAX(IF(IFERROR(FIND(CATALOG_BASE,A2774),0)=1,CATALOG_POINTS,0))),IFERROR(INDEX(CATALOG_POINTS,MATCH(A2774,CATALOG_TASK,0)),""))</f>
        <v>1</v>
      </c>
      <c r="D2774" s="10" t="s">
        <v>1681</v>
      </c>
      <c r="E2774" s="41" t="str">
        <f t="shared" si="1"/>
        <v>PROX3</v>
      </c>
    </row>
    <row r="2775" ht="15.75" customHeight="1">
      <c r="A2775" s="10" t="s">
        <v>37</v>
      </c>
      <c r="B2775" s="10" t="s">
        <v>123</v>
      </c>
      <c r="C2775" s="41">
        <f t="array" ref="C2775">IF(IFERROR(INDEX(CATALOG_POINTS,MATCH(A2775,CATALOG_TASK,0)),"")="",IF(MAX(IF(IFERROR(FIND(CATALOG_BASE,A2775),0)=1,CATALOG_POINTS,0))=0,DAILY_POST_POINTS,MAX(IF(IFERROR(FIND(CATALOG_BASE,A2775),0)=1,CATALOG_POINTS,0))),IFERROR(INDEX(CATALOG_POINTS,MATCH(A2775,CATALOG_TASK,0)),""))</f>
        <v>2</v>
      </c>
      <c r="D2775" s="10" t="s">
        <v>1682</v>
      </c>
      <c r="E2775" s="41" t="str">
        <f t="shared" si="1"/>
        <v>PROX4</v>
      </c>
    </row>
    <row r="2776" ht="15.75" customHeight="1">
      <c r="A2776" s="10" t="s">
        <v>37</v>
      </c>
      <c r="B2776" s="10" t="s">
        <v>119</v>
      </c>
      <c r="C2776" s="41">
        <f t="array" ref="C2776">IF(IFERROR(INDEX(CATALOG_POINTS,MATCH(A2776,CATALOG_TASK,0)),"")="",IF(MAX(IF(IFERROR(FIND(CATALOG_BASE,A2776),0)=1,CATALOG_POINTS,0))=0,DAILY_POST_POINTS,MAX(IF(IFERROR(FIND(CATALOG_BASE,A2776),0)=1,CATALOG_POINTS,0))),IFERROR(INDEX(CATALOG_POINTS,MATCH(A2776,CATALOG_TASK,0)),""))</f>
        <v>2</v>
      </c>
      <c r="D2776" s="10" t="s">
        <v>1682</v>
      </c>
      <c r="E2776" s="41" t="str">
        <f t="shared" si="1"/>
        <v>PROX4</v>
      </c>
    </row>
    <row r="2777" ht="15.75" customHeight="1">
      <c r="A2777" s="10" t="s">
        <v>1682</v>
      </c>
      <c r="B2777" s="10" t="s">
        <v>132</v>
      </c>
      <c r="C2777" s="41">
        <f t="array" ref="C2777">IF(IFERROR(INDEX(CATALOG_POINTS,MATCH(A2777,CATALOG_TASK,0)),"")="",IF(MAX(IF(IFERROR(FIND(CATALOG_BASE,A2777),0)=1,CATALOG_POINTS,0))=0,DAILY_POST_POINTS,MAX(IF(IFERROR(FIND(CATALOG_BASE,A2777),0)=1,CATALOG_POINTS,0))),IFERROR(INDEX(CATALOG_POINTS,MATCH(A2777,CATALOG_TASK,0)),""))</f>
        <v>1</v>
      </c>
      <c r="D2777" s="10" t="s">
        <v>1682</v>
      </c>
      <c r="E2777" s="41" t="str">
        <f t="shared" si="1"/>
        <v>PROX4</v>
      </c>
    </row>
    <row r="2778" ht="15.75" customHeight="1">
      <c r="A2778" s="10" t="s">
        <v>1683</v>
      </c>
      <c r="B2778" s="10" t="s">
        <v>132</v>
      </c>
      <c r="C2778" s="41">
        <f t="array" ref="C2778">IF(IFERROR(INDEX(CATALOG_POINTS,MATCH(A2778,CATALOG_TASK,0)),"")="",IF(MAX(IF(IFERROR(FIND(CATALOG_BASE,A2778),0)=1,CATALOG_POINTS,0))=0,DAILY_POST_POINTS,MAX(IF(IFERROR(FIND(CATALOG_BASE,A2778),0)=1,CATALOG_POINTS,0))),IFERROR(INDEX(CATALOG_POINTS,MATCH(A2778,CATALOG_TASK,0)),""))</f>
        <v>1</v>
      </c>
      <c r="D2778" s="10" t="s">
        <v>1683</v>
      </c>
      <c r="E2778" s="41" t="str">
        <f t="shared" si="1"/>
        <v>E0</v>
      </c>
    </row>
    <row r="2779" ht="15.75" customHeight="1">
      <c r="A2779" s="10" t="s">
        <v>37</v>
      </c>
      <c r="B2779" s="10" t="s">
        <v>123</v>
      </c>
      <c r="C2779" s="41">
        <f t="array" ref="C2779">IF(IFERROR(INDEX(CATALOG_POINTS,MATCH(A2779,CATALOG_TASK,0)),"")="",IF(MAX(IF(IFERROR(FIND(CATALOG_BASE,A2779),0)=1,CATALOG_POINTS,0))=0,DAILY_POST_POINTS,MAX(IF(IFERROR(FIND(CATALOG_BASE,A2779),0)=1,CATALOG_POINTS,0))),IFERROR(INDEX(CATALOG_POINTS,MATCH(A2779,CATALOG_TASK,0)),""))</f>
        <v>2</v>
      </c>
      <c r="D2779" s="10" t="s">
        <v>1683</v>
      </c>
      <c r="E2779" s="41" t="str">
        <f t="shared" si="1"/>
        <v>E0</v>
      </c>
    </row>
    <row r="2780" ht="15.75" customHeight="1">
      <c r="A2780" s="10" t="s">
        <v>1684</v>
      </c>
      <c r="B2780" s="10" t="s">
        <v>131</v>
      </c>
      <c r="C2780" s="41">
        <f t="array" ref="C2780">IF(IFERROR(INDEX(CATALOG_POINTS,MATCH(A2780,CATALOG_TASK,0)),"")="",IF(MAX(IF(IFERROR(FIND(CATALOG_BASE,A2780),0)=1,CATALOG_POINTS,0))=0,DAILY_POST_POINTS,MAX(IF(IFERROR(FIND(CATALOG_BASE,A2780),0)=1,CATALOG_POINTS,0))),IFERROR(INDEX(CATALOG_POINTS,MATCH(A2780,CATALOG_TASK,0)),""))</f>
        <v>1</v>
      </c>
      <c r="D2780" s="10" t="s">
        <v>1685</v>
      </c>
      <c r="E2780" s="41" t="str">
        <f t="shared" si="1"/>
        <v>PROX4</v>
      </c>
    </row>
    <row r="2781" ht="15.75" customHeight="1">
      <c r="A2781" s="10" t="s">
        <v>1686</v>
      </c>
      <c r="B2781" s="10" t="s">
        <v>127</v>
      </c>
      <c r="C2781" s="41">
        <f t="array" ref="C2781">IF(IFERROR(INDEX(CATALOG_POINTS,MATCH(A2781,CATALOG_TASK,0)),"")="",IF(MAX(IF(IFERROR(FIND(CATALOG_BASE,A2781),0)=1,CATALOG_POINTS,0))=0,DAILY_POST_POINTS,MAX(IF(IFERROR(FIND(CATALOG_BASE,A2781),0)=1,CATALOG_POINTS,0))),IFERROR(INDEX(CATALOG_POINTS,MATCH(A2781,CATALOG_TASK,0)),""))</f>
        <v>1</v>
      </c>
      <c r="D2781" s="10" t="s">
        <v>1686</v>
      </c>
      <c r="E2781" s="41" t="str">
        <f t="shared" si="1"/>
        <v>PROX4</v>
      </c>
    </row>
    <row r="2782" ht="15.75" customHeight="1">
      <c r="A2782" s="10" t="s">
        <v>170</v>
      </c>
      <c r="B2782" s="10" t="s">
        <v>128</v>
      </c>
      <c r="C2782" s="41">
        <f t="array" ref="C2782">IF(IFERROR(INDEX(CATALOG_POINTS,MATCH(A2782,CATALOG_TASK,0)),"")="",IF(MAX(IF(IFERROR(FIND(CATALOG_BASE,A2782),0)=1,CATALOG_POINTS,0))=0,DAILY_POST_POINTS,MAX(IF(IFERROR(FIND(CATALOG_BASE,A2782),0)=1,CATALOG_POINTS,0))),IFERROR(INDEX(CATALOG_POINTS,MATCH(A2782,CATALOG_TASK,0)),""))</f>
        <v>1</v>
      </c>
      <c r="D2782" s="10" t="s">
        <v>1686</v>
      </c>
      <c r="E2782" s="41" t="str">
        <f t="shared" si="1"/>
        <v>PROX4</v>
      </c>
    </row>
    <row r="2783" ht="15.75" customHeight="1">
      <c r="A2783" s="10" t="s">
        <v>1687</v>
      </c>
      <c r="B2783" s="10" t="s">
        <v>120</v>
      </c>
      <c r="C2783" s="41">
        <f t="array" ref="C2783">IF(IFERROR(INDEX(CATALOG_POINTS,MATCH(A2783,CATALOG_TASK,0)),"")="",IF(MAX(IF(IFERROR(FIND(CATALOG_BASE,A2783),0)=1,CATALOG_POINTS,0))=0,DAILY_POST_POINTS,MAX(IF(IFERROR(FIND(CATALOG_BASE,A2783),0)=1,CATALOG_POINTS,0))),IFERROR(INDEX(CATALOG_POINTS,MATCH(A2783,CATALOG_TASK,0)),""))</f>
        <v>1</v>
      </c>
      <c r="D2783" s="10" t="s">
        <v>1687</v>
      </c>
      <c r="E2783" s="41" t="str">
        <f t="shared" si="1"/>
        <v>E0</v>
      </c>
    </row>
    <row r="2784" ht="15.75" customHeight="1">
      <c r="A2784" s="10" t="s">
        <v>1688</v>
      </c>
      <c r="B2784" s="10" t="s">
        <v>127</v>
      </c>
      <c r="C2784" s="41">
        <f t="array" ref="C2784">IF(IFERROR(INDEX(CATALOG_POINTS,MATCH(A2784,CATALOG_TASK,0)),"")="",IF(MAX(IF(IFERROR(FIND(CATALOG_BASE,A2784),0)=1,CATALOG_POINTS,0))=0,DAILY_POST_POINTS,MAX(IF(IFERROR(FIND(CATALOG_BASE,A2784),0)=1,CATALOG_POINTS,0))),IFERROR(INDEX(CATALOG_POINTS,MATCH(A2784,CATALOG_TASK,0)),""))</f>
        <v>1</v>
      </c>
      <c r="D2784" s="10" t="s">
        <v>1688</v>
      </c>
      <c r="E2784" s="41" t="str">
        <f t="shared" si="1"/>
        <v>PROX3</v>
      </c>
    </row>
    <row r="2785" ht="15.75" customHeight="1">
      <c r="A2785" s="10" t="s">
        <v>1689</v>
      </c>
      <c r="B2785" s="10" t="s">
        <v>119</v>
      </c>
      <c r="C2785" s="41">
        <f t="array" ref="C2785">IF(IFERROR(INDEX(CATALOG_POINTS,MATCH(A2785,CATALOG_TASK,0)),"")="",IF(MAX(IF(IFERROR(FIND(CATALOG_BASE,A2785),0)=1,CATALOG_POINTS,0))=0,DAILY_POST_POINTS,MAX(IF(IFERROR(FIND(CATALOG_BASE,A2785),0)=1,CATALOG_POINTS,0))),IFERROR(INDEX(CATALOG_POINTS,MATCH(A2785,CATALOG_TASK,0)),""))</f>
        <v>1</v>
      </c>
      <c r="D2785" s="10" t="s">
        <v>1689</v>
      </c>
      <c r="E2785" s="41" t="str">
        <f t="shared" si="1"/>
        <v>PROX3</v>
      </c>
    </row>
    <row r="2786" ht="15.75" customHeight="1">
      <c r="A2786" s="10" t="s">
        <v>55</v>
      </c>
      <c r="B2786" s="10" t="s">
        <v>139</v>
      </c>
      <c r="C2786" s="41">
        <f t="array" ref="C2786">IF(IFERROR(INDEX(CATALOG_POINTS,MATCH(A2786,CATALOG_TASK,0)),"")="",IF(MAX(IF(IFERROR(FIND(CATALOG_BASE,A2786),0)=1,CATALOG_POINTS,0))=0,DAILY_POST_POINTS,MAX(IF(IFERROR(FIND(CATALOG_BASE,A2786),0)=1,CATALOG_POINTS,0))),IFERROR(INDEX(CATALOG_POINTS,MATCH(A2786,CATALOG_TASK,0)),""))</f>
        <v>8</v>
      </c>
      <c r="D2786" s="10" t="s">
        <v>1689</v>
      </c>
      <c r="E2786" s="41" t="str">
        <f t="shared" si="1"/>
        <v>PROX3</v>
      </c>
    </row>
    <row r="2787" ht="15.75" customHeight="1">
      <c r="A2787" s="10" t="s">
        <v>1690</v>
      </c>
      <c r="B2787" s="10" t="s">
        <v>120</v>
      </c>
      <c r="C2787" s="41">
        <f t="array" ref="C2787">IF(IFERROR(INDEX(CATALOG_POINTS,MATCH(A2787,CATALOG_TASK,0)),"")="",IF(MAX(IF(IFERROR(FIND(CATALOG_BASE,A2787),0)=1,CATALOG_POINTS,0))=0,DAILY_POST_POINTS,MAX(IF(IFERROR(FIND(CATALOG_BASE,A2787),0)=1,CATALOG_POINTS,0))),IFERROR(INDEX(CATALOG_POINTS,MATCH(A2787,CATALOG_TASK,0)),""))</f>
        <v>1</v>
      </c>
      <c r="D2787" s="10" t="s">
        <v>1690</v>
      </c>
      <c r="E2787" s="41" t="str">
        <f t="shared" si="1"/>
        <v>PROX3</v>
      </c>
    </row>
    <row r="2788" ht="15.75" customHeight="1">
      <c r="A2788" s="10" t="s">
        <v>1691</v>
      </c>
      <c r="B2788" s="10" t="s">
        <v>136</v>
      </c>
      <c r="C2788" s="41">
        <f t="array" ref="C2788">IF(IFERROR(INDEX(CATALOG_POINTS,MATCH(A2788,CATALOG_TASK,0)),"")="",IF(MAX(IF(IFERROR(FIND(CATALOG_BASE,A2788),0)=1,CATALOG_POINTS,0))=0,DAILY_POST_POINTS,MAX(IF(IFERROR(FIND(CATALOG_BASE,A2788),0)=1,CATALOG_POINTS,0))),IFERROR(INDEX(CATALOG_POINTS,MATCH(A2788,CATALOG_TASK,0)),""))</f>
        <v>1</v>
      </c>
      <c r="D2788" s="10" t="s">
        <v>1691</v>
      </c>
      <c r="E2788" s="41" t="str">
        <f t="shared" si="1"/>
        <v>PROX3</v>
      </c>
    </row>
    <row r="2789" ht="15.75" customHeight="1">
      <c r="A2789" s="10" t="s">
        <v>178</v>
      </c>
      <c r="B2789" s="10" t="s">
        <v>125</v>
      </c>
      <c r="C2789" s="41">
        <f t="array" ref="C2789">IF(IFERROR(INDEX(CATALOG_POINTS,MATCH(A2789,CATALOG_TASK,0)),"")="",IF(MAX(IF(IFERROR(FIND(CATALOG_BASE,A2789),0)=1,CATALOG_POINTS,0))=0,DAILY_POST_POINTS,MAX(IF(IFERROR(FIND(CATALOG_BASE,A2789),0)=1,CATALOG_POINTS,0))),IFERROR(INDEX(CATALOG_POINTS,MATCH(A2789,CATALOG_TASK,0)),""))</f>
        <v>1</v>
      </c>
      <c r="D2789" s="10" t="s">
        <v>1692</v>
      </c>
      <c r="E2789" s="41" t="str">
        <f t="shared" si="1"/>
        <v>PROX3</v>
      </c>
    </row>
    <row r="2790" ht="15.75" customHeight="1">
      <c r="A2790" s="10" t="s">
        <v>37</v>
      </c>
      <c r="B2790" s="10" t="s">
        <v>123</v>
      </c>
      <c r="C2790" s="41">
        <f t="array" ref="C2790">IF(IFERROR(INDEX(CATALOG_POINTS,MATCH(A2790,CATALOG_TASK,0)),"")="",IF(MAX(IF(IFERROR(FIND(CATALOG_BASE,A2790),0)=1,CATALOG_POINTS,0))=0,DAILY_POST_POINTS,MAX(IF(IFERROR(FIND(CATALOG_BASE,A2790),0)=1,CATALOG_POINTS,0))),IFERROR(INDEX(CATALOG_POINTS,MATCH(A2790,CATALOG_TASK,0)),""))</f>
        <v>2</v>
      </c>
      <c r="D2790" s="10" t="s">
        <v>1692</v>
      </c>
      <c r="E2790" s="41" t="str">
        <f t="shared" si="1"/>
        <v>PROX3</v>
      </c>
    </row>
    <row r="2791" ht="15.75" customHeight="1">
      <c r="A2791" s="10" t="s">
        <v>174</v>
      </c>
      <c r="B2791" s="10" t="s">
        <v>149</v>
      </c>
      <c r="C2791" s="41">
        <f t="array" ref="C2791">IF(IFERROR(INDEX(CATALOG_POINTS,MATCH(A2791,CATALOG_TASK,0)),"")="",IF(MAX(IF(IFERROR(FIND(CATALOG_BASE,A2791),0)=1,CATALOG_POINTS,0))=0,DAILY_POST_POINTS,MAX(IF(IFERROR(FIND(CATALOG_BASE,A2791),0)=1,CATALOG_POINTS,0))),IFERROR(INDEX(CATALOG_POINTS,MATCH(A2791,CATALOG_TASK,0)),""))</f>
        <v>1</v>
      </c>
      <c r="D2791" s="10" t="s">
        <v>1692</v>
      </c>
      <c r="E2791" s="41" t="str">
        <f t="shared" si="1"/>
        <v>PROX3</v>
      </c>
    </row>
    <row r="2792" ht="15.75" customHeight="1">
      <c r="A2792" s="10" t="s">
        <v>1693</v>
      </c>
      <c r="B2792" s="10" t="s">
        <v>131</v>
      </c>
      <c r="C2792" s="41">
        <f t="array" ref="C2792">IF(IFERROR(INDEX(CATALOG_POINTS,MATCH(A2792,CATALOG_TASK,0)),"")="",IF(MAX(IF(IFERROR(FIND(CATALOG_BASE,A2792),0)=1,CATALOG_POINTS,0))=0,DAILY_POST_POINTS,MAX(IF(IFERROR(FIND(CATALOG_BASE,A2792),0)=1,CATALOG_POINTS,0))),IFERROR(INDEX(CATALOG_POINTS,MATCH(A2792,CATALOG_TASK,0)),""))</f>
        <v>1</v>
      </c>
      <c r="D2792" s="10" t="s">
        <v>1693</v>
      </c>
      <c r="E2792" s="41" t="str">
        <f t="shared" si="1"/>
        <v>PROX4</v>
      </c>
    </row>
    <row r="2793" ht="15.75" customHeight="1">
      <c r="A2793" s="10" t="s">
        <v>1694</v>
      </c>
      <c r="B2793" s="10" t="s">
        <v>135</v>
      </c>
      <c r="C2793" s="41">
        <f t="array" ref="C2793">IF(IFERROR(INDEX(CATALOG_POINTS,MATCH(A2793,CATALOG_TASK,0)),"")="",IF(MAX(IF(IFERROR(FIND(CATALOG_BASE,A2793),0)=1,CATALOG_POINTS,0))=0,DAILY_POST_POINTS,MAX(IF(IFERROR(FIND(CATALOG_BASE,A2793),0)=1,CATALOG_POINTS,0))),IFERROR(INDEX(CATALOG_POINTS,MATCH(A2793,CATALOG_TASK,0)),""))</f>
        <v>1</v>
      </c>
      <c r="D2793" s="10" t="s">
        <v>1694</v>
      </c>
      <c r="E2793" s="41" t="str">
        <f t="shared" si="1"/>
        <v/>
      </c>
    </row>
    <row r="2794" ht="15.75" customHeight="1">
      <c r="A2794" s="10" t="s">
        <v>37</v>
      </c>
      <c r="B2794" s="10" t="s">
        <v>117</v>
      </c>
      <c r="C2794" s="41">
        <f t="array" ref="C2794">IF(IFERROR(INDEX(CATALOG_POINTS,MATCH(A2794,CATALOG_TASK,0)),"")="",IF(MAX(IF(IFERROR(FIND(CATALOG_BASE,A2794),0)=1,CATALOG_POINTS,0))=0,DAILY_POST_POINTS,MAX(IF(IFERROR(FIND(CATALOG_BASE,A2794),0)=1,CATALOG_POINTS,0))),IFERROR(INDEX(CATALOG_POINTS,MATCH(A2794,CATALOG_TASK,0)),""))</f>
        <v>2</v>
      </c>
      <c r="D2794" s="10" t="s">
        <v>1694</v>
      </c>
      <c r="E2794" s="41" t="str">
        <f t="shared" si="1"/>
        <v/>
      </c>
    </row>
    <row r="2795" ht="15.75" customHeight="1">
      <c r="A2795" s="10" t="s">
        <v>1695</v>
      </c>
      <c r="B2795" s="10" t="s">
        <v>126</v>
      </c>
      <c r="C2795" s="41">
        <f t="array" ref="C2795">IF(IFERROR(INDEX(CATALOG_POINTS,MATCH(A2795,CATALOG_TASK,0)),"")="",IF(MAX(IF(IFERROR(FIND(CATALOG_BASE,A2795),0)=1,CATALOG_POINTS,0))=0,DAILY_POST_POINTS,MAX(IF(IFERROR(FIND(CATALOG_BASE,A2795),0)=1,CATALOG_POINTS,0))),IFERROR(INDEX(CATALOG_POINTS,MATCH(A2795,CATALOG_TASK,0)),""))</f>
        <v>1</v>
      </c>
      <c r="D2795" s="10" t="s">
        <v>1695</v>
      </c>
      <c r="E2795" s="41" t="str">
        <f t="shared" si="1"/>
        <v>PROX3</v>
      </c>
    </row>
    <row r="2796" ht="15.75" customHeight="1">
      <c r="A2796" s="10" t="s">
        <v>1696</v>
      </c>
      <c r="B2796" s="10" t="s">
        <v>136</v>
      </c>
      <c r="C2796" s="41">
        <f t="array" ref="C2796">IF(IFERROR(INDEX(CATALOG_POINTS,MATCH(A2796,CATALOG_TASK,0)),"")="",IF(MAX(IF(IFERROR(FIND(CATALOG_BASE,A2796),0)=1,CATALOG_POINTS,0))=0,DAILY_POST_POINTS,MAX(IF(IFERROR(FIND(CATALOG_BASE,A2796),0)=1,CATALOG_POINTS,0))),IFERROR(INDEX(CATALOG_POINTS,MATCH(A2796,CATALOG_TASK,0)),""))</f>
        <v>1</v>
      </c>
      <c r="D2796" s="10" t="s">
        <v>1696</v>
      </c>
      <c r="E2796" s="41" t="str">
        <f t="shared" si="1"/>
        <v>PROX3</v>
      </c>
    </row>
    <row r="2797" ht="15.75" customHeight="1">
      <c r="A2797" s="10" t="s">
        <v>1697</v>
      </c>
      <c r="B2797" s="10" t="s">
        <v>135</v>
      </c>
      <c r="C2797" s="41">
        <f t="array" ref="C2797">IF(IFERROR(INDEX(CATALOG_POINTS,MATCH(A2797,CATALOG_TASK,0)),"")="",IF(MAX(IF(IFERROR(FIND(CATALOG_BASE,A2797),0)=1,CATALOG_POINTS,0))=0,DAILY_POST_POINTS,MAX(IF(IFERROR(FIND(CATALOG_BASE,A2797),0)=1,CATALOG_POINTS,0))),IFERROR(INDEX(CATALOG_POINTS,MATCH(A2797,CATALOG_TASK,0)),""))</f>
        <v>1</v>
      </c>
      <c r="D2797" s="10" t="s">
        <v>1697</v>
      </c>
      <c r="E2797" s="41" t="str">
        <f t="shared" si="1"/>
        <v>PROX3</v>
      </c>
    </row>
    <row r="2798" ht="15.75" customHeight="1">
      <c r="A2798" s="10" t="s">
        <v>1698</v>
      </c>
      <c r="B2798" s="10" t="s">
        <v>137</v>
      </c>
      <c r="C2798" s="41">
        <f t="array" ref="C2798">IF(IFERROR(INDEX(CATALOG_POINTS,MATCH(A2798,CATALOG_TASK,0)),"")="",IF(MAX(IF(IFERROR(FIND(CATALOG_BASE,A2798),0)=1,CATALOG_POINTS,0))=0,DAILY_POST_POINTS,MAX(IF(IFERROR(FIND(CATALOG_BASE,A2798),0)=1,CATALOG_POINTS,0))),IFERROR(INDEX(CATALOG_POINTS,MATCH(A2798,CATALOG_TASK,0)),""))</f>
        <v>1</v>
      </c>
      <c r="D2798" s="10" t="s">
        <v>1699</v>
      </c>
      <c r="E2798" s="41" t="str">
        <f t="shared" si="1"/>
        <v>PROX4</v>
      </c>
    </row>
    <row r="2799" ht="15.75" customHeight="1">
      <c r="A2799" s="10" t="s">
        <v>1700</v>
      </c>
      <c r="B2799" s="10" t="s">
        <v>131</v>
      </c>
      <c r="C2799" s="41">
        <f t="array" ref="C2799">IF(IFERROR(INDEX(CATALOG_POINTS,MATCH(A2799,CATALOG_TASK,0)),"")="",IF(MAX(IF(IFERROR(FIND(CATALOG_BASE,A2799),0)=1,CATALOG_POINTS,0))=0,DAILY_POST_POINTS,MAX(IF(IFERROR(FIND(CATALOG_BASE,A2799),0)=1,CATALOG_POINTS,0))),IFERROR(INDEX(CATALOG_POINTS,MATCH(A2799,CATALOG_TASK,0)),""))</f>
        <v>1</v>
      </c>
      <c r="D2799" s="10" t="s">
        <v>1700</v>
      </c>
      <c r="E2799" s="41" t="str">
        <f t="shared" si="1"/>
        <v>PROX3</v>
      </c>
    </row>
    <row r="2800" ht="15.75" customHeight="1">
      <c r="A2800" s="10" t="s">
        <v>37</v>
      </c>
      <c r="B2800" s="10" t="s">
        <v>124</v>
      </c>
      <c r="C2800" s="41">
        <f t="array" ref="C2800">IF(IFERROR(INDEX(CATALOG_POINTS,MATCH(A2800,CATALOG_TASK,0)),"")="",IF(MAX(IF(IFERROR(FIND(CATALOG_BASE,A2800),0)=1,CATALOG_POINTS,0))=0,DAILY_POST_POINTS,MAX(IF(IFERROR(FIND(CATALOG_BASE,A2800),0)=1,CATALOG_POINTS,0))),IFERROR(INDEX(CATALOG_POINTS,MATCH(A2800,CATALOG_TASK,0)),""))</f>
        <v>2</v>
      </c>
      <c r="D2800" s="10" t="s">
        <v>1700</v>
      </c>
      <c r="E2800" s="41" t="str">
        <f t="shared" si="1"/>
        <v>PROX3</v>
      </c>
    </row>
    <row r="2801" ht="15.75" customHeight="1">
      <c r="A2801" s="10" t="s">
        <v>168</v>
      </c>
      <c r="B2801" s="10" t="s">
        <v>124</v>
      </c>
      <c r="C2801" s="41">
        <f t="array" ref="C2801">IF(IFERROR(INDEX(CATALOG_POINTS,MATCH(A2801,CATALOG_TASK,0)),"")="",IF(MAX(IF(IFERROR(FIND(CATALOG_BASE,A2801),0)=1,CATALOG_POINTS,0))=0,DAILY_POST_POINTS,MAX(IF(IFERROR(FIND(CATALOG_BASE,A2801),0)=1,CATALOG_POINTS,0))),IFERROR(INDEX(CATALOG_POINTS,MATCH(A2801,CATALOG_TASK,0)),""))</f>
        <v>1</v>
      </c>
      <c r="D2801" s="10" t="s">
        <v>1700</v>
      </c>
      <c r="E2801" s="41" t="str">
        <f t="shared" si="1"/>
        <v>PROX3</v>
      </c>
    </row>
    <row r="2802" ht="15.75" customHeight="1">
      <c r="A2802" s="10" t="s">
        <v>1701</v>
      </c>
      <c r="B2802" s="10" t="s">
        <v>135</v>
      </c>
      <c r="C2802" s="41">
        <f t="array" ref="C2802">IF(IFERROR(INDEX(CATALOG_POINTS,MATCH(A2802,CATALOG_TASK,0)),"")="",IF(MAX(IF(IFERROR(FIND(CATALOG_BASE,A2802),0)=1,CATALOG_POINTS,0))=0,DAILY_POST_POINTS,MAX(IF(IFERROR(FIND(CATALOG_BASE,A2802),0)=1,CATALOG_POINTS,0))),IFERROR(INDEX(CATALOG_POINTS,MATCH(A2802,CATALOG_TASK,0)),""))</f>
        <v>1</v>
      </c>
      <c r="D2802" s="10" t="s">
        <v>1701</v>
      </c>
      <c r="E2802" s="41" t="str">
        <f t="shared" si="1"/>
        <v/>
      </c>
    </row>
    <row r="2803" ht="15.75" customHeight="1">
      <c r="A2803" s="10" t="s">
        <v>1702</v>
      </c>
      <c r="B2803" s="10" t="s">
        <v>129</v>
      </c>
      <c r="C2803" s="41">
        <f t="array" ref="C2803">IF(IFERROR(INDEX(CATALOG_POINTS,MATCH(A2803,CATALOG_TASK,0)),"")="",IF(MAX(IF(IFERROR(FIND(CATALOG_BASE,A2803),0)=1,CATALOG_POINTS,0))=0,DAILY_POST_POINTS,MAX(IF(IFERROR(FIND(CATALOG_BASE,A2803),0)=1,CATALOG_POINTS,0))),IFERROR(INDEX(CATALOG_POINTS,MATCH(A2803,CATALOG_TASK,0)),""))</f>
        <v>1</v>
      </c>
      <c r="D2803" s="10" t="s">
        <v>1702</v>
      </c>
      <c r="E2803" s="41" t="str">
        <f t="shared" si="1"/>
        <v>PROX3</v>
      </c>
    </row>
    <row r="2804" ht="15.75" customHeight="1">
      <c r="A2804" s="10" t="s">
        <v>1703</v>
      </c>
      <c r="B2804" s="10" t="s">
        <v>132</v>
      </c>
      <c r="C2804" s="41">
        <f t="array" ref="C2804">IF(IFERROR(INDEX(CATALOG_POINTS,MATCH(A2804,CATALOG_TASK,0)),"")="",IF(MAX(IF(IFERROR(FIND(CATALOG_BASE,A2804),0)=1,CATALOG_POINTS,0))=0,DAILY_POST_POINTS,MAX(IF(IFERROR(FIND(CATALOG_BASE,A2804),0)=1,CATALOG_POINTS,0))),IFERROR(INDEX(CATALOG_POINTS,MATCH(A2804,CATALOG_TASK,0)),""))</f>
        <v>1</v>
      </c>
      <c r="D2804" s="10" t="s">
        <v>1703</v>
      </c>
      <c r="E2804" s="41" t="str">
        <f t="shared" si="1"/>
        <v>PROX3</v>
      </c>
    </row>
    <row r="2805" ht="15.75" customHeight="1">
      <c r="A2805" s="10" t="s">
        <v>37</v>
      </c>
      <c r="B2805" s="10" t="s">
        <v>125</v>
      </c>
      <c r="C2805" s="41">
        <f t="array" ref="C2805">IF(IFERROR(INDEX(CATALOG_POINTS,MATCH(A2805,CATALOG_TASK,0)),"")="",IF(MAX(IF(IFERROR(FIND(CATALOG_BASE,A2805),0)=1,CATALOG_POINTS,0))=0,DAILY_POST_POINTS,MAX(IF(IFERROR(FIND(CATALOG_BASE,A2805),0)=1,CATALOG_POINTS,0))),IFERROR(INDEX(CATALOG_POINTS,MATCH(A2805,CATALOG_TASK,0)),""))</f>
        <v>2</v>
      </c>
      <c r="D2805" s="10" t="s">
        <v>1704</v>
      </c>
      <c r="E2805" s="41" t="str">
        <f t="shared" si="1"/>
        <v>PROX3</v>
      </c>
    </row>
    <row r="2806" ht="15.75" customHeight="1">
      <c r="A2806" s="10" t="s">
        <v>1704</v>
      </c>
      <c r="B2806" s="10" t="s">
        <v>122</v>
      </c>
      <c r="C2806" s="41">
        <f t="array" ref="C2806">IF(IFERROR(INDEX(CATALOG_POINTS,MATCH(A2806,CATALOG_TASK,0)),"")="",IF(MAX(IF(IFERROR(FIND(CATALOG_BASE,A2806),0)=1,CATALOG_POINTS,0))=0,DAILY_POST_POINTS,MAX(IF(IFERROR(FIND(CATALOG_BASE,A2806),0)=1,CATALOG_POINTS,0))),IFERROR(INDEX(CATALOG_POINTS,MATCH(A2806,CATALOG_TASK,0)),""))</f>
        <v>1</v>
      </c>
      <c r="D2806" s="10" t="s">
        <v>1704</v>
      </c>
      <c r="E2806" s="41" t="str">
        <f t="shared" si="1"/>
        <v>PROX3</v>
      </c>
    </row>
    <row r="2807" ht="15.75" customHeight="1">
      <c r="A2807" s="10" t="s">
        <v>1705</v>
      </c>
      <c r="B2807" s="10" t="s">
        <v>122</v>
      </c>
      <c r="C2807" s="41">
        <f t="array" ref="C2807">IF(IFERROR(INDEX(CATALOG_POINTS,MATCH(A2807,CATALOG_TASK,0)),"")="",IF(MAX(IF(IFERROR(FIND(CATALOG_BASE,A2807),0)=1,CATALOG_POINTS,0))=0,DAILY_POST_POINTS,MAX(IF(IFERROR(FIND(CATALOG_BASE,A2807),0)=1,CATALOG_POINTS,0))),IFERROR(INDEX(CATALOG_POINTS,MATCH(A2807,CATALOG_TASK,0)),""))</f>
        <v>1</v>
      </c>
      <c r="D2807" s="10" t="s">
        <v>1705</v>
      </c>
      <c r="E2807" s="41" t="str">
        <f t="shared" si="1"/>
        <v>E0</v>
      </c>
    </row>
    <row r="2808" ht="15.75" customHeight="1">
      <c r="A2808" s="10" t="s">
        <v>37</v>
      </c>
      <c r="B2808" s="10" t="s">
        <v>119</v>
      </c>
      <c r="C2808" s="41">
        <f t="array" ref="C2808">IF(IFERROR(INDEX(CATALOG_POINTS,MATCH(A2808,CATALOG_TASK,0)),"")="",IF(MAX(IF(IFERROR(FIND(CATALOG_BASE,A2808),0)=1,CATALOG_POINTS,0))=0,DAILY_POST_POINTS,MAX(IF(IFERROR(FIND(CATALOG_BASE,A2808),0)=1,CATALOG_POINTS,0))),IFERROR(INDEX(CATALOG_POINTS,MATCH(A2808,CATALOG_TASK,0)),""))</f>
        <v>2</v>
      </c>
      <c r="D2808" s="10" t="s">
        <v>1706</v>
      </c>
      <c r="E2808" s="41" t="str">
        <f t="shared" si="1"/>
        <v>PROX4</v>
      </c>
    </row>
    <row r="2809" ht="15.75" customHeight="1">
      <c r="A2809" s="10" t="s">
        <v>37</v>
      </c>
      <c r="B2809" s="10" t="s">
        <v>120</v>
      </c>
      <c r="C2809" s="41">
        <f t="array" ref="C2809">IF(IFERROR(INDEX(CATALOG_POINTS,MATCH(A2809,CATALOG_TASK,0)),"")="",IF(MAX(IF(IFERROR(FIND(CATALOG_BASE,A2809),0)=1,CATALOG_POINTS,0))=0,DAILY_POST_POINTS,MAX(IF(IFERROR(FIND(CATALOG_BASE,A2809),0)=1,CATALOG_POINTS,0))),IFERROR(INDEX(CATALOG_POINTS,MATCH(A2809,CATALOG_TASK,0)),""))</f>
        <v>2</v>
      </c>
      <c r="D2809" s="10" t="s">
        <v>1706</v>
      </c>
      <c r="E2809" s="41" t="str">
        <f t="shared" si="1"/>
        <v>PROX4</v>
      </c>
    </row>
    <row r="2810" ht="15.75" customHeight="1">
      <c r="A2810" s="10" t="s">
        <v>1707</v>
      </c>
      <c r="B2810" s="10" t="s">
        <v>120</v>
      </c>
      <c r="C2810" s="41">
        <f t="array" ref="C2810">IF(IFERROR(INDEX(CATALOG_POINTS,MATCH(A2810,CATALOG_TASK,0)),"")="",IF(MAX(IF(IFERROR(FIND(CATALOG_BASE,A2810),0)=1,CATALOG_POINTS,0))=0,DAILY_POST_POINTS,MAX(IF(IFERROR(FIND(CATALOG_BASE,A2810),0)=1,CATALOG_POINTS,0))),IFERROR(INDEX(CATALOG_POINTS,MATCH(A2810,CATALOG_TASK,0)),""))</f>
        <v>1</v>
      </c>
      <c r="D2810" s="10" t="s">
        <v>1707</v>
      </c>
      <c r="E2810" s="41" t="str">
        <f t="shared" si="1"/>
        <v>PROX3</v>
      </c>
    </row>
    <row r="2811" ht="15.75" customHeight="1">
      <c r="A2811" s="10" t="s">
        <v>1708</v>
      </c>
      <c r="B2811" s="10" t="s">
        <v>121</v>
      </c>
      <c r="C2811" s="41">
        <f t="array" ref="C2811">IF(IFERROR(INDEX(CATALOG_POINTS,MATCH(A2811,CATALOG_TASK,0)),"")="",IF(MAX(IF(IFERROR(FIND(CATALOG_BASE,A2811),0)=1,CATALOG_POINTS,0))=0,DAILY_POST_POINTS,MAX(IF(IFERROR(FIND(CATALOG_BASE,A2811),0)=1,CATALOG_POINTS,0))),IFERROR(INDEX(CATALOG_POINTS,MATCH(A2811,CATALOG_TASK,0)),""))</f>
        <v>1</v>
      </c>
      <c r="D2811" s="10" t="s">
        <v>1708</v>
      </c>
      <c r="E2811" s="41" t="str">
        <f t="shared" si="1"/>
        <v>PROX3</v>
      </c>
    </row>
    <row r="2812" ht="15.75" customHeight="1">
      <c r="A2812" s="10" t="s">
        <v>1709</v>
      </c>
      <c r="B2812" s="10" t="s">
        <v>135</v>
      </c>
      <c r="C2812" s="41">
        <f t="array" ref="C2812">IF(IFERROR(INDEX(CATALOG_POINTS,MATCH(A2812,CATALOG_TASK,0)),"")="",IF(MAX(IF(IFERROR(FIND(CATALOG_BASE,A2812),0)=1,CATALOG_POINTS,0))=0,DAILY_POST_POINTS,MAX(IF(IFERROR(FIND(CATALOG_BASE,A2812),0)=1,CATALOG_POINTS,0))),IFERROR(INDEX(CATALOG_POINTS,MATCH(A2812,CATALOG_TASK,0)),""))</f>
        <v>1</v>
      </c>
      <c r="D2812" s="10" t="s">
        <v>1709</v>
      </c>
      <c r="E2812" s="41" t="str">
        <f t="shared" si="1"/>
        <v>PROX4</v>
      </c>
    </row>
    <row r="2813" ht="15.75" customHeight="1">
      <c r="A2813" s="10" t="s">
        <v>180</v>
      </c>
      <c r="B2813" s="10" t="s">
        <v>138</v>
      </c>
      <c r="C2813" s="41">
        <f t="array" ref="C2813">IF(IFERROR(INDEX(CATALOG_POINTS,MATCH(A2813,CATALOG_TASK,0)),"")="",IF(MAX(IF(IFERROR(FIND(CATALOG_BASE,A2813),0)=1,CATALOG_POINTS,0))=0,DAILY_POST_POINTS,MAX(IF(IFERROR(FIND(CATALOG_BASE,A2813),0)=1,CATALOG_POINTS,0))),IFERROR(INDEX(CATALOG_POINTS,MATCH(A2813,CATALOG_TASK,0)),""))</f>
        <v>1</v>
      </c>
      <c r="D2813" s="10" t="s">
        <v>1710</v>
      </c>
      <c r="E2813" s="41" t="str">
        <f t="shared" si="1"/>
        <v>PROX3</v>
      </c>
    </row>
    <row r="2814" ht="15.75" customHeight="1">
      <c r="A2814" s="10" t="s">
        <v>1711</v>
      </c>
      <c r="B2814" s="10" t="s">
        <v>119</v>
      </c>
      <c r="C2814" s="41">
        <f t="array" ref="C2814">IF(IFERROR(INDEX(CATALOG_POINTS,MATCH(A2814,CATALOG_TASK,0)),"")="",IF(MAX(IF(IFERROR(FIND(CATALOG_BASE,A2814),0)=1,CATALOG_POINTS,0))=0,DAILY_POST_POINTS,MAX(IF(IFERROR(FIND(CATALOG_BASE,A2814),0)=1,CATALOG_POINTS,0))),IFERROR(INDEX(CATALOG_POINTS,MATCH(A2814,CATALOG_TASK,0)),""))</f>
        <v>1</v>
      </c>
      <c r="D2814" s="10" t="s">
        <v>1711</v>
      </c>
      <c r="E2814" s="41" t="str">
        <f t="shared" si="1"/>
        <v>E0</v>
      </c>
    </row>
    <row r="2815" ht="15.75" customHeight="1">
      <c r="A2815" s="10" t="s">
        <v>37</v>
      </c>
      <c r="B2815" s="10" t="s">
        <v>120</v>
      </c>
      <c r="C2815" s="41">
        <f t="array" ref="C2815">IF(IFERROR(INDEX(CATALOG_POINTS,MATCH(A2815,CATALOG_TASK,0)),"")="",IF(MAX(IF(IFERROR(FIND(CATALOG_BASE,A2815),0)=1,CATALOG_POINTS,0))=0,DAILY_POST_POINTS,MAX(IF(IFERROR(FIND(CATALOG_BASE,A2815),0)=1,CATALOG_POINTS,0))),IFERROR(INDEX(CATALOG_POINTS,MATCH(A2815,CATALOG_TASK,0)),""))</f>
        <v>2</v>
      </c>
      <c r="D2815" s="10" t="s">
        <v>1711</v>
      </c>
      <c r="E2815" s="41" t="str">
        <f t="shared" si="1"/>
        <v>E0</v>
      </c>
    </row>
    <row r="2816" ht="15.75" customHeight="1">
      <c r="A2816" s="10" t="s">
        <v>1712</v>
      </c>
      <c r="B2816" s="10" t="s">
        <v>121</v>
      </c>
      <c r="C2816" s="41">
        <f t="array" ref="C2816">IF(IFERROR(INDEX(CATALOG_POINTS,MATCH(A2816,CATALOG_TASK,0)),"")="",IF(MAX(IF(IFERROR(FIND(CATALOG_BASE,A2816),0)=1,CATALOG_POINTS,0))=0,DAILY_POST_POINTS,MAX(IF(IFERROR(FIND(CATALOG_BASE,A2816),0)=1,CATALOG_POINTS,0))),IFERROR(INDEX(CATALOG_POINTS,MATCH(A2816,CATALOG_TASK,0)),""))</f>
        <v>1</v>
      </c>
      <c r="D2816" s="10" t="s">
        <v>1712</v>
      </c>
      <c r="E2816" s="41" t="str">
        <f t="shared" si="1"/>
        <v>PROX3</v>
      </c>
    </row>
    <row r="2817" ht="15.75" customHeight="1">
      <c r="A2817" s="10" t="s">
        <v>1713</v>
      </c>
      <c r="B2817" s="10" t="s">
        <v>123</v>
      </c>
      <c r="C2817" s="41">
        <f t="array" ref="C2817">IF(IFERROR(INDEX(CATALOG_POINTS,MATCH(A2817,CATALOG_TASK,0)),"")="",IF(MAX(IF(IFERROR(FIND(CATALOG_BASE,A2817),0)=1,CATALOG_POINTS,0))=0,DAILY_POST_POINTS,MAX(IF(IFERROR(FIND(CATALOG_BASE,A2817),0)=1,CATALOG_POINTS,0))),IFERROR(INDEX(CATALOG_POINTS,MATCH(A2817,CATALOG_TASK,0)),""))</f>
        <v>1</v>
      </c>
      <c r="D2817" s="10" t="s">
        <v>1713</v>
      </c>
      <c r="E2817" s="41" t="str">
        <f t="shared" si="1"/>
        <v>E0</v>
      </c>
    </row>
    <row r="2818" ht="15.75" customHeight="1">
      <c r="A2818" s="10" t="s">
        <v>1714</v>
      </c>
      <c r="B2818" s="10" t="s">
        <v>117</v>
      </c>
      <c r="C2818" s="41">
        <f t="array" ref="C2818">IF(IFERROR(INDEX(CATALOG_POINTS,MATCH(A2818,CATALOG_TASK,0)),"")="",IF(MAX(IF(IFERROR(FIND(CATALOG_BASE,A2818),0)=1,CATALOG_POINTS,0))=0,DAILY_POST_POINTS,MAX(IF(IFERROR(FIND(CATALOG_BASE,A2818),0)=1,CATALOG_POINTS,0))),IFERROR(INDEX(CATALOG_POINTS,MATCH(A2818,CATALOG_TASK,0)),""))</f>
        <v>1</v>
      </c>
      <c r="D2818" s="10" t="s">
        <v>1714</v>
      </c>
      <c r="E2818" s="41" t="str">
        <f t="shared" si="1"/>
        <v>PROX3</v>
      </c>
    </row>
    <row r="2819" ht="15.75" customHeight="1">
      <c r="A2819" s="10" t="s">
        <v>1715</v>
      </c>
      <c r="B2819" s="10" t="s">
        <v>133</v>
      </c>
      <c r="C2819" s="41">
        <f t="array" ref="C2819">IF(IFERROR(INDEX(CATALOG_POINTS,MATCH(A2819,CATALOG_TASK,0)),"")="",IF(MAX(IF(IFERROR(FIND(CATALOG_BASE,A2819),0)=1,CATALOG_POINTS,0))=0,DAILY_POST_POINTS,MAX(IF(IFERROR(FIND(CATALOG_BASE,A2819),0)=1,CATALOG_POINTS,0))),IFERROR(INDEX(CATALOG_POINTS,MATCH(A2819,CATALOG_TASK,0)),""))</f>
        <v>1</v>
      </c>
      <c r="D2819" s="10" t="s">
        <v>1715</v>
      </c>
      <c r="E2819" s="41" t="str">
        <f t="shared" si="1"/>
        <v>PROX3</v>
      </c>
    </row>
    <row r="2820" ht="15.75" customHeight="1">
      <c r="A2820" s="10" t="s">
        <v>37</v>
      </c>
      <c r="B2820" s="10" t="s">
        <v>123</v>
      </c>
      <c r="C2820" s="41">
        <f t="array" ref="C2820">IF(IFERROR(INDEX(CATALOG_POINTS,MATCH(A2820,CATALOG_TASK,0)),"")="",IF(MAX(IF(IFERROR(FIND(CATALOG_BASE,A2820),0)=1,CATALOG_POINTS,0))=0,DAILY_POST_POINTS,MAX(IF(IFERROR(FIND(CATALOG_BASE,A2820),0)=1,CATALOG_POINTS,0))),IFERROR(INDEX(CATALOG_POINTS,MATCH(A2820,CATALOG_TASK,0)),""))</f>
        <v>2</v>
      </c>
      <c r="D2820" s="10" t="s">
        <v>1715</v>
      </c>
      <c r="E2820" s="41" t="str">
        <f t="shared" si="1"/>
        <v>PROX3</v>
      </c>
    </row>
    <row r="2821" ht="15.75" customHeight="1">
      <c r="A2821" s="10" t="s">
        <v>37</v>
      </c>
      <c r="B2821" s="10" t="s">
        <v>121</v>
      </c>
      <c r="C2821" s="41">
        <f t="array" ref="C2821">IF(IFERROR(INDEX(CATALOG_POINTS,MATCH(A2821,CATALOG_TASK,0)),"")="",IF(MAX(IF(IFERROR(FIND(CATALOG_BASE,A2821),0)=1,CATALOG_POINTS,0))=0,DAILY_POST_POINTS,MAX(IF(IFERROR(FIND(CATALOG_BASE,A2821),0)=1,CATALOG_POINTS,0))),IFERROR(INDEX(CATALOG_POINTS,MATCH(A2821,CATALOG_TASK,0)),""))</f>
        <v>2</v>
      </c>
      <c r="D2821" s="10" t="s">
        <v>1715</v>
      </c>
      <c r="E2821" s="41" t="str">
        <f t="shared" si="1"/>
        <v>PROX3</v>
      </c>
    </row>
    <row r="2822" ht="15.75" customHeight="1">
      <c r="A2822" s="10" t="s">
        <v>1716</v>
      </c>
      <c r="B2822" s="10" t="s">
        <v>123</v>
      </c>
      <c r="C2822" s="41">
        <f t="array" ref="C2822">IF(IFERROR(INDEX(CATALOG_POINTS,MATCH(A2822,CATALOG_TASK,0)),"")="",IF(MAX(IF(IFERROR(FIND(CATALOG_BASE,A2822),0)=1,CATALOG_POINTS,0))=0,DAILY_POST_POINTS,MAX(IF(IFERROR(FIND(CATALOG_BASE,A2822),0)=1,CATALOG_POINTS,0))),IFERROR(INDEX(CATALOG_POINTS,MATCH(A2822,CATALOG_TASK,0)),""))</f>
        <v>1</v>
      </c>
      <c r="D2822" s="10" t="s">
        <v>1716</v>
      </c>
      <c r="E2822" s="41" t="str">
        <f t="shared" si="1"/>
        <v>E0</v>
      </c>
    </row>
    <row r="2823" ht="15.75" customHeight="1">
      <c r="A2823" s="10" t="s">
        <v>1717</v>
      </c>
      <c r="B2823" s="10" t="s">
        <v>120</v>
      </c>
      <c r="C2823" s="41">
        <f t="array" ref="C2823">IF(IFERROR(INDEX(CATALOG_POINTS,MATCH(A2823,CATALOG_TASK,0)),"")="",IF(MAX(IF(IFERROR(FIND(CATALOG_BASE,A2823),0)=1,CATALOG_POINTS,0))=0,DAILY_POST_POINTS,MAX(IF(IFERROR(FIND(CATALOG_BASE,A2823),0)=1,CATALOG_POINTS,0))),IFERROR(INDEX(CATALOG_POINTS,MATCH(A2823,CATALOG_TASK,0)),""))</f>
        <v>1</v>
      </c>
      <c r="D2823" s="10" t="s">
        <v>1717</v>
      </c>
      <c r="E2823" s="41" t="str">
        <f t="shared" si="1"/>
        <v>PROX3</v>
      </c>
    </row>
    <row r="2824" ht="15.75" customHeight="1">
      <c r="A2824" s="10" t="s">
        <v>37</v>
      </c>
      <c r="B2824" s="10" t="s">
        <v>121</v>
      </c>
      <c r="C2824" s="41">
        <f t="array" ref="C2824">IF(IFERROR(INDEX(CATALOG_POINTS,MATCH(A2824,CATALOG_TASK,0)),"")="",IF(MAX(IF(IFERROR(FIND(CATALOG_BASE,A2824),0)=1,CATALOG_POINTS,0))=0,DAILY_POST_POINTS,MAX(IF(IFERROR(FIND(CATALOG_BASE,A2824),0)=1,CATALOG_POINTS,0))),IFERROR(INDEX(CATALOG_POINTS,MATCH(A2824,CATALOG_TASK,0)),""))</f>
        <v>2</v>
      </c>
      <c r="D2824" s="10" t="s">
        <v>1717</v>
      </c>
      <c r="E2824" s="41" t="str">
        <f t="shared" si="1"/>
        <v>PROX3</v>
      </c>
    </row>
    <row r="2825" ht="15.75" customHeight="1">
      <c r="A2825" s="10" t="s">
        <v>1718</v>
      </c>
      <c r="B2825" s="10" t="s">
        <v>129</v>
      </c>
      <c r="C2825" s="41">
        <f t="array" ref="C2825">IF(IFERROR(INDEX(CATALOG_POINTS,MATCH(A2825,CATALOG_TASK,0)),"")="",IF(MAX(IF(IFERROR(FIND(CATALOG_BASE,A2825),0)=1,CATALOG_POINTS,0))=0,DAILY_POST_POINTS,MAX(IF(IFERROR(FIND(CATALOG_BASE,A2825),0)=1,CATALOG_POINTS,0))),IFERROR(INDEX(CATALOG_POINTS,MATCH(A2825,CATALOG_TASK,0)),""))</f>
        <v>1</v>
      </c>
      <c r="D2825" s="10" t="s">
        <v>1718</v>
      </c>
      <c r="E2825" s="41" t="str">
        <f t="shared" si="1"/>
        <v>PROX3</v>
      </c>
    </row>
    <row r="2826" ht="15.75" customHeight="1">
      <c r="A2826" s="10" t="s">
        <v>1719</v>
      </c>
      <c r="B2826" s="10" t="s">
        <v>117</v>
      </c>
      <c r="C2826" s="41">
        <f t="array" ref="C2826">IF(IFERROR(INDEX(CATALOG_POINTS,MATCH(A2826,CATALOG_TASK,0)),"")="",IF(MAX(IF(IFERROR(FIND(CATALOG_BASE,A2826),0)=1,CATALOG_POINTS,0))=0,DAILY_POST_POINTS,MAX(IF(IFERROR(FIND(CATALOG_BASE,A2826),0)=1,CATALOG_POINTS,0))),IFERROR(INDEX(CATALOG_POINTS,MATCH(A2826,CATALOG_TASK,0)),""))</f>
        <v>1</v>
      </c>
      <c r="D2826" s="10" t="s">
        <v>1719</v>
      </c>
      <c r="E2826" s="41" t="str">
        <f t="shared" si="1"/>
        <v>PROX3</v>
      </c>
    </row>
    <row r="2827" ht="15.75" customHeight="1">
      <c r="A2827" s="10" t="s">
        <v>37</v>
      </c>
      <c r="B2827" s="10" t="s">
        <v>122</v>
      </c>
      <c r="C2827" s="41">
        <f t="array" ref="C2827">IF(IFERROR(INDEX(CATALOG_POINTS,MATCH(A2827,CATALOG_TASK,0)),"")="",IF(MAX(IF(IFERROR(FIND(CATALOG_BASE,A2827),0)=1,CATALOG_POINTS,0))=0,DAILY_POST_POINTS,MAX(IF(IFERROR(FIND(CATALOG_BASE,A2827),0)=1,CATALOG_POINTS,0))),IFERROR(INDEX(CATALOG_POINTS,MATCH(A2827,CATALOG_TASK,0)),""))</f>
        <v>2</v>
      </c>
      <c r="D2827" s="10" t="s">
        <v>1719</v>
      </c>
      <c r="E2827" s="41" t="str">
        <f t="shared" si="1"/>
        <v>PROX3</v>
      </c>
    </row>
    <row r="2828" ht="15.75" customHeight="1">
      <c r="A2828" s="10" t="s">
        <v>1720</v>
      </c>
      <c r="B2828" s="10" t="s">
        <v>137</v>
      </c>
      <c r="C2828" s="41">
        <f t="array" ref="C2828">IF(IFERROR(INDEX(CATALOG_POINTS,MATCH(A2828,CATALOG_TASK,0)),"")="",IF(MAX(IF(IFERROR(FIND(CATALOG_BASE,A2828),0)=1,CATALOG_POINTS,0))=0,DAILY_POST_POINTS,MAX(IF(IFERROR(FIND(CATALOG_BASE,A2828),0)=1,CATALOG_POINTS,0))),IFERROR(INDEX(CATALOG_POINTS,MATCH(A2828,CATALOG_TASK,0)),""))</f>
        <v>1</v>
      </c>
      <c r="D2828" s="10" t="s">
        <v>1720</v>
      </c>
      <c r="E2828" s="41" t="str">
        <f t="shared" si="1"/>
        <v>PROX3</v>
      </c>
    </row>
    <row r="2829" ht="15.75" customHeight="1">
      <c r="A2829" s="10" t="s">
        <v>1721</v>
      </c>
      <c r="B2829" s="10" t="s">
        <v>125</v>
      </c>
      <c r="C2829" s="41">
        <f t="array" ref="C2829">IF(IFERROR(INDEX(CATALOG_POINTS,MATCH(A2829,CATALOG_TASK,0)),"")="",IF(MAX(IF(IFERROR(FIND(CATALOG_BASE,A2829),0)=1,CATALOG_POINTS,0))=0,DAILY_POST_POINTS,MAX(IF(IFERROR(FIND(CATALOG_BASE,A2829),0)=1,CATALOG_POINTS,0))),IFERROR(INDEX(CATALOG_POINTS,MATCH(A2829,CATALOG_TASK,0)),""))</f>
        <v>1</v>
      </c>
      <c r="D2829" s="10" t="s">
        <v>1721</v>
      </c>
      <c r="E2829" s="41" t="str">
        <f t="shared" si="1"/>
        <v>PROX3</v>
      </c>
    </row>
    <row r="2830" ht="15.75" customHeight="1">
      <c r="A2830" s="10" t="s">
        <v>1722</v>
      </c>
      <c r="B2830" s="10" t="s">
        <v>123</v>
      </c>
      <c r="C2830" s="41">
        <f t="array" ref="C2830">IF(IFERROR(INDEX(CATALOG_POINTS,MATCH(A2830,CATALOG_TASK,0)),"")="",IF(MAX(IF(IFERROR(FIND(CATALOG_BASE,A2830),0)=1,CATALOG_POINTS,0))=0,DAILY_POST_POINTS,MAX(IF(IFERROR(FIND(CATALOG_BASE,A2830),0)=1,CATALOG_POINTS,0))),IFERROR(INDEX(CATALOG_POINTS,MATCH(A2830,CATALOG_TASK,0)),""))</f>
        <v>1</v>
      </c>
      <c r="D2830" s="10" t="s">
        <v>1722</v>
      </c>
      <c r="E2830" s="41" t="str">
        <f t="shared" si="1"/>
        <v>E0</v>
      </c>
    </row>
    <row r="2831" ht="15.75" customHeight="1">
      <c r="A2831" s="10" t="s">
        <v>1723</v>
      </c>
      <c r="B2831" s="10" t="s">
        <v>119</v>
      </c>
      <c r="C2831" s="41">
        <f t="array" ref="C2831">IF(IFERROR(INDEX(CATALOG_POINTS,MATCH(A2831,CATALOG_TASK,0)),"")="",IF(MAX(IF(IFERROR(FIND(CATALOG_BASE,A2831),0)=1,CATALOG_POINTS,0))=0,DAILY_POST_POINTS,MAX(IF(IFERROR(FIND(CATALOG_BASE,A2831),0)=1,CATALOG_POINTS,0))),IFERROR(INDEX(CATALOG_POINTS,MATCH(A2831,CATALOG_TASK,0)),""))</f>
        <v>1</v>
      </c>
      <c r="D2831" s="10" t="s">
        <v>1723</v>
      </c>
      <c r="E2831" s="41" t="str">
        <f t="shared" si="1"/>
        <v>PROX3</v>
      </c>
    </row>
    <row r="2832" ht="15.75" customHeight="1">
      <c r="A2832" s="10" t="s">
        <v>1724</v>
      </c>
      <c r="B2832" s="10" t="s">
        <v>135</v>
      </c>
      <c r="C2832" s="41">
        <f t="array" ref="C2832">IF(IFERROR(INDEX(CATALOG_POINTS,MATCH(A2832,CATALOG_TASK,0)),"")="",IF(MAX(IF(IFERROR(FIND(CATALOG_BASE,A2832),0)=1,CATALOG_POINTS,0))=0,DAILY_POST_POINTS,MAX(IF(IFERROR(FIND(CATALOG_BASE,A2832),0)=1,CATALOG_POINTS,0))),IFERROR(INDEX(CATALOG_POINTS,MATCH(A2832,CATALOG_TASK,0)),""))</f>
        <v>1</v>
      </c>
      <c r="D2832" s="10" t="s">
        <v>1724</v>
      </c>
      <c r="E2832" s="41" t="str">
        <f t="shared" si="1"/>
        <v>PROX3</v>
      </c>
    </row>
    <row r="2833" ht="15.75" customHeight="1">
      <c r="A2833" s="10" t="s">
        <v>37</v>
      </c>
      <c r="B2833" s="10" t="s">
        <v>122</v>
      </c>
      <c r="C2833" s="41">
        <f t="array" ref="C2833">IF(IFERROR(INDEX(CATALOG_POINTS,MATCH(A2833,CATALOG_TASK,0)),"")="",IF(MAX(IF(IFERROR(FIND(CATALOG_BASE,A2833),0)=1,CATALOG_POINTS,0))=0,DAILY_POST_POINTS,MAX(IF(IFERROR(FIND(CATALOG_BASE,A2833),0)=1,CATALOG_POINTS,0))),IFERROR(INDEX(CATALOG_POINTS,MATCH(A2833,CATALOG_TASK,0)),""))</f>
        <v>2</v>
      </c>
      <c r="D2833" s="10" t="s">
        <v>1725</v>
      </c>
      <c r="E2833" s="41" t="str">
        <f t="shared" si="1"/>
        <v>PROX4</v>
      </c>
    </row>
    <row r="2834" ht="15.75" customHeight="1">
      <c r="A2834" s="10" t="s">
        <v>1725</v>
      </c>
      <c r="B2834" s="10" t="s">
        <v>136</v>
      </c>
      <c r="C2834" s="41">
        <f t="array" ref="C2834">IF(IFERROR(INDEX(CATALOG_POINTS,MATCH(A2834,CATALOG_TASK,0)),"")="",IF(MAX(IF(IFERROR(FIND(CATALOG_BASE,A2834),0)=1,CATALOG_POINTS,0))=0,DAILY_POST_POINTS,MAX(IF(IFERROR(FIND(CATALOG_BASE,A2834),0)=1,CATALOG_POINTS,0))),IFERROR(INDEX(CATALOG_POINTS,MATCH(A2834,CATALOG_TASK,0)),""))</f>
        <v>1</v>
      </c>
      <c r="D2834" s="10" t="s">
        <v>1725</v>
      </c>
      <c r="E2834" s="41" t="str">
        <f t="shared" si="1"/>
        <v>PROX4</v>
      </c>
    </row>
    <row r="2835" ht="15.75" customHeight="1">
      <c r="A2835" s="10" t="s">
        <v>37</v>
      </c>
      <c r="B2835" s="10" t="s">
        <v>123</v>
      </c>
      <c r="C2835" s="41">
        <f t="array" ref="C2835">IF(IFERROR(INDEX(CATALOG_POINTS,MATCH(A2835,CATALOG_TASK,0)),"")="",IF(MAX(IF(IFERROR(FIND(CATALOG_BASE,A2835),0)=1,CATALOG_POINTS,0))=0,DAILY_POST_POINTS,MAX(IF(IFERROR(FIND(CATALOG_BASE,A2835),0)=1,CATALOG_POINTS,0))),IFERROR(INDEX(CATALOG_POINTS,MATCH(A2835,CATALOG_TASK,0)),""))</f>
        <v>2</v>
      </c>
      <c r="D2835" s="10" t="s">
        <v>1726</v>
      </c>
      <c r="E2835" s="41" t="str">
        <f t="shared" si="1"/>
        <v>PROX4</v>
      </c>
    </row>
    <row r="2836" ht="15.75" customHeight="1">
      <c r="A2836" s="10" t="s">
        <v>37</v>
      </c>
      <c r="B2836" s="10" t="s">
        <v>121</v>
      </c>
      <c r="C2836" s="41">
        <f t="array" ref="C2836">IF(IFERROR(INDEX(CATALOG_POINTS,MATCH(A2836,CATALOG_TASK,0)),"")="",IF(MAX(IF(IFERROR(FIND(CATALOG_BASE,A2836),0)=1,CATALOG_POINTS,0))=0,DAILY_POST_POINTS,MAX(IF(IFERROR(FIND(CATALOG_BASE,A2836),0)=1,CATALOG_POINTS,0))),IFERROR(INDEX(CATALOG_POINTS,MATCH(A2836,CATALOG_TASK,0)),""))</f>
        <v>2</v>
      </c>
      <c r="D2836" s="10" t="s">
        <v>1726</v>
      </c>
      <c r="E2836" s="41" t="str">
        <f t="shared" si="1"/>
        <v>PROX4</v>
      </c>
    </row>
    <row r="2837" ht="15.75" customHeight="1">
      <c r="A2837" s="10" t="s">
        <v>1726</v>
      </c>
      <c r="B2837" s="10" t="s">
        <v>121</v>
      </c>
      <c r="C2837" s="41">
        <f t="array" ref="C2837">IF(IFERROR(INDEX(CATALOG_POINTS,MATCH(A2837,CATALOG_TASK,0)),"")="",IF(MAX(IF(IFERROR(FIND(CATALOG_BASE,A2837),0)=1,CATALOG_POINTS,0))=0,DAILY_POST_POINTS,MAX(IF(IFERROR(FIND(CATALOG_BASE,A2837),0)=1,CATALOG_POINTS,0))),IFERROR(INDEX(CATALOG_POINTS,MATCH(A2837,CATALOG_TASK,0)),""))</f>
        <v>1</v>
      </c>
      <c r="D2837" s="10" t="s">
        <v>1726</v>
      </c>
      <c r="E2837" s="41" t="str">
        <f t="shared" si="1"/>
        <v>PROX4</v>
      </c>
    </row>
    <row r="2838" ht="15.75" customHeight="1">
      <c r="A2838" s="10" t="s">
        <v>1727</v>
      </c>
      <c r="B2838" s="10" t="s">
        <v>137</v>
      </c>
      <c r="C2838" s="41">
        <f t="array" ref="C2838">IF(IFERROR(INDEX(CATALOG_POINTS,MATCH(A2838,CATALOG_TASK,0)),"")="",IF(MAX(IF(IFERROR(FIND(CATALOG_BASE,A2838),0)=1,CATALOG_POINTS,0))=0,DAILY_POST_POINTS,MAX(IF(IFERROR(FIND(CATALOG_BASE,A2838),0)=1,CATALOG_POINTS,0))),IFERROR(INDEX(CATALOG_POINTS,MATCH(A2838,CATALOG_TASK,0)),""))</f>
        <v>1</v>
      </c>
      <c r="D2838" s="10" t="s">
        <v>1727</v>
      </c>
      <c r="E2838" s="41" t="str">
        <f t="shared" si="1"/>
        <v>PROX3</v>
      </c>
    </row>
    <row r="2839" ht="15.75" customHeight="1">
      <c r="A2839" s="10" t="s">
        <v>1728</v>
      </c>
      <c r="B2839" s="10" t="s">
        <v>136</v>
      </c>
      <c r="C2839" s="41">
        <f t="array" ref="C2839">IF(IFERROR(INDEX(CATALOG_POINTS,MATCH(A2839,CATALOG_TASK,0)),"")="",IF(MAX(IF(IFERROR(FIND(CATALOG_BASE,A2839),0)=1,CATALOG_POINTS,0))=0,DAILY_POST_POINTS,MAX(IF(IFERROR(FIND(CATALOG_BASE,A2839),0)=1,CATALOG_POINTS,0))),IFERROR(INDEX(CATALOG_POINTS,MATCH(A2839,CATALOG_TASK,0)),""))</f>
        <v>1</v>
      </c>
      <c r="D2839" s="10" t="s">
        <v>1728</v>
      </c>
      <c r="E2839" s="41" t="str">
        <f t="shared" si="1"/>
        <v>PROX4</v>
      </c>
    </row>
    <row r="2840" ht="15.75" customHeight="1">
      <c r="A2840" s="10" t="s">
        <v>37</v>
      </c>
      <c r="B2840" s="10" t="s">
        <v>127</v>
      </c>
      <c r="C2840" s="41">
        <f t="array" ref="C2840">IF(IFERROR(INDEX(CATALOG_POINTS,MATCH(A2840,CATALOG_TASK,0)),"")="",IF(MAX(IF(IFERROR(FIND(CATALOG_BASE,A2840),0)=1,CATALOG_POINTS,0))=0,DAILY_POST_POINTS,MAX(IF(IFERROR(FIND(CATALOG_BASE,A2840),0)=1,CATALOG_POINTS,0))),IFERROR(INDEX(CATALOG_POINTS,MATCH(A2840,CATALOG_TASK,0)),""))</f>
        <v>2</v>
      </c>
      <c r="D2840" s="10" t="s">
        <v>1729</v>
      </c>
      <c r="E2840" s="41" t="str">
        <f t="shared" si="1"/>
        <v>PROX4</v>
      </c>
    </row>
    <row r="2841" ht="15.75" customHeight="1">
      <c r="A2841" s="10" t="s">
        <v>37</v>
      </c>
      <c r="B2841" s="10" t="s">
        <v>125</v>
      </c>
      <c r="C2841" s="41">
        <f t="array" ref="C2841">IF(IFERROR(INDEX(CATALOG_POINTS,MATCH(A2841,CATALOG_TASK,0)),"")="",IF(MAX(IF(IFERROR(FIND(CATALOG_BASE,A2841),0)=1,CATALOG_POINTS,0))=0,DAILY_POST_POINTS,MAX(IF(IFERROR(FIND(CATALOG_BASE,A2841),0)=1,CATALOG_POINTS,0))),IFERROR(INDEX(CATALOG_POINTS,MATCH(A2841,CATALOG_TASK,0)),""))</f>
        <v>2</v>
      </c>
      <c r="D2841" s="10" t="s">
        <v>1729</v>
      </c>
      <c r="E2841" s="41" t="str">
        <f t="shared" si="1"/>
        <v>PROX4</v>
      </c>
    </row>
    <row r="2842" ht="15.75" customHeight="1">
      <c r="A2842" s="10" t="s">
        <v>37</v>
      </c>
      <c r="B2842" s="10" t="s">
        <v>119</v>
      </c>
      <c r="C2842" s="41">
        <f t="array" ref="C2842">IF(IFERROR(INDEX(CATALOG_POINTS,MATCH(A2842,CATALOG_TASK,0)),"")="",IF(MAX(IF(IFERROR(FIND(CATALOG_BASE,A2842),0)=1,CATALOG_POINTS,0))=0,DAILY_POST_POINTS,MAX(IF(IFERROR(FIND(CATALOG_BASE,A2842),0)=1,CATALOG_POINTS,0))),IFERROR(INDEX(CATALOG_POINTS,MATCH(A2842,CATALOG_TASK,0)),""))</f>
        <v>2</v>
      </c>
      <c r="D2842" s="10" t="s">
        <v>1729</v>
      </c>
      <c r="E2842" s="41" t="str">
        <f t="shared" si="1"/>
        <v>PROX4</v>
      </c>
    </row>
    <row r="2843" ht="15.75" customHeight="1">
      <c r="A2843" s="10" t="s">
        <v>37</v>
      </c>
      <c r="B2843" s="10" t="s">
        <v>122</v>
      </c>
      <c r="C2843" s="41">
        <f t="array" ref="C2843">IF(IFERROR(INDEX(CATALOG_POINTS,MATCH(A2843,CATALOG_TASK,0)),"")="",IF(MAX(IF(IFERROR(FIND(CATALOG_BASE,A2843),0)=1,CATALOG_POINTS,0))=0,DAILY_POST_POINTS,MAX(IF(IFERROR(FIND(CATALOG_BASE,A2843),0)=1,CATALOG_POINTS,0))),IFERROR(INDEX(CATALOG_POINTS,MATCH(A2843,CATALOG_TASK,0)),""))</f>
        <v>2</v>
      </c>
      <c r="D2843" s="10" t="s">
        <v>1729</v>
      </c>
      <c r="E2843" s="41" t="str">
        <f t="shared" si="1"/>
        <v>PROX4</v>
      </c>
    </row>
    <row r="2844" ht="15.75" customHeight="1">
      <c r="A2844" s="10" t="s">
        <v>1729</v>
      </c>
      <c r="B2844" s="10" t="s">
        <v>133</v>
      </c>
      <c r="C2844" s="41">
        <f t="array" ref="C2844">IF(IFERROR(INDEX(CATALOG_POINTS,MATCH(A2844,CATALOG_TASK,0)),"")="",IF(MAX(IF(IFERROR(FIND(CATALOG_BASE,A2844),0)=1,CATALOG_POINTS,0))=0,DAILY_POST_POINTS,MAX(IF(IFERROR(FIND(CATALOG_BASE,A2844),0)=1,CATALOG_POINTS,0))),IFERROR(INDEX(CATALOG_POINTS,MATCH(A2844,CATALOG_TASK,0)),""))</f>
        <v>1</v>
      </c>
      <c r="D2844" s="10" t="s">
        <v>1729</v>
      </c>
      <c r="E2844" s="41" t="str">
        <f t="shared" si="1"/>
        <v>PROX4</v>
      </c>
    </row>
    <row r="2845" ht="15.75" customHeight="1">
      <c r="A2845" s="10" t="s">
        <v>1730</v>
      </c>
      <c r="B2845" s="10" t="s">
        <v>132</v>
      </c>
      <c r="C2845" s="41">
        <f t="array" ref="C2845">IF(IFERROR(INDEX(CATALOG_POINTS,MATCH(A2845,CATALOG_TASK,0)),"")="",IF(MAX(IF(IFERROR(FIND(CATALOG_BASE,A2845),0)=1,CATALOG_POINTS,0))=0,DAILY_POST_POINTS,MAX(IF(IFERROR(FIND(CATALOG_BASE,A2845),0)=1,CATALOG_POINTS,0))),IFERROR(INDEX(CATALOG_POINTS,MATCH(A2845,CATALOG_TASK,0)),""))</f>
        <v>1</v>
      </c>
      <c r="D2845" s="10" t="s">
        <v>1730</v>
      </c>
      <c r="E2845" s="41" t="str">
        <f t="shared" si="1"/>
        <v>PROX4</v>
      </c>
    </row>
    <row r="2846" ht="15.75" customHeight="1">
      <c r="A2846" s="10" t="s">
        <v>24</v>
      </c>
      <c r="B2846" s="10" t="s">
        <v>121</v>
      </c>
      <c r="C2846" s="41">
        <f t="array" ref="C2846">IF(IFERROR(INDEX(CATALOG_POINTS,MATCH(A2846,CATALOG_TASK,0)),"")="",IF(MAX(IF(IFERROR(FIND(CATALOG_BASE,A2846),0)=1,CATALOG_POINTS,0))=0,DAILY_POST_POINTS,MAX(IF(IFERROR(FIND(CATALOG_BASE,A2846),0)=1,CATALOG_POINTS,0))),IFERROR(INDEX(CATALOG_POINTS,MATCH(A2846,CATALOG_TASK,0)),""))</f>
        <v>2</v>
      </c>
      <c r="D2846" s="10" t="s">
        <v>1731</v>
      </c>
      <c r="E2846" s="41" t="str">
        <f t="shared" si="1"/>
        <v>PROX3</v>
      </c>
    </row>
    <row r="2847" ht="15.75" customHeight="1">
      <c r="A2847" s="10" t="s">
        <v>174</v>
      </c>
      <c r="B2847" s="10" t="s">
        <v>123</v>
      </c>
      <c r="C2847" s="41">
        <f t="array" ref="C2847">IF(IFERROR(INDEX(CATALOG_POINTS,MATCH(A2847,CATALOG_TASK,0)),"")="",IF(MAX(IF(IFERROR(FIND(CATALOG_BASE,A2847),0)=1,CATALOG_POINTS,0))=0,DAILY_POST_POINTS,MAX(IF(IFERROR(FIND(CATALOG_BASE,A2847),0)=1,CATALOG_POINTS,0))),IFERROR(INDEX(CATALOG_POINTS,MATCH(A2847,CATALOG_TASK,0)),""))</f>
        <v>1</v>
      </c>
      <c r="D2847" s="10" t="s">
        <v>1731</v>
      </c>
      <c r="E2847" s="41" t="str">
        <f t="shared" si="1"/>
        <v>PROX3</v>
      </c>
    </row>
    <row r="2848" ht="15.75" customHeight="1">
      <c r="A2848" s="10" t="s">
        <v>24</v>
      </c>
      <c r="B2848" s="10" t="s">
        <v>128</v>
      </c>
      <c r="C2848" s="41">
        <f t="array" ref="C2848">IF(IFERROR(INDEX(CATALOG_POINTS,MATCH(A2848,CATALOG_TASK,0)),"")="",IF(MAX(IF(IFERROR(FIND(CATALOG_BASE,A2848),0)=1,CATALOG_POINTS,0))=0,DAILY_POST_POINTS,MAX(IF(IFERROR(FIND(CATALOG_BASE,A2848),0)=1,CATALOG_POINTS,0))),IFERROR(INDEX(CATALOG_POINTS,MATCH(A2848,CATALOG_TASK,0)),""))</f>
        <v>2</v>
      </c>
      <c r="D2848" s="10" t="s">
        <v>1732</v>
      </c>
      <c r="E2848" s="41" t="str">
        <f t="shared" si="1"/>
        <v>PROX3</v>
      </c>
    </row>
    <row r="2849" ht="15.75" customHeight="1">
      <c r="A2849" s="10" t="s">
        <v>37</v>
      </c>
      <c r="B2849" s="10" t="s">
        <v>128</v>
      </c>
      <c r="C2849" s="41">
        <f t="array" ref="C2849">IF(IFERROR(INDEX(CATALOG_POINTS,MATCH(A2849,CATALOG_TASK,0)),"")="",IF(MAX(IF(IFERROR(FIND(CATALOG_BASE,A2849),0)=1,CATALOG_POINTS,0))=0,DAILY_POST_POINTS,MAX(IF(IFERROR(FIND(CATALOG_BASE,A2849),0)=1,CATALOG_POINTS,0))),IFERROR(INDEX(CATALOG_POINTS,MATCH(A2849,CATALOG_TASK,0)),""))</f>
        <v>2</v>
      </c>
      <c r="D2849" s="10" t="s">
        <v>1732</v>
      </c>
      <c r="E2849" s="41" t="str">
        <f t="shared" si="1"/>
        <v>PROX3</v>
      </c>
    </row>
    <row r="2850" ht="15.75" customHeight="1">
      <c r="A2850" s="10" t="s">
        <v>180</v>
      </c>
      <c r="B2850" s="10" t="s">
        <v>138</v>
      </c>
      <c r="C2850" s="41">
        <f t="array" ref="C2850">IF(IFERROR(INDEX(CATALOG_POINTS,MATCH(A2850,CATALOG_TASK,0)),"")="",IF(MAX(IF(IFERROR(FIND(CATALOG_BASE,A2850),0)=1,CATALOG_POINTS,0))=0,DAILY_POST_POINTS,MAX(IF(IFERROR(FIND(CATALOG_BASE,A2850),0)=1,CATALOG_POINTS,0))),IFERROR(INDEX(CATALOG_POINTS,MATCH(A2850,CATALOG_TASK,0)),""))</f>
        <v>1</v>
      </c>
      <c r="D2850" s="10" t="s">
        <v>1732</v>
      </c>
      <c r="E2850" s="41" t="str">
        <f t="shared" si="1"/>
        <v>PROX3</v>
      </c>
    </row>
    <row r="2851" ht="15.75" customHeight="1">
      <c r="A2851" s="10" t="s">
        <v>174</v>
      </c>
      <c r="B2851" s="10" t="s">
        <v>127</v>
      </c>
      <c r="C2851" s="41">
        <f t="array" ref="C2851">IF(IFERROR(INDEX(CATALOG_POINTS,MATCH(A2851,CATALOG_TASK,0)),"")="",IF(MAX(IF(IFERROR(FIND(CATALOG_BASE,A2851),0)=1,CATALOG_POINTS,0))=0,DAILY_POST_POINTS,MAX(IF(IFERROR(FIND(CATALOG_BASE,A2851),0)=1,CATALOG_POINTS,0))),IFERROR(INDEX(CATALOG_POINTS,MATCH(A2851,CATALOG_TASK,0)),""))</f>
        <v>1</v>
      </c>
      <c r="D2851" s="10" t="s">
        <v>1732</v>
      </c>
      <c r="E2851" s="41" t="str">
        <f t="shared" si="1"/>
        <v>PROX3</v>
      </c>
    </row>
    <row r="2852" ht="15.75" customHeight="1">
      <c r="A2852" s="10" t="s">
        <v>1733</v>
      </c>
      <c r="B2852" s="10" t="s">
        <v>133</v>
      </c>
      <c r="C2852" s="41">
        <f t="array" ref="C2852">IF(IFERROR(INDEX(CATALOG_POINTS,MATCH(A2852,CATALOG_TASK,0)),"")="",IF(MAX(IF(IFERROR(FIND(CATALOG_BASE,A2852),0)=1,CATALOG_POINTS,0))=0,DAILY_POST_POINTS,MAX(IF(IFERROR(FIND(CATALOG_BASE,A2852),0)=1,CATALOG_POINTS,0))),IFERROR(INDEX(CATALOG_POINTS,MATCH(A2852,CATALOG_TASK,0)),""))</f>
        <v>1</v>
      </c>
      <c r="D2852" s="10" t="s">
        <v>1733</v>
      </c>
      <c r="E2852" s="41" t="str">
        <f t="shared" si="1"/>
        <v>PROX4</v>
      </c>
    </row>
    <row r="2853" ht="15.75" customHeight="1">
      <c r="A2853" s="10" t="s">
        <v>37</v>
      </c>
      <c r="B2853" s="10" t="s">
        <v>123</v>
      </c>
      <c r="C2853" s="41">
        <f t="array" ref="C2853">IF(IFERROR(INDEX(CATALOG_POINTS,MATCH(A2853,CATALOG_TASK,0)),"")="",IF(MAX(IF(IFERROR(FIND(CATALOG_BASE,A2853),0)=1,CATALOG_POINTS,0))=0,DAILY_POST_POINTS,MAX(IF(IFERROR(FIND(CATALOG_BASE,A2853),0)=1,CATALOG_POINTS,0))),IFERROR(INDEX(CATALOG_POINTS,MATCH(A2853,CATALOG_TASK,0)),""))</f>
        <v>2</v>
      </c>
      <c r="D2853" s="10" t="s">
        <v>1734</v>
      </c>
      <c r="E2853" s="41" t="str">
        <f t="shared" si="1"/>
        <v>PROX3</v>
      </c>
    </row>
    <row r="2854" ht="15.75" customHeight="1">
      <c r="A2854" s="10" t="s">
        <v>1734</v>
      </c>
      <c r="B2854" s="10" t="s">
        <v>128</v>
      </c>
      <c r="C2854" s="41">
        <f t="array" ref="C2854">IF(IFERROR(INDEX(CATALOG_POINTS,MATCH(A2854,CATALOG_TASK,0)),"")="",IF(MAX(IF(IFERROR(FIND(CATALOG_BASE,A2854),0)=1,CATALOG_POINTS,0))=0,DAILY_POST_POINTS,MAX(IF(IFERROR(FIND(CATALOG_BASE,A2854),0)=1,CATALOG_POINTS,0))),IFERROR(INDEX(CATALOG_POINTS,MATCH(A2854,CATALOG_TASK,0)),""))</f>
        <v>1</v>
      </c>
      <c r="D2854" s="10" t="s">
        <v>1734</v>
      </c>
      <c r="E2854" s="41" t="str">
        <f t="shared" si="1"/>
        <v>PROX3</v>
      </c>
    </row>
    <row r="2855" ht="15.75" customHeight="1">
      <c r="A2855" s="10" t="s">
        <v>37</v>
      </c>
      <c r="B2855" s="10" t="s">
        <v>126</v>
      </c>
      <c r="C2855" s="41">
        <f t="array" ref="C2855">IF(IFERROR(INDEX(CATALOG_POINTS,MATCH(A2855,CATALOG_TASK,0)),"")="",IF(MAX(IF(IFERROR(FIND(CATALOG_BASE,A2855),0)=1,CATALOG_POINTS,0))=0,DAILY_POST_POINTS,MAX(IF(IFERROR(FIND(CATALOG_BASE,A2855),0)=1,CATALOG_POINTS,0))),IFERROR(INDEX(CATALOG_POINTS,MATCH(A2855,CATALOG_TASK,0)),""))</f>
        <v>2</v>
      </c>
      <c r="D2855" s="10" t="s">
        <v>1735</v>
      </c>
      <c r="E2855" s="41" t="str">
        <f t="shared" si="1"/>
        <v>PROX4</v>
      </c>
    </row>
    <row r="2856" ht="15.75" customHeight="1">
      <c r="A2856" s="10" t="s">
        <v>1735</v>
      </c>
      <c r="B2856" s="10" t="s">
        <v>119</v>
      </c>
      <c r="C2856" s="41">
        <f t="array" ref="C2856">IF(IFERROR(INDEX(CATALOG_POINTS,MATCH(A2856,CATALOG_TASK,0)),"")="",IF(MAX(IF(IFERROR(FIND(CATALOG_BASE,A2856),0)=1,CATALOG_POINTS,0))=0,DAILY_POST_POINTS,MAX(IF(IFERROR(FIND(CATALOG_BASE,A2856),0)=1,CATALOG_POINTS,0))),IFERROR(INDEX(CATALOG_POINTS,MATCH(A2856,CATALOG_TASK,0)),""))</f>
        <v>1</v>
      </c>
      <c r="D2856" s="10" t="s">
        <v>1735</v>
      </c>
      <c r="E2856" s="41" t="str">
        <f t="shared" si="1"/>
        <v>PROX4</v>
      </c>
    </row>
    <row r="2857" ht="15.75" customHeight="1">
      <c r="A2857" s="10" t="s">
        <v>168</v>
      </c>
      <c r="B2857" s="10" t="s">
        <v>127</v>
      </c>
      <c r="C2857" s="41">
        <f t="array" ref="C2857">IF(IFERROR(INDEX(CATALOG_POINTS,MATCH(A2857,CATALOG_TASK,0)),"")="",IF(MAX(IF(IFERROR(FIND(CATALOG_BASE,A2857),0)=1,CATALOG_POINTS,0))=0,DAILY_POST_POINTS,MAX(IF(IFERROR(FIND(CATALOG_BASE,A2857),0)=1,CATALOG_POINTS,0))),IFERROR(INDEX(CATALOG_POINTS,MATCH(A2857,CATALOG_TASK,0)),""))</f>
        <v>1</v>
      </c>
      <c r="D2857" s="10" t="s">
        <v>1735</v>
      </c>
      <c r="E2857" s="41" t="str">
        <f t="shared" si="1"/>
        <v>PROX4</v>
      </c>
    </row>
    <row r="2858" ht="15.75" customHeight="1">
      <c r="A2858" s="10" t="s">
        <v>37</v>
      </c>
      <c r="B2858" s="10" t="s">
        <v>122</v>
      </c>
      <c r="C2858" s="41">
        <f t="array" ref="C2858">IF(IFERROR(INDEX(CATALOG_POINTS,MATCH(A2858,CATALOG_TASK,0)),"")="",IF(MAX(IF(IFERROR(FIND(CATALOG_BASE,A2858),0)=1,CATALOG_POINTS,0))=0,DAILY_POST_POINTS,MAX(IF(IFERROR(FIND(CATALOG_BASE,A2858),0)=1,CATALOG_POINTS,0))),IFERROR(INDEX(CATALOG_POINTS,MATCH(A2858,CATALOG_TASK,0)),""))</f>
        <v>2</v>
      </c>
      <c r="D2858" s="10" t="s">
        <v>1736</v>
      </c>
      <c r="E2858" s="41" t="str">
        <f t="shared" si="1"/>
        <v>PROX4</v>
      </c>
    </row>
    <row r="2859" ht="15.75" customHeight="1">
      <c r="A2859" s="10" t="s">
        <v>1736</v>
      </c>
      <c r="B2859" s="10" t="s">
        <v>117</v>
      </c>
      <c r="C2859" s="41">
        <f t="array" ref="C2859">IF(IFERROR(INDEX(CATALOG_POINTS,MATCH(A2859,CATALOG_TASK,0)),"")="",IF(MAX(IF(IFERROR(FIND(CATALOG_BASE,A2859),0)=1,CATALOG_POINTS,0))=0,DAILY_POST_POINTS,MAX(IF(IFERROR(FIND(CATALOG_BASE,A2859),0)=1,CATALOG_POINTS,0))),IFERROR(INDEX(CATALOG_POINTS,MATCH(A2859,CATALOG_TASK,0)),""))</f>
        <v>1</v>
      </c>
      <c r="D2859" s="10" t="s">
        <v>1736</v>
      </c>
      <c r="E2859" s="41" t="str">
        <f t="shared" si="1"/>
        <v>PROX4</v>
      </c>
    </row>
    <row r="2860" ht="15.75" customHeight="1">
      <c r="A2860" s="10" t="s">
        <v>1737</v>
      </c>
      <c r="B2860" s="10" t="s">
        <v>137</v>
      </c>
      <c r="C2860" s="41">
        <f t="array" ref="C2860">IF(IFERROR(INDEX(CATALOG_POINTS,MATCH(A2860,CATALOG_TASK,0)),"")="",IF(MAX(IF(IFERROR(FIND(CATALOG_BASE,A2860),0)=1,CATALOG_POINTS,0))=0,DAILY_POST_POINTS,MAX(IF(IFERROR(FIND(CATALOG_BASE,A2860),0)=1,CATALOG_POINTS,0))),IFERROR(INDEX(CATALOG_POINTS,MATCH(A2860,CATALOG_TASK,0)),""))</f>
        <v>1</v>
      </c>
      <c r="D2860" s="10" t="s">
        <v>1737</v>
      </c>
      <c r="E2860" s="41" t="str">
        <f t="shared" si="1"/>
        <v>PROX3</v>
      </c>
    </row>
    <row r="2861" ht="15.75" customHeight="1">
      <c r="A2861" s="10" t="s">
        <v>1738</v>
      </c>
      <c r="B2861" s="10" t="s">
        <v>132</v>
      </c>
      <c r="C2861" s="41">
        <f t="array" ref="C2861">IF(IFERROR(INDEX(CATALOG_POINTS,MATCH(A2861,CATALOG_TASK,0)),"")="",IF(MAX(IF(IFERROR(FIND(CATALOG_BASE,A2861),0)=1,CATALOG_POINTS,0))=0,DAILY_POST_POINTS,MAX(IF(IFERROR(FIND(CATALOG_BASE,A2861),0)=1,CATALOG_POINTS,0))),IFERROR(INDEX(CATALOG_POINTS,MATCH(A2861,CATALOG_TASK,0)),""))</f>
        <v>1</v>
      </c>
      <c r="D2861" s="10" t="s">
        <v>1738</v>
      </c>
      <c r="E2861" s="41" t="str">
        <f t="shared" si="1"/>
        <v>PROX3</v>
      </c>
    </row>
    <row r="2862" ht="15.75" customHeight="1">
      <c r="A2862" s="10" t="s">
        <v>37</v>
      </c>
      <c r="B2862" s="10" t="s">
        <v>121</v>
      </c>
      <c r="C2862" s="41">
        <f t="array" ref="C2862">IF(IFERROR(INDEX(CATALOG_POINTS,MATCH(A2862,CATALOG_TASK,0)),"")="",IF(MAX(IF(IFERROR(FIND(CATALOG_BASE,A2862),0)=1,CATALOG_POINTS,0))=0,DAILY_POST_POINTS,MAX(IF(IFERROR(FIND(CATALOG_BASE,A2862),0)=1,CATALOG_POINTS,0))),IFERROR(INDEX(CATALOG_POINTS,MATCH(A2862,CATALOG_TASK,0)),""))</f>
        <v>2</v>
      </c>
      <c r="D2862" s="10" t="s">
        <v>1739</v>
      </c>
      <c r="E2862" s="41" t="str">
        <f t="shared" si="1"/>
        <v>PROX3</v>
      </c>
    </row>
    <row r="2863" ht="15.75" customHeight="1">
      <c r="A2863" s="10" t="s">
        <v>1739</v>
      </c>
      <c r="B2863" s="10" t="s">
        <v>119</v>
      </c>
      <c r="C2863" s="41">
        <f t="array" ref="C2863">IF(IFERROR(INDEX(CATALOG_POINTS,MATCH(A2863,CATALOG_TASK,0)),"")="",IF(MAX(IF(IFERROR(FIND(CATALOG_BASE,A2863),0)=1,CATALOG_POINTS,0))=0,DAILY_POST_POINTS,MAX(IF(IFERROR(FIND(CATALOG_BASE,A2863),0)=1,CATALOG_POINTS,0))),IFERROR(INDEX(CATALOG_POINTS,MATCH(A2863,CATALOG_TASK,0)),""))</f>
        <v>1</v>
      </c>
      <c r="D2863" s="10" t="s">
        <v>1739</v>
      </c>
      <c r="E2863" s="41" t="str">
        <f t="shared" si="1"/>
        <v>PROX3</v>
      </c>
    </row>
    <row r="2864" ht="15.75" customHeight="1">
      <c r="A2864" s="10" t="s">
        <v>1740</v>
      </c>
      <c r="B2864" s="10" t="s">
        <v>119</v>
      </c>
      <c r="C2864" s="41">
        <f t="array" ref="C2864">IF(IFERROR(INDEX(CATALOG_POINTS,MATCH(A2864,CATALOG_TASK,0)),"")="",IF(MAX(IF(IFERROR(FIND(CATALOG_BASE,A2864),0)=1,CATALOG_POINTS,0))=0,DAILY_POST_POINTS,MAX(IF(IFERROR(FIND(CATALOG_BASE,A2864),0)=1,CATALOG_POINTS,0))),IFERROR(INDEX(CATALOG_POINTS,MATCH(A2864,CATALOG_TASK,0)),""))</f>
        <v>1</v>
      </c>
      <c r="D2864" s="10" t="s">
        <v>1740</v>
      </c>
      <c r="E2864" s="41" t="str">
        <f t="shared" si="1"/>
        <v>PROX3</v>
      </c>
    </row>
    <row r="2865" ht="15.75" customHeight="1">
      <c r="A2865" s="10" t="s">
        <v>1741</v>
      </c>
      <c r="B2865" s="10" t="s">
        <v>122</v>
      </c>
      <c r="C2865" s="41">
        <f t="array" ref="C2865">IF(IFERROR(INDEX(CATALOG_POINTS,MATCH(A2865,CATALOG_TASK,0)),"")="",IF(MAX(IF(IFERROR(FIND(CATALOG_BASE,A2865),0)=1,CATALOG_POINTS,0))=0,DAILY_POST_POINTS,MAX(IF(IFERROR(FIND(CATALOG_BASE,A2865),0)=1,CATALOG_POINTS,0))),IFERROR(INDEX(CATALOG_POINTS,MATCH(A2865,CATALOG_TASK,0)),""))</f>
        <v>1</v>
      </c>
      <c r="D2865" s="10" t="s">
        <v>1741</v>
      </c>
      <c r="E2865" s="41" t="str">
        <f t="shared" si="1"/>
        <v>PROX3</v>
      </c>
    </row>
    <row r="2866" ht="15.75" customHeight="1">
      <c r="A2866" s="10" t="s">
        <v>1742</v>
      </c>
      <c r="B2866" s="10" t="s">
        <v>129</v>
      </c>
      <c r="C2866" s="41">
        <f t="array" ref="C2866">IF(IFERROR(INDEX(CATALOG_POINTS,MATCH(A2866,CATALOG_TASK,0)),"")="",IF(MAX(IF(IFERROR(FIND(CATALOG_BASE,A2866),0)=1,CATALOG_POINTS,0))=0,DAILY_POST_POINTS,MAX(IF(IFERROR(FIND(CATALOG_BASE,A2866),0)=1,CATALOG_POINTS,0))),IFERROR(INDEX(CATALOG_POINTS,MATCH(A2866,CATALOG_TASK,0)),""))</f>
        <v>1</v>
      </c>
      <c r="D2866" s="10" t="s">
        <v>1742</v>
      </c>
      <c r="E2866" s="41" t="str">
        <f t="shared" si="1"/>
        <v>PROX3</v>
      </c>
    </row>
    <row r="2867" ht="15.75" customHeight="1">
      <c r="A2867" s="10" t="s">
        <v>1743</v>
      </c>
      <c r="B2867" s="10" t="s">
        <v>132</v>
      </c>
      <c r="C2867" s="41">
        <f t="array" ref="C2867">IF(IFERROR(INDEX(CATALOG_POINTS,MATCH(A2867,CATALOG_TASK,0)),"")="",IF(MAX(IF(IFERROR(FIND(CATALOG_BASE,A2867),0)=1,CATALOG_POINTS,0))=0,DAILY_POST_POINTS,MAX(IF(IFERROR(FIND(CATALOG_BASE,A2867),0)=1,CATALOG_POINTS,0))),IFERROR(INDEX(CATALOG_POINTS,MATCH(A2867,CATALOG_TASK,0)),""))</f>
        <v>1</v>
      </c>
      <c r="D2867" s="10" t="s">
        <v>1743</v>
      </c>
      <c r="E2867" s="41" t="str">
        <f t="shared" si="1"/>
        <v>PROX4</v>
      </c>
    </row>
    <row r="2868" ht="15.75" customHeight="1">
      <c r="A2868" s="10" t="s">
        <v>1744</v>
      </c>
      <c r="B2868" s="10" t="s">
        <v>132</v>
      </c>
      <c r="C2868" s="41">
        <f t="array" ref="C2868">IF(IFERROR(INDEX(CATALOG_POINTS,MATCH(A2868,CATALOG_TASK,0)),"")="",IF(MAX(IF(IFERROR(FIND(CATALOG_BASE,A2868),0)=1,CATALOG_POINTS,0))=0,DAILY_POST_POINTS,MAX(IF(IFERROR(FIND(CATALOG_BASE,A2868),0)=1,CATALOG_POINTS,0))),IFERROR(INDEX(CATALOG_POINTS,MATCH(A2868,CATALOG_TASK,0)),""))</f>
        <v>1</v>
      </c>
      <c r="D2868" s="10" t="s">
        <v>1744</v>
      </c>
      <c r="E2868" s="41" t="str">
        <f t="shared" si="1"/>
        <v>SEM</v>
      </c>
    </row>
    <row r="2869" ht="15.75" customHeight="1">
      <c r="A2869" s="10" t="s">
        <v>37</v>
      </c>
      <c r="B2869" s="10" t="s">
        <v>122</v>
      </c>
      <c r="C2869" s="41">
        <f t="array" ref="C2869">IF(IFERROR(INDEX(CATALOG_POINTS,MATCH(A2869,CATALOG_TASK,0)),"")="",IF(MAX(IF(IFERROR(FIND(CATALOG_BASE,A2869),0)=1,CATALOG_POINTS,0))=0,DAILY_POST_POINTS,MAX(IF(IFERROR(FIND(CATALOG_BASE,A2869),0)=1,CATALOG_POINTS,0))),IFERROR(INDEX(CATALOG_POINTS,MATCH(A2869,CATALOG_TASK,0)),""))</f>
        <v>2</v>
      </c>
      <c r="D2869" s="10" t="s">
        <v>1744</v>
      </c>
      <c r="E2869" s="41" t="str">
        <f t="shared" si="1"/>
        <v>SEM</v>
      </c>
    </row>
    <row r="2870" ht="15.75" customHeight="1">
      <c r="A2870" s="10" t="s">
        <v>37</v>
      </c>
      <c r="B2870" s="10" t="s">
        <v>120</v>
      </c>
      <c r="C2870" s="41">
        <f t="array" ref="C2870">IF(IFERROR(INDEX(CATALOG_POINTS,MATCH(A2870,CATALOG_TASK,0)),"")="",IF(MAX(IF(IFERROR(FIND(CATALOG_BASE,A2870),0)=1,CATALOG_POINTS,0))=0,DAILY_POST_POINTS,MAX(IF(IFERROR(FIND(CATALOG_BASE,A2870),0)=1,CATALOG_POINTS,0))),IFERROR(INDEX(CATALOG_POINTS,MATCH(A2870,CATALOG_TASK,0)),""))</f>
        <v>2</v>
      </c>
      <c r="D2870" s="10" t="s">
        <v>1744</v>
      </c>
      <c r="E2870" s="41" t="str">
        <f t="shared" si="1"/>
        <v>SEM</v>
      </c>
    </row>
    <row r="2871" ht="15.75" customHeight="1">
      <c r="A2871" s="10" t="s">
        <v>1745</v>
      </c>
      <c r="B2871" s="10" t="s">
        <v>131</v>
      </c>
      <c r="C2871" s="41">
        <f t="array" ref="C2871">IF(IFERROR(INDEX(CATALOG_POINTS,MATCH(A2871,CATALOG_TASK,0)),"")="",IF(MAX(IF(IFERROR(FIND(CATALOG_BASE,A2871),0)=1,CATALOG_POINTS,0))=0,DAILY_POST_POINTS,MAX(IF(IFERROR(FIND(CATALOG_BASE,A2871),0)=1,CATALOG_POINTS,0))),IFERROR(INDEX(CATALOG_POINTS,MATCH(A2871,CATALOG_TASK,0)),""))</f>
        <v>1</v>
      </c>
      <c r="D2871" s="10" t="s">
        <v>1745</v>
      </c>
      <c r="E2871" s="41" t="str">
        <f t="shared" si="1"/>
        <v>PROX4</v>
      </c>
    </row>
    <row r="2872" ht="15.75" customHeight="1">
      <c r="A2872" s="10" t="s">
        <v>1746</v>
      </c>
      <c r="B2872" s="10" t="s">
        <v>136</v>
      </c>
      <c r="C2872" s="41">
        <f t="array" ref="C2872">IF(IFERROR(INDEX(CATALOG_POINTS,MATCH(A2872,CATALOG_TASK,0)),"")="",IF(MAX(IF(IFERROR(FIND(CATALOG_BASE,A2872),0)=1,CATALOG_POINTS,0))=0,DAILY_POST_POINTS,MAX(IF(IFERROR(FIND(CATALOG_BASE,A2872),0)=1,CATALOG_POINTS,0))),IFERROR(INDEX(CATALOG_POINTS,MATCH(A2872,CATALOG_TASK,0)),""))</f>
        <v>1</v>
      </c>
      <c r="D2872" s="10" t="s">
        <v>1746</v>
      </c>
      <c r="E2872" s="41" t="str">
        <f t="shared" si="1"/>
        <v>SE1</v>
      </c>
    </row>
    <row r="2873" ht="15.75" customHeight="1">
      <c r="A2873" s="10" t="s">
        <v>1747</v>
      </c>
      <c r="B2873" s="10" t="s">
        <v>135</v>
      </c>
      <c r="C2873" s="41">
        <f t="array" ref="C2873">IF(IFERROR(INDEX(CATALOG_POINTS,MATCH(A2873,CATALOG_TASK,0)),"")="",IF(MAX(IF(IFERROR(FIND(CATALOG_BASE,A2873),0)=1,CATALOG_POINTS,0))=0,DAILY_POST_POINTS,MAX(IF(IFERROR(FIND(CATALOG_BASE,A2873),0)=1,CATALOG_POINTS,0))),IFERROR(INDEX(CATALOG_POINTS,MATCH(A2873,CATALOG_TASK,0)),""))</f>
        <v>1</v>
      </c>
      <c r="D2873" s="10" t="s">
        <v>1747</v>
      </c>
      <c r="E2873" s="41" t="str">
        <f t="shared" si="1"/>
        <v>PROX3</v>
      </c>
    </row>
    <row r="2874" ht="15.75" customHeight="1">
      <c r="A2874" s="10" t="s">
        <v>1748</v>
      </c>
      <c r="B2874" s="10" t="s">
        <v>129</v>
      </c>
      <c r="C2874" s="41">
        <f t="array" ref="C2874">IF(IFERROR(INDEX(CATALOG_POINTS,MATCH(A2874,CATALOG_TASK,0)),"")="",IF(MAX(IF(IFERROR(FIND(CATALOG_BASE,A2874),0)=1,CATALOG_POINTS,0))=0,DAILY_POST_POINTS,MAX(IF(IFERROR(FIND(CATALOG_BASE,A2874),0)=1,CATALOG_POINTS,0))),IFERROR(INDEX(CATALOG_POINTS,MATCH(A2874,CATALOG_TASK,0)),""))</f>
        <v>1</v>
      </c>
      <c r="D2874" s="10" t="s">
        <v>1748</v>
      </c>
      <c r="E2874" s="41" t="str">
        <f t="shared" si="1"/>
        <v>PROX3</v>
      </c>
    </row>
    <row r="2875" ht="15.75" customHeight="1">
      <c r="A2875" s="10" t="s">
        <v>1749</v>
      </c>
      <c r="B2875" s="10" t="s">
        <v>137</v>
      </c>
      <c r="C2875" s="41">
        <f t="array" ref="C2875">IF(IFERROR(INDEX(CATALOG_POINTS,MATCH(A2875,CATALOG_TASK,0)),"")="",IF(MAX(IF(IFERROR(FIND(CATALOG_BASE,A2875),0)=1,CATALOG_POINTS,0))=0,DAILY_POST_POINTS,MAX(IF(IFERROR(FIND(CATALOG_BASE,A2875),0)=1,CATALOG_POINTS,0))),IFERROR(INDEX(CATALOG_POINTS,MATCH(A2875,CATALOG_TASK,0)),""))</f>
        <v>1</v>
      </c>
      <c r="D2875" s="10" t="s">
        <v>1749</v>
      </c>
      <c r="E2875" s="41" t="str">
        <f t="shared" si="1"/>
        <v>PROX3</v>
      </c>
    </row>
    <row r="2876" ht="15.75" customHeight="1">
      <c r="A2876" s="10" t="s">
        <v>37</v>
      </c>
      <c r="B2876" s="10" t="s">
        <v>122</v>
      </c>
      <c r="C2876" s="41">
        <f t="array" ref="C2876">IF(IFERROR(INDEX(CATALOG_POINTS,MATCH(A2876,CATALOG_TASK,0)),"")="",IF(MAX(IF(IFERROR(FIND(CATALOG_BASE,A2876),0)=1,CATALOG_POINTS,0))=0,DAILY_POST_POINTS,MAX(IF(IFERROR(FIND(CATALOG_BASE,A2876),0)=1,CATALOG_POINTS,0))),IFERROR(INDEX(CATALOG_POINTS,MATCH(A2876,CATALOG_TASK,0)),""))</f>
        <v>2</v>
      </c>
      <c r="D2876" s="10" t="s">
        <v>1750</v>
      </c>
      <c r="E2876" s="41" t="str">
        <f t="shared" si="1"/>
        <v>PROX3</v>
      </c>
    </row>
    <row r="2877" ht="15.75" customHeight="1">
      <c r="A2877" s="10" t="s">
        <v>1750</v>
      </c>
      <c r="B2877" s="10" t="s">
        <v>127</v>
      </c>
      <c r="C2877" s="41">
        <f t="array" ref="C2877">IF(IFERROR(INDEX(CATALOG_POINTS,MATCH(A2877,CATALOG_TASK,0)),"")="",IF(MAX(IF(IFERROR(FIND(CATALOG_BASE,A2877),0)=1,CATALOG_POINTS,0))=0,DAILY_POST_POINTS,MAX(IF(IFERROR(FIND(CATALOG_BASE,A2877),0)=1,CATALOG_POINTS,0))),IFERROR(INDEX(CATALOG_POINTS,MATCH(A2877,CATALOG_TASK,0)),""))</f>
        <v>1</v>
      </c>
      <c r="D2877" s="10" t="s">
        <v>1750</v>
      </c>
      <c r="E2877" s="41" t="str">
        <f t="shared" si="1"/>
        <v>PROX3</v>
      </c>
    </row>
    <row r="2878" ht="15.75" customHeight="1">
      <c r="A2878" s="10" t="s">
        <v>1751</v>
      </c>
      <c r="B2878" s="10" t="s">
        <v>133</v>
      </c>
      <c r="C2878" s="41">
        <f t="array" ref="C2878">IF(IFERROR(INDEX(CATALOG_POINTS,MATCH(A2878,CATALOG_TASK,0)),"")="",IF(MAX(IF(IFERROR(FIND(CATALOG_BASE,A2878),0)=1,CATALOG_POINTS,0))=0,DAILY_POST_POINTS,MAX(IF(IFERROR(FIND(CATALOG_BASE,A2878),0)=1,CATALOG_POINTS,0))),IFERROR(INDEX(CATALOG_POINTS,MATCH(A2878,CATALOG_TASK,0)),""))</f>
        <v>1</v>
      </c>
      <c r="D2878" s="10" t="s">
        <v>1751</v>
      </c>
      <c r="E2878" s="41" t="str">
        <f t="shared" si="1"/>
        <v>PROX3</v>
      </c>
    </row>
    <row r="2879" ht="15.75" customHeight="1">
      <c r="A2879" s="10" t="s">
        <v>1752</v>
      </c>
      <c r="B2879" s="10" t="s">
        <v>129</v>
      </c>
      <c r="C2879" s="41">
        <f t="array" ref="C2879">IF(IFERROR(INDEX(CATALOG_POINTS,MATCH(A2879,CATALOG_TASK,0)),"")="",IF(MAX(IF(IFERROR(FIND(CATALOG_BASE,A2879),0)=1,CATALOG_POINTS,0))=0,DAILY_POST_POINTS,MAX(IF(IFERROR(FIND(CATALOG_BASE,A2879),0)=1,CATALOG_POINTS,0))),IFERROR(INDEX(CATALOG_POINTS,MATCH(A2879,CATALOG_TASK,0)),""))</f>
        <v>1</v>
      </c>
      <c r="D2879" s="10" t="s">
        <v>1752</v>
      </c>
      <c r="E2879" s="41" t="str">
        <f t="shared" si="1"/>
        <v>PROX3</v>
      </c>
    </row>
    <row r="2880" ht="15.75" customHeight="1">
      <c r="A2880" s="10" t="s">
        <v>37</v>
      </c>
      <c r="B2880" s="10" t="s">
        <v>120</v>
      </c>
      <c r="C2880" s="41">
        <f t="array" ref="C2880">IF(IFERROR(INDEX(CATALOG_POINTS,MATCH(A2880,CATALOG_TASK,0)),"")="",IF(MAX(IF(IFERROR(FIND(CATALOG_BASE,A2880),0)=1,CATALOG_POINTS,0))=0,DAILY_POST_POINTS,MAX(IF(IFERROR(FIND(CATALOG_BASE,A2880),0)=1,CATALOG_POINTS,0))),IFERROR(INDEX(CATALOG_POINTS,MATCH(A2880,CATALOG_TASK,0)),""))</f>
        <v>2</v>
      </c>
      <c r="D2880" s="10" t="s">
        <v>1753</v>
      </c>
      <c r="E2880" s="41" t="str">
        <f t="shared" si="1"/>
        <v>PROX4</v>
      </c>
    </row>
    <row r="2881" ht="15.75" customHeight="1">
      <c r="A2881" s="10" t="s">
        <v>37</v>
      </c>
      <c r="B2881" s="10" t="s">
        <v>120</v>
      </c>
      <c r="C2881" s="41">
        <f t="array" ref="C2881">IF(IFERROR(INDEX(CATALOG_POINTS,MATCH(A2881,CATALOG_TASK,0)),"")="",IF(MAX(IF(IFERROR(FIND(CATALOG_BASE,A2881),0)=1,CATALOG_POINTS,0))=0,DAILY_POST_POINTS,MAX(IF(IFERROR(FIND(CATALOG_BASE,A2881),0)=1,CATALOG_POINTS,0))),IFERROR(INDEX(CATALOG_POINTS,MATCH(A2881,CATALOG_TASK,0)),""))</f>
        <v>2</v>
      </c>
      <c r="D2881" s="10" t="s">
        <v>1753</v>
      </c>
      <c r="E2881" s="41" t="str">
        <f t="shared" si="1"/>
        <v>PROX4</v>
      </c>
    </row>
    <row r="2882" ht="15.75" customHeight="1">
      <c r="A2882" s="10" t="s">
        <v>37</v>
      </c>
      <c r="B2882" s="10" t="s">
        <v>128</v>
      </c>
      <c r="C2882" s="41">
        <f t="array" ref="C2882">IF(IFERROR(INDEX(CATALOG_POINTS,MATCH(A2882,CATALOG_TASK,0)),"")="",IF(MAX(IF(IFERROR(FIND(CATALOG_BASE,A2882),0)=1,CATALOG_POINTS,0))=0,DAILY_POST_POINTS,MAX(IF(IFERROR(FIND(CATALOG_BASE,A2882),0)=1,CATALOG_POINTS,0))),IFERROR(INDEX(CATALOG_POINTS,MATCH(A2882,CATALOG_TASK,0)),""))</f>
        <v>2</v>
      </c>
      <c r="D2882" s="10" t="s">
        <v>1753</v>
      </c>
      <c r="E2882" s="41" t="str">
        <f t="shared" si="1"/>
        <v>PROX4</v>
      </c>
    </row>
    <row r="2883" ht="15.75" customHeight="1">
      <c r="A2883" s="10" t="s">
        <v>1753</v>
      </c>
      <c r="B2883" s="10" t="s">
        <v>132</v>
      </c>
      <c r="C2883" s="41">
        <f t="array" ref="C2883">IF(IFERROR(INDEX(CATALOG_POINTS,MATCH(A2883,CATALOG_TASK,0)),"")="",IF(MAX(IF(IFERROR(FIND(CATALOG_BASE,A2883),0)=1,CATALOG_POINTS,0))=0,DAILY_POST_POINTS,MAX(IF(IFERROR(FIND(CATALOG_BASE,A2883),0)=1,CATALOG_POINTS,0))),IFERROR(INDEX(CATALOG_POINTS,MATCH(A2883,CATALOG_TASK,0)),""))</f>
        <v>1</v>
      </c>
      <c r="D2883" s="10" t="s">
        <v>1753</v>
      </c>
      <c r="E2883" s="41" t="str">
        <f t="shared" si="1"/>
        <v>PROX4</v>
      </c>
    </row>
    <row r="2884" ht="15.75" customHeight="1">
      <c r="A2884" s="10" t="s">
        <v>1754</v>
      </c>
      <c r="B2884" s="10" t="s">
        <v>117</v>
      </c>
      <c r="C2884" s="41">
        <f t="array" ref="C2884">IF(IFERROR(INDEX(CATALOG_POINTS,MATCH(A2884,CATALOG_TASK,0)),"")="",IF(MAX(IF(IFERROR(FIND(CATALOG_BASE,A2884),0)=1,CATALOG_POINTS,0))=0,DAILY_POST_POINTS,MAX(IF(IFERROR(FIND(CATALOG_BASE,A2884),0)=1,CATALOG_POINTS,0))),IFERROR(INDEX(CATALOG_POINTS,MATCH(A2884,CATALOG_TASK,0)),""))</f>
        <v>1</v>
      </c>
      <c r="D2884" s="10" t="s">
        <v>1754</v>
      </c>
      <c r="E2884" s="41" t="str">
        <f t="shared" si="1"/>
        <v>PROX3</v>
      </c>
    </row>
    <row r="2885" ht="15.75" customHeight="1">
      <c r="A2885" s="10" t="s">
        <v>1755</v>
      </c>
      <c r="B2885" s="10" t="s">
        <v>122</v>
      </c>
      <c r="C2885" s="41">
        <f t="array" ref="C2885">IF(IFERROR(INDEX(CATALOG_POINTS,MATCH(A2885,CATALOG_TASK,0)),"")="",IF(MAX(IF(IFERROR(FIND(CATALOG_BASE,A2885),0)=1,CATALOG_POINTS,0))=0,DAILY_POST_POINTS,MAX(IF(IFERROR(FIND(CATALOG_BASE,A2885),0)=1,CATALOG_POINTS,0))),IFERROR(INDEX(CATALOG_POINTS,MATCH(A2885,CATALOG_TASK,0)),""))</f>
        <v>1</v>
      </c>
      <c r="D2885" s="10" t="s">
        <v>1755</v>
      </c>
      <c r="E2885" s="41" t="str">
        <f t="shared" si="1"/>
        <v>E0</v>
      </c>
    </row>
    <row r="2886" ht="15.75" customHeight="1">
      <c r="A2886" s="10" t="s">
        <v>37</v>
      </c>
      <c r="B2886" s="10" t="s">
        <v>122</v>
      </c>
      <c r="C2886" s="41">
        <f t="array" ref="C2886">IF(IFERROR(INDEX(CATALOG_POINTS,MATCH(A2886,CATALOG_TASK,0)),"")="",IF(MAX(IF(IFERROR(FIND(CATALOG_BASE,A2886),0)=1,CATALOG_POINTS,0))=0,DAILY_POST_POINTS,MAX(IF(IFERROR(FIND(CATALOG_BASE,A2886),0)=1,CATALOG_POINTS,0))),IFERROR(INDEX(CATALOG_POINTS,MATCH(A2886,CATALOG_TASK,0)),""))</f>
        <v>2</v>
      </c>
      <c r="D2886" s="10" t="s">
        <v>1755</v>
      </c>
      <c r="E2886" s="41" t="str">
        <f t="shared" si="1"/>
        <v>E0</v>
      </c>
    </row>
    <row r="2887" ht="15.75" customHeight="1">
      <c r="A2887" s="10" t="s">
        <v>168</v>
      </c>
      <c r="B2887" s="10" t="s">
        <v>122</v>
      </c>
      <c r="C2887" s="41">
        <f t="array" ref="C2887">IF(IFERROR(INDEX(CATALOG_POINTS,MATCH(A2887,CATALOG_TASK,0)),"")="",IF(MAX(IF(IFERROR(FIND(CATALOG_BASE,A2887),0)=1,CATALOG_POINTS,0))=0,DAILY_POST_POINTS,MAX(IF(IFERROR(FIND(CATALOG_BASE,A2887),0)=1,CATALOG_POINTS,0))),IFERROR(INDEX(CATALOG_POINTS,MATCH(A2887,CATALOG_TASK,0)),""))</f>
        <v>1</v>
      </c>
      <c r="D2887" s="10" t="s">
        <v>1755</v>
      </c>
      <c r="E2887" s="41" t="str">
        <f t="shared" si="1"/>
        <v>E0</v>
      </c>
    </row>
    <row r="2888" ht="15.75" customHeight="1">
      <c r="A2888" s="10" t="s">
        <v>1756</v>
      </c>
      <c r="B2888" s="10" t="s">
        <v>119</v>
      </c>
      <c r="C2888" s="41">
        <f t="array" ref="C2888">IF(IFERROR(INDEX(CATALOG_POINTS,MATCH(A2888,CATALOG_TASK,0)),"")="",IF(MAX(IF(IFERROR(FIND(CATALOG_BASE,A2888),0)=1,CATALOG_POINTS,0))=0,DAILY_POST_POINTS,MAX(IF(IFERROR(FIND(CATALOG_BASE,A2888),0)=1,CATALOG_POINTS,0))),IFERROR(INDEX(CATALOG_POINTS,MATCH(A2888,CATALOG_TASK,0)),""))</f>
        <v>1</v>
      </c>
      <c r="D2888" s="10" t="s">
        <v>1756</v>
      </c>
      <c r="E2888" s="41" t="str">
        <f t="shared" si="1"/>
        <v>PROX3</v>
      </c>
    </row>
    <row r="2889" ht="15.75" customHeight="1">
      <c r="A2889" s="10" t="s">
        <v>1757</v>
      </c>
      <c r="B2889" s="10" t="s">
        <v>131</v>
      </c>
      <c r="C2889" s="41">
        <f t="array" ref="C2889">IF(IFERROR(INDEX(CATALOG_POINTS,MATCH(A2889,CATALOG_TASK,0)),"")="",IF(MAX(IF(IFERROR(FIND(CATALOG_BASE,A2889),0)=1,CATALOG_POINTS,0))=0,DAILY_POST_POINTS,MAX(IF(IFERROR(FIND(CATALOG_BASE,A2889),0)=1,CATALOG_POINTS,0))),IFERROR(INDEX(CATALOG_POINTS,MATCH(A2889,CATALOG_TASK,0)),""))</f>
        <v>1</v>
      </c>
      <c r="D2889" s="10" t="s">
        <v>1757</v>
      </c>
      <c r="E2889" s="41" t="str">
        <f t="shared" si="1"/>
        <v>PROX3</v>
      </c>
    </row>
    <row r="2890" ht="15.75" customHeight="1">
      <c r="A2890" s="10" t="s">
        <v>1758</v>
      </c>
      <c r="B2890" s="10" t="s">
        <v>123</v>
      </c>
      <c r="C2890" s="41">
        <f t="array" ref="C2890">IF(IFERROR(INDEX(CATALOG_POINTS,MATCH(A2890,CATALOG_TASK,0)),"")="",IF(MAX(IF(IFERROR(FIND(CATALOG_BASE,A2890),0)=1,CATALOG_POINTS,0))=0,DAILY_POST_POINTS,MAX(IF(IFERROR(FIND(CATALOG_BASE,A2890),0)=1,CATALOG_POINTS,0))),IFERROR(INDEX(CATALOG_POINTS,MATCH(A2890,CATALOG_TASK,0)),""))</f>
        <v>1</v>
      </c>
      <c r="D2890" s="10" t="s">
        <v>1758</v>
      </c>
      <c r="E2890" s="41" t="str">
        <f t="shared" si="1"/>
        <v>E0</v>
      </c>
    </row>
    <row r="2891" ht="15.75" customHeight="1">
      <c r="A2891" s="10" t="s">
        <v>1759</v>
      </c>
      <c r="B2891" s="10" t="s">
        <v>122</v>
      </c>
      <c r="C2891" s="41">
        <f t="array" ref="C2891">IF(IFERROR(INDEX(CATALOG_POINTS,MATCH(A2891,CATALOG_TASK,0)),"")="",IF(MAX(IF(IFERROR(FIND(CATALOG_BASE,A2891),0)=1,CATALOG_POINTS,0))=0,DAILY_POST_POINTS,MAX(IF(IFERROR(FIND(CATALOG_BASE,A2891),0)=1,CATALOG_POINTS,0))),IFERROR(INDEX(CATALOG_POINTS,MATCH(A2891,CATALOG_TASK,0)),""))</f>
        <v>1</v>
      </c>
      <c r="D2891" s="10" t="s">
        <v>1759</v>
      </c>
      <c r="E2891" s="41" t="str">
        <f t="shared" si="1"/>
        <v>SE1</v>
      </c>
    </row>
    <row r="2892" ht="15.75" customHeight="1">
      <c r="A2892" s="10" t="s">
        <v>1760</v>
      </c>
      <c r="B2892" s="10" t="s">
        <v>124</v>
      </c>
      <c r="C2892" s="41">
        <f t="array" ref="C2892">IF(IFERROR(INDEX(CATALOG_POINTS,MATCH(A2892,CATALOG_TASK,0)),"")="",IF(MAX(IF(IFERROR(FIND(CATALOG_BASE,A2892),0)=1,CATALOG_POINTS,0))=0,DAILY_POST_POINTS,MAX(IF(IFERROR(FIND(CATALOG_BASE,A2892),0)=1,CATALOG_POINTS,0))),IFERROR(INDEX(CATALOG_POINTS,MATCH(A2892,CATALOG_TASK,0)),""))</f>
        <v>1</v>
      </c>
      <c r="D2892" s="10" t="s">
        <v>1760</v>
      </c>
      <c r="E2892" s="41" t="str">
        <f t="shared" si="1"/>
        <v>E0</v>
      </c>
    </row>
    <row r="2893" ht="15.75" customHeight="1">
      <c r="A2893" s="10" t="s">
        <v>178</v>
      </c>
      <c r="B2893" s="10" t="s">
        <v>124</v>
      </c>
      <c r="C2893" s="41">
        <f t="array" ref="C2893">IF(IFERROR(INDEX(CATALOG_POINTS,MATCH(A2893,CATALOG_TASK,0)),"")="",IF(MAX(IF(IFERROR(FIND(CATALOG_BASE,A2893),0)=1,CATALOG_POINTS,0))=0,DAILY_POST_POINTS,MAX(IF(IFERROR(FIND(CATALOG_BASE,A2893),0)=1,CATALOG_POINTS,0))),IFERROR(INDEX(CATALOG_POINTS,MATCH(A2893,CATALOG_TASK,0)),""))</f>
        <v>1</v>
      </c>
      <c r="D2893" s="10" t="s">
        <v>1761</v>
      </c>
      <c r="E2893" s="41" t="str">
        <f t="shared" si="1"/>
        <v>PROX3</v>
      </c>
    </row>
    <row r="2894" ht="15.75" customHeight="1">
      <c r="A2894" s="10" t="s">
        <v>1761</v>
      </c>
      <c r="B2894" s="10" t="s">
        <v>127</v>
      </c>
      <c r="C2894" s="41">
        <f t="array" ref="C2894">IF(IFERROR(INDEX(CATALOG_POINTS,MATCH(A2894,CATALOG_TASK,0)),"")="",IF(MAX(IF(IFERROR(FIND(CATALOG_BASE,A2894),0)=1,CATALOG_POINTS,0))=0,DAILY_POST_POINTS,MAX(IF(IFERROR(FIND(CATALOG_BASE,A2894),0)=1,CATALOG_POINTS,0))),IFERROR(INDEX(CATALOG_POINTS,MATCH(A2894,CATALOG_TASK,0)),""))</f>
        <v>1</v>
      </c>
      <c r="D2894" s="10" t="s">
        <v>1761</v>
      </c>
      <c r="E2894" s="41" t="str">
        <f t="shared" si="1"/>
        <v>PROX3</v>
      </c>
    </row>
    <row r="2895" ht="15.75" customHeight="1">
      <c r="A2895" s="10" t="s">
        <v>1762</v>
      </c>
      <c r="B2895" s="10" t="s">
        <v>120</v>
      </c>
      <c r="C2895" s="41">
        <f t="array" ref="C2895">IF(IFERROR(INDEX(CATALOG_POINTS,MATCH(A2895,CATALOG_TASK,0)),"")="",IF(MAX(IF(IFERROR(FIND(CATALOG_BASE,A2895),0)=1,CATALOG_POINTS,0))=0,DAILY_POST_POINTS,MAX(IF(IFERROR(FIND(CATALOG_BASE,A2895),0)=1,CATALOG_POINTS,0))),IFERROR(INDEX(CATALOG_POINTS,MATCH(A2895,CATALOG_TASK,0)),""))</f>
        <v>1</v>
      </c>
      <c r="D2895" s="10" t="s">
        <v>1762</v>
      </c>
      <c r="E2895" s="41" t="str">
        <f t="shared" si="1"/>
        <v>PROX3</v>
      </c>
    </row>
    <row r="2896" ht="15.75" customHeight="1">
      <c r="A2896" s="10" t="s">
        <v>179</v>
      </c>
      <c r="B2896" s="10" t="s">
        <v>140</v>
      </c>
      <c r="C2896" s="41">
        <f t="array" ref="C2896">IF(IFERROR(INDEX(CATALOG_POINTS,MATCH(A2896,CATALOG_TASK,0)),"")="",IF(MAX(IF(IFERROR(FIND(CATALOG_BASE,A2896),0)=1,CATALOG_POINTS,0))=0,DAILY_POST_POINTS,MAX(IF(IFERROR(FIND(CATALOG_BASE,A2896),0)=1,CATALOG_POINTS,0))),IFERROR(INDEX(CATALOG_POINTS,MATCH(A2896,CATALOG_TASK,0)),""))</f>
        <v>1</v>
      </c>
      <c r="D2896" s="10" t="s">
        <v>1762</v>
      </c>
      <c r="E2896" s="41" t="str">
        <f t="shared" si="1"/>
        <v>PROX3</v>
      </c>
    </row>
    <row r="2897" ht="15.75" customHeight="1">
      <c r="A2897" s="10" t="s">
        <v>37</v>
      </c>
      <c r="B2897" s="10" t="s">
        <v>120</v>
      </c>
      <c r="C2897" s="41">
        <f t="array" ref="C2897">IF(IFERROR(INDEX(CATALOG_POINTS,MATCH(A2897,CATALOG_TASK,0)),"")="",IF(MAX(IF(IFERROR(FIND(CATALOG_BASE,A2897),0)=1,CATALOG_POINTS,0))=0,DAILY_POST_POINTS,MAX(IF(IFERROR(FIND(CATALOG_BASE,A2897),0)=1,CATALOG_POINTS,0))),IFERROR(INDEX(CATALOG_POINTS,MATCH(A2897,CATALOG_TASK,0)),""))</f>
        <v>2</v>
      </c>
      <c r="D2897" s="10" t="s">
        <v>1763</v>
      </c>
      <c r="E2897" s="41" t="str">
        <f t="shared" si="1"/>
        <v>PROX3</v>
      </c>
    </row>
    <row r="2898" ht="15.75" customHeight="1">
      <c r="A2898" s="10" t="s">
        <v>1764</v>
      </c>
      <c r="B2898" s="10" t="s">
        <v>119</v>
      </c>
      <c r="C2898" s="41">
        <f t="array" ref="C2898">IF(IFERROR(INDEX(CATALOG_POINTS,MATCH(A2898,CATALOG_TASK,0)),"")="",IF(MAX(IF(IFERROR(FIND(CATALOG_BASE,A2898),0)=1,CATALOG_POINTS,0))=0,DAILY_POST_POINTS,MAX(IF(IFERROR(FIND(CATALOG_BASE,A2898),0)=1,CATALOG_POINTS,0))),IFERROR(INDEX(CATALOG_POINTS,MATCH(A2898,CATALOG_TASK,0)),""))</f>
        <v>1</v>
      </c>
      <c r="D2898" s="10" t="s">
        <v>1764</v>
      </c>
      <c r="E2898" s="41" t="str">
        <f t="shared" si="1"/>
        <v>PROX3</v>
      </c>
    </row>
    <row r="2899" ht="15.75" customHeight="1">
      <c r="A2899" s="10" t="s">
        <v>37</v>
      </c>
      <c r="B2899" s="10" t="s">
        <v>117</v>
      </c>
      <c r="C2899" s="41">
        <f t="array" ref="C2899">IF(IFERROR(INDEX(CATALOG_POINTS,MATCH(A2899,CATALOG_TASK,0)),"")="",IF(MAX(IF(IFERROR(FIND(CATALOG_BASE,A2899),0)=1,CATALOG_POINTS,0))=0,DAILY_POST_POINTS,MAX(IF(IFERROR(FIND(CATALOG_BASE,A2899),0)=1,CATALOG_POINTS,0))),IFERROR(INDEX(CATALOG_POINTS,MATCH(A2899,CATALOG_TASK,0)),""))</f>
        <v>2</v>
      </c>
      <c r="D2899" s="10" t="s">
        <v>1764</v>
      </c>
      <c r="E2899" s="41" t="str">
        <f t="shared" si="1"/>
        <v>PROX3</v>
      </c>
    </row>
    <row r="2900" ht="15.75" customHeight="1">
      <c r="A2900" s="10" t="s">
        <v>37</v>
      </c>
      <c r="B2900" s="10" t="s">
        <v>117</v>
      </c>
      <c r="C2900" s="41">
        <f t="array" ref="C2900">IF(IFERROR(INDEX(CATALOG_POINTS,MATCH(A2900,CATALOG_TASK,0)),"")="",IF(MAX(IF(IFERROR(FIND(CATALOG_BASE,A2900),0)=1,CATALOG_POINTS,0))=0,DAILY_POST_POINTS,MAX(IF(IFERROR(FIND(CATALOG_BASE,A2900),0)=1,CATALOG_POINTS,0))),IFERROR(INDEX(CATALOG_POINTS,MATCH(A2900,CATALOG_TASK,0)),""))</f>
        <v>2</v>
      </c>
      <c r="D2900" s="10" t="s">
        <v>1764</v>
      </c>
      <c r="E2900" s="41" t="str">
        <f t="shared" si="1"/>
        <v>PROX3</v>
      </c>
    </row>
    <row r="2901" ht="15.75" customHeight="1">
      <c r="A2901" s="10" t="s">
        <v>1765</v>
      </c>
      <c r="B2901" s="10" t="s">
        <v>119</v>
      </c>
      <c r="C2901" s="41">
        <f t="array" ref="C2901">IF(IFERROR(INDEX(CATALOG_POINTS,MATCH(A2901,CATALOG_TASK,0)),"")="",IF(MAX(IF(IFERROR(FIND(CATALOG_BASE,A2901),0)=1,CATALOG_POINTS,0))=0,DAILY_POST_POINTS,MAX(IF(IFERROR(FIND(CATALOG_BASE,A2901),0)=1,CATALOG_POINTS,0))),IFERROR(INDEX(CATALOG_POINTS,MATCH(A2901,CATALOG_TASK,0)),""))</f>
        <v>1</v>
      </c>
      <c r="D2901" s="10" t="s">
        <v>1765</v>
      </c>
      <c r="E2901" s="41" t="str">
        <f t="shared" si="1"/>
        <v>PROX3</v>
      </c>
    </row>
    <row r="2902" ht="15.75" customHeight="1">
      <c r="A2902" s="10" t="s">
        <v>1766</v>
      </c>
      <c r="B2902" s="10" t="s">
        <v>129</v>
      </c>
      <c r="C2902" s="41">
        <f t="array" ref="C2902">IF(IFERROR(INDEX(CATALOG_POINTS,MATCH(A2902,CATALOG_TASK,0)),"")="",IF(MAX(IF(IFERROR(FIND(CATALOG_BASE,A2902),0)=1,CATALOG_POINTS,0))=0,DAILY_POST_POINTS,MAX(IF(IFERROR(FIND(CATALOG_BASE,A2902),0)=1,CATALOG_POINTS,0))),IFERROR(INDEX(CATALOG_POINTS,MATCH(A2902,CATALOG_TASK,0)),""))</f>
        <v>1</v>
      </c>
      <c r="D2902" s="10" t="s">
        <v>1766</v>
      </c>
      <c r="E2902" s="41" t="str">
        <f t="shared" si="1"/>
        <v>PROX4</v>
      </c>
    </row>
    <row r="2903" ht="15.75" customHeight="1">
      <c r="A2903" s="10" t="s">
        <v>1767</v>
      </c>
      <c r="B2903" s="10" t="s">
        <v>137</v>
      </c>
      <c r="C2903" s="41">
        <f t="array" ref="C2903">IF(IFERROR(INDEX(CATALOG_POINTS,MATCH(A2903,CATALOG_TASK,0)),"")="",IF(MAX(IF(IFERROR(FIND(CATALOG_BASE,A2903),0)=1,CATALOG_POINTS,0))=0,DAILY_POST_POINTS,MAX(IF(IFERROR(FIND(CATALOG_BASE,A2903),0)=1,CATALOG_POINTS,0))),IFERROR(INDEX(CATALOG_POINTS,MATCH(A2903,CATALOG_TASK,0)),""))</f>
        <v>1</v>
      </c>
      <c r="D2903" s="10" t="s">
        <v>1767</v>
      </c>
      <c r="E2903" s="41" t="str">
        <f t="shared" si="1"/>
        <v>PROX3</v>
      </c>
    </row>
    <row r="2904" ht="15.75" customHeight="1">
      <c r="A2904" s="10" t="s">
        <v>37</v>
      </c>
      <c r="B2904" s="10" t="s">
        <v>120</v>
      </c>
      <c r="C2904" s="41">
        <f t="array" ref="C2904">IF(IFERROR(INDEX(CATALOG_POINTS,MATCH(A2904,CATALOG_TASK,0)),"")="",IF(MAX(IF(IFERROR(FIND(CATALOG_BASE,A2904),0)=1,CATALOG_POINTS,0))=0,DAILY_POST_POINTS,MAX(IF(IFERROR(FIND(CATALOG_BASE,A2904),0)=1,CATALOG_POINTS,0))),IFERROR(INDEX(CATALOG_POINTS,MATCH(A2904,CATALOG_TASK,0)),""))</f>
        <v>2</v>
      </c>
      <c r="D2904" s="10" t="s">
        <v>1768</v>
      </c>
      <c r="E2904" s="41" t="str">
        <f t="shared" si="1"/>
        <v>PROX3</v>
      </c>
    </row>
    <row r="2905" ht="15.75" customHeight="1">
      <c r="A2905" s="10" t="s">
        <v>1768</v>
      </c>
      <c r="B2905" s="10" t="s">
        <v>137</v>
      </c>
      <c r="C2905" s="41">
        <f t="array" ref="C2905">IF(IFERROR(INDEX(CATALOG_POINTS,MATCH(A2905,CATALOG_TASK,0)),"")="",IF(MAX(IF(IFERROR(FIND(CATALOG_BASE,A2905),0)=1,CATALOG_POINTS,0))=0,DAILY_POST_POINTS,MAX(IF(IFERROR(FIND(CATALOG_BASE,A2905),0)=1,CATALOG_POINTS,0))),IFERROR(INDEX(CATALOG_POINTS,MATCH(A2905,CATALOG_TASK,0)),""))</f>
        <v>1</v>
      </c>
      <c r="D2905" s="10" t="s">
        <v>1768</v>
      </c>
      <c r="E2905" s="41" t="str">
        <f t="shared" si="1"/>
        <v>PROX3</v>
      </c>
    </row>
    <row r="2906" ht="15.75" customHeight="1">
      <c r="A2906" s="10" t="s">
        <v>37</v>
      </c>
      <c r="B2906" s="10" t="s">
        <v>125</v>
      </c>
      <c r="C2906" s="41">
        <f t="array" ref="C2906">IF(IFERROR(INDEX(CATALOG_POINTS,MATCH(A2906,CATALOG_TASK,0)),"")="",IF(MAX(IF(IFERROR(FIND(CATALOG_BASE,A2906),0)=1,CATALOG_POINTS,0))=0,DAILY_POST_POINTS,MAX(IF(IFERROR(FIND(CATALOG_BASE,A2906),0)=1,CATALOG_POINTS,0))),IFERROR(INDEX(CATALOG_POINTS,MATCH(A2906,CATALOG_TASK,0)),""))</f>
        <v>2</v>
      </c>
      <c r="D2906" s="10" t="s">
        <v>1768</v>
      </c>
      <c r="E2906" s="41" t="str">
        <f t="shared" si="1"/>
        <v>PROX3</v>
      </c>
    </row>
    <row r="2907" ht="15.75" customHeight="1">
      <c r="A2907" s="10" t="s">
        <v>37</v>
      </c>
      <c r="B2907" s="10" t="s">
        <v>126</v>
      </c>
      <c r="C2907" s="41">
        <f t="array" ref="C2907">IF(IFERROR(INDEX(CATALOG_POINTS,MATCH(A2907,CATALOG_TASK,0)),"")="",IF(MAX(IF(IFERROR(FIND(CATALOG_BASE,A2907),0)=1,CATALOG_POINTS,0))=0,DAILY_POST_POINTS,MAX(IF(IFERROR(FIND(CATALOG_BASE,A2907),0)=1,CATALOG_POINTS,0))),IFERROR(INDEX(CATALOG_POINTS,MATCH(A2907,CATALOG_TASK,0)),""))</f>
        <v>2</v>
      </c>
      <c r="D2907" s="10" t="s">
        <v>1768</v>
      </c>
      <c r="E2907" s="41" t="str">
        <f t="shared" si="1"/>
        <v>PROX3</v>
      </c>
    </row>
    <row r="2908" ht="15.75" customHeight="1">
      <c r="A2908" s="10" t="s">
        <v>1769</v>
      </c>
      <c r="B2908" s="10" t="s">
        <v>128</v>
      </c>
      <c r="C2908" s="41">
        <f t="array" ref="C2908">IF(IFERROR(INDEX(CATALOG_POINTS,MATCH(A2908,CATALOG_TASK,0)),"")="",IF(MAX(IF(IFERROR(FIND(CATALOG_BASE,A2908),0)=1,CATALOG_POINTS,0))=0,DAILY_POST_POINTS,MAX(IF(IFERROR(FIND(CATALOG_BASE,A2908),0)=1,CATALOG_POINTS,0))),IFERROR(INDEX(CATALOG_POINTS,MATCH(A2908,CATALOG_TASK,0)),""))</f>
        <v>1</v>
      </c>
      <c r="D2908" s="10" t="s">
        <v>1769</v>
      </c>
      <c r="E2908" s="41" t="str">
        <f t="shared" si="1"/>
        <v>PROX3</v>
      </c>
    </row>
    <row r="2909" ht="15.75" customHeight="1">
      <c r="A2909" s="10" t="s">
        <v>1770</v>
      </c>
      <c r="B2909" s="10" t="s">
        <v>131</v>
      </c>
      <c r="C2909" s="41">
        <f t="array" ref="C2909">IF(IFERROR(INDEX(CATALOG_POINTS,MATCH(A2909,CATALOG_TASK,0)),"")="",IF(MAX(IF(IFERROR(FIND(CATALOG_BASE,A2909),0)=1,CATALOG_POINTS,0))=0,DAILY_POST_POINTS,MAX(IF(IFERROR(FIND(CATALOG_BASE,A2909),0)=1,CATALOG_POINTS,0))),IFERROR(INDEX(CATALOG_POINTS,MATCH(A2909,CATALOG_TASK,0)),""))</f>
        <v>1</v>
      </c>
      <c r="D2909" s="10" t="s">
        <v>1770</v>
      </c>
      <c r="E2909" s="41" t="str">
        <f t="shared" si="1"/>
        <v>PROX3</v>
      </c>
    </row>
    <row r="2910" ht="15.75" customHeight="1">
      <c r="A2910" s="10" t="s">
        <v>37</v>
      </c>
      <c r="B2910" s="10" t="s">
        <v>119</v>
      </c>
      <c r="C2910" s="41">
        <f t="array" ref="C2910">IF(IFERROR(INDEX(CATALOG_POINTS,MATCH(A2910,CATALOG_TASK,0)),"")="",IF(MAX(IF(IFERROR(FIND(CATALOG_BASE,A2910),0)=1,CATALOG_POINTS,0))=0,DAILY_POST_POINTS,MAX(IF(IFERROR(FIND(CATALOG_BASE,A2910),0)=1,CATALOG_POINTS,0))),IFERROR(INDEX(CATALOG_POINTS,MATCH(A2910,CATALOG_TASK,0)),""))</f>
        <v>2</v>
      </c>
      <c r="D2910" s="10" t="s">
        <v>1771</v>
      </c>
      <c r="E2910" s="41" t="str">
        <f t="shared" si="1"/>
        <v>PROX3</v>
      </c>
    </row>
    <row r="2911" ht="15.75" customHeight="1">
      <c r="A2911" s="10" t="s">
        <v>1771</v>
      </c>
      <c r="B2911" s="10" t="s">
        <v>128</v>
      </c>
      <c r="C2911" s="41">
        <f t="array" ref="C2911">IF(IFERROR(INDEX(CATALOG_POINTS,MATCH(A2911,CATALOG_TASK,0)),"")="",IF(MAX(IF(IFERROR(FIND(CATALOG_BASE,A2911),0)=1,CATALOG_POINTS,0))=0,DAILY_POST_POINTS,MAX(IF(IFERROR(FIND(CATALOG_BASE,A2911),0)=1,CATALOG_POINTS,0))),IFERROR(INDEX(CATALOG_POINTS,MATCH(A2911,CATALOG_TASK,0)),""))</f>
        <v>1</v>
      </c>
      <c r="D2911" s="10" t="s">
        <v>1771</v>
      </c>
      <c r="E2911" s="41" t="str">
        <f t="shared" si="1"/>
        <v>PROX3</v>
      </c>
    </row>
    <row r="2912" ht="15.75" customHeight="1">
      <c r="A2912" s="10" t="s">
        <v>1772</v>
      </c>
      <c r="B2912" s="10" t="s">
        <v>119</v>
      </c>
      <c r="C2912" s="41">
        <f t="array" ref="C2912">IF(IFERROR(INDEX(CATALOG_POINTS,MATCH(A2912,CATALOG_TASK,0)),"")="",IF(MAX(IF(IFERROR(FIND(CATALOG_BASE,A2912),0)=1,CATALOG_POINTS,0))=0,DAILY_POST_POINTS,MAX(IF(IFERROR(FIND(CATALOG_BASE,A2912),0)=1,CATALOG_POINTS,0))),IFERROR(INDEX(CATALOG_POINTS,MATCH(A2912,CATALOG_TASK,0)),""))</f>
        <v>1</v>
      </c>
      <c r="D2912" s="10" t="s">
        <v>1772</v>
      </c>
      <c r="E2912" s="41" t="str">
        <f t="shared" si="1"/>
        <v>PROX3</v>
      </c>
    </row>
    <row r="2913" ht="15.75" customHeight="1">
      <c r="A2913" s="10" t="s">
        <v>1773</v>
      </c>
      <c r="B2913" s="10" t="s">
        <v>129</v>
      </c>
      <c r="C2913" s="41">
        <f t="array" ref="C2913">IF(IFERROR(INDEX(CATALOG_POINTS,MATCH(A2913,CATALOG_TASK,0)),"")="",IF(MAX(IF(IFERROR(FIND(CATALOG_BASE,A2913),0)=1,CATALOG_POINTS,0))=0,DAILY_POST_POINTS,MAX(IF(IFERROR(FIND(CATALOG_BASE,A2913),0)=1,CATALOG_POINTS,0))),IFERROR(INDEX(CATALOG_POINTS,MATCH(A2913,CATALOG_TASK,0)),""))</f>
        <v>1</v>
      </c>
      <c r="D2913" s="10" t="s">
        <v>1773</v>
      </c>
      <c r="E2913" s="41" t="str">
        <f t="shared" si="1"/>
        <v>PROX4</v>
      </c>
    </row>
    <row r="2914" ht="15.75" customHeight="1">
      <c r="A2914" s="10" t="s">
        <v>1774</v>
      </c>
      <c r="B2914" s="10" t="s">
        <v>133</v>
      </c>
      <c r="C2914" s="41">
        <f t="array" ref="C2914">IF(IFERROR(INDEX(CATALOG_POINTS,MATCH(A2914,CATALOG_TASK,0)),"")="",IF(MAX(IF(IFERROR(FIND(CATALOG_BASE,A2914),0)=1,CATALOG_POINTS,0))=0,DAILY_POST_POINTS,MAX(IF(IFERROR(FIND(CATALOG_BASE,A2914),0)=1,CATALOG_POINTS,0))),IFERROR(INDEX(CATALOG_POINTS,MATCH(A2914,CATALOG_TASK,0)),""))</f>
        <v>1</v>
      </c>
      <c r="D2914" s="10" t="s">
        <v>1775</v>
      </c>
      <c r="E2914" s="41" t="str">
        <f t="shared" si="1"/>
        <v>PROX3</v>
      </c>
    </row>
    <row r="2915" ht="15.75" customHeight="1">
      <c r="A2915" s="10" t="s">
        <v>34</v>
      </c>
      <c r="B2915" s="10" t="s">
        <v>119</v>
      </c>
      <c r="C2915" s="41">
        <f t="array" ref="C2915">IF(IFERROR(INDEX(CATALOG_POINTS,MATCH(A2915,CATALOG_TASK,0)),"")="",IF(MAX(IF(IFERROR(FIND(CATALOG_BASE,A2915),0)=1,CATALOG_POINTS,0))=0,DAILY_POST_POINTS,MAX(IF(IFERROR(FIND(CATALOG_BASE,A2915),0)=1,CATALOG_POINTS,0))),IFERROR(INDEX(CATALOG_POINTS,MATCH(A2915,CATALOG_TASK,0)),""))</f>
        <v>2</v>
      </c>
      <c r="D2915" s="10" t="s">
        <v>1775</v>
      </c>
      <c r="E2915" s="41" t="str">
        <f t="shared" si="1"/>
        <v>PROX3</v>
      </c>
    </row>
    <row r="2916" ht="15.75" customHeight="1">
      <c r="A2916" s="10" t="s">
        <v>178</v>
      </c>
      <c r="B2916" s="10" t="s">
        <v>128</v>
      </c>
      <c r="C2916" s="41">
        <f t="array" ref="C2916">IF(IFERROR(INDEX(CATALOG_POINTS,MATCH(A2916,CATALOG_TASK,0)),"")="",IF(MAX(IF(IFERROR(FIND(CATALOG_BASE,A2916),0)=1,CATALOG_POINTS,0))=0,DAILY_POST_POINTS,MAX(IF(IFERROR(FIND(CATALOG_BASE,A2916),0)=1,CATALOG_POINTS,0))),IFERROR(INDEX(CATALOG_POINTS,MATCH(A2916,CATALOG_TASK,0)),""))</f>
        <v>1</v>
      </c>
      <c r="D2916" s="10" t="s">
        <v>1775</v>
      </c>
      <c r="E2916" s="41" t="str">
        <f t="shared" si="1"/>
        <v>PROX3</v>
      </c>
    </row>
    <row r="2917" ht="15.75" customHeight="1">
      <c r="A2917" s="10" t="s">
        <v>37</v>
      </c>
      <c r="B2917" s="10" t="s">
        <v>123</v>
      </c>
      <c r="C2917" s="41">
        <f t="array" ref="C2917">IF(IFERROR(INDEX(CATALOG_POINTS,MATCH(A2917,CATALOG_TASK,0)),"")="",IF(MAX(IF(IFERROR(FIND(CATALOG_BASE,A2917),0)=1,CATALOG_POINTS,0))=0,DAILY_POST_POINTS,MAX(IF(IFERROR(FIND(CATALOG_BASE,A2917),0)=1,CATALOG_POINTS,0))),IFERROR(INDEX(CATALOG_POINTS,MATCH(A2917,CATALOG_TASK,0)),""))</f>
        <v>2</v>
      </c>
      <c r="D2917" s="10" t="s">
        <v>1775</v>
      </c>
      <c r="E2917" s="41" t="str">
        <f t="shared" si="1"/>
        <v>PROX3</v>
      </c>
    </row>
    <row r="2918" ht="15.75" customHeight="1">
      <c r="A2918" s="10" t="s">
        <v>37</v>
      </c>
      <c r="B2918" s="10" t="s">
        <v>126</v>
      </c>
      <c r="C2918" s="41">
        <f t="array" ref="C2918">IF(IFERROR(INDEX(CATALOG_POINTS,MATCH(A2918,CATALOG_TASK,0)),"")="",IF(MAX(IF(IFERROR(FIND(CATALOG_BASE,A2918),0)=1,CATALOG_POINTS,0))=0,DAILY_POST_POINTS,MAX(IF(IFERROR(FIND(CATALOG_BASE,A2918),0)=1,CATALOG_POINTS,0))),IFERROR(INDEX(CATALOG_POINTS,MATCH(A2918,CATALOG_TASK,0)),""))</f>
        <v>2</v>
      </c>
      <c r="D2918" s="10" t="s">
        <v>1775</v>
      </c>
      <c r="E2918" s="41" t="str">
        <f t="shared" si="1"/>
        <v>PROX3</v>
      </c>
    </row>
    <row r="2919" ht="15.75" customHeight="1">
      <c r="A2919" s="10" t="s">
        <v>890</v>
      </c>
      <c r="B2919" s="10" t="s">
        <v>119</v>
      </c>
      <c r="C2919" s="41">
        <f t="array" ref="C2919">IF(IFERROR(INDEX(CATALOG_POINTS,MATCH(A2919,CATALOG_TASK,0)),"")="",IF(MAX(IF(IFERROR(FIND(CATALOG_BASE,A2919),0)=1,CATALOG_POINTS,0))=0,DAILY_POST_POINTS,MAX(IF(IFERROR(FIND(CATALOG_BASE,A2919),0)=1,CATALOG_POINTS,0))),IFERROR(INDEX(CATALOG_POINTS,MATCH(A2919,CATALOG_TASK,0)),""))</f>
        <v>1</v>
      </c>
      <c r="D2919" s="10" t="s">
        <v>1775</v>
      </c>
      <c r="E2919" s="41" t="str">
        <f t="shared" si="1"/>
        <v>PROX3</v>
      </c>
    </row>
    <row r="2920" ht="15.75" customHeight="1">
      <c r="A2920" s="10" t="s">
        <v>37</v>
      </c>
      <c r="B2920" s="10" t="s">
        <v>123</v>
      </c>
      <c r="C2920" s="41">
        <f t="array" ref="C2920">IF(IFERROR(INDEX(CATALOG_POINTS,MATCH(A2920,CATALOG_TASK,0)),"")="",IF(MAX(IF(IFERROR(FIND(CATALOG_BASE,A2920),0)=1,CATALOG_POINTS,0))=0,DAILY_POST_POINTS,MAX(IF(IFERROR(FIND(CATALOG_BASE,A2920),0)=1,CATALOG_POINTS,0))),IFERROR(INDEX(CATALOG_POINTS,MATCH(A2920,CATALOG_TASK,0)),""))</f>
        <v>2</v>
      </c>
      <c r="D2920" s="10" t="s">
        <v>1775</v>
      </c>
      <c r="E2920" s="41" t="str">
        <f t="shared" si="1"/>
        <v>PROX3</v>
      </c>
    </row>
    <row r="2921" ht="15.75" customHeight="1">
      <c r="A2921" s="10" t="s">
        <v>34</v>
      </c>
      <c r="B2921" s="10" t="s">
        <v>119</v>
      </c>
      <c r="C2921" s="41">
        <f t="array" ref="C2921">IF(IFERROR(INDEX(CATALOG_POINTS,MATCH(A2921,CATALOG_TASK,0)),"")="",IF(MAX(IF(IFERROR(FIND(CATALOG_BASE,A2921),0)=1,CATALOG_POINTS,0))=0,DAILY_POST_POINTS,MAX(IF(IFERROR(FIND(CATALOG_BASE,A2921),0)=1,CATALOG_POINTS,0))),IFERROR(INDEX(CATALOG_POINTS,MATCH(A2921,CATALOG_TASK,0)),""))</f>
        <v>2</v>
      </c>
      <c r="D2921" s="10" t="s">
        <v>1775</v>
      </c>
      <c r="E2921" s="41" t="str">
        <f t="shared" si="1"/>
        <v>PROX3</v>
      </c>
    </row>
    <row r="2922" ht="15.75" customHeight="1">
      <c r="A2922" s="10" t="s">
        <v>179</v>
      </c>
      <c r="B2922" s="10" t="s">
        <v>142</v>
      </c>
      <c r="C2922" s="41">
        <f t="array" ref="C2922">IF(IFERROR(INDEX(CATALOG_POINTS,MATCH(A2922,CATALOG_TASK,0)),"")="",IF(MAX(IF(IFERROR(FIND(CATALOG_BASE,A2922),0)=1,CATALOG_POINTS,0))=0,DAILY_POST_POINTS,MAX(IF(IFERROR(FIND(CATALOG_BASE,A2922),0)=1,CATALOG_POINTS,0))),IFERROR(INDEX(CATALOG_POINTS,MATCH(A2922,CATALOG_TASK,0)),""))</f>
        <v>1</v>
      </c>
      <c r="D2922" s="10" t="s">
        <v>1775</v>
      </c>
      <c r="E2922" s="41" t="str">
        <f t="shared" si="1"/>
        <v>PROX3</v>
      </c>
    </row>
    <row r="2923" ht="15.75" customHeight="1">
      <c r="A2923" s="10" t="s">
        <v>24</v>
      </c>
      <c r="B2923" s="10" t="s">
        <v>117</v>
      </c>
      <c r="C2923" s="41">
        <f t="array" ref="C2923">IF(IFERROR(INDEX(CATALOG_POINTS,MATCH(A2923,CATALOG_TASK,0)),"")="",IF(MAX(IF(IFERROR(FIND(CATALOG_BASE,A2923),0)=1,CATALOG_POINTS,0))=0,DAILY_POST_POINTS,MAX(IF(IFERROR(FIND(CATALOG_BASE,A2923),0)=1,CATALOG_POINTS,0))),IFERROR(INDEX(CATALOG_POINTS,MATCH(A2923,CATALOG_TASK,0)),""))</f>
        <v>2</v>
      </c>
      <c r="D2923" s="10" t="s">
        <v>1775</v>
      </c>
      <c r="E2923" s="41" t="str">
        <f t="shared" si="1"/>
        <v>PROX3</v>
      </c>
    </row>
    <row r="2924" ht="15.75" customHeight="1">
      <c r="A2924" s="10" t="s">
        <v>24</v>
      </c>
      <c r="B2924" s="10" t="s">
        <v>117</v>
      </c>
      <c r="C2924" s="41">
        <f t="array" ref="C2924">IF(IFERROR(INDEX(CATALOG_POINTS,MATCH(A2924,CATALOG_TASK,0)),"")="",IF(MAX(IF(IFERROR(FIND(CATALOG_BASE,A2924),0)=1,CATALOG_POINTS,0))=0,DAILY_POST_POINTS,MAX(IF(IFERROR(FIND(CATALOG_BASE,A2924),0)=1,CATALOG_POINTS,0))),IFERROR(INDEX(CATALOG_POINTS,MATCH(A2924,CATALOG_TASK,0)),""))</f>
        <v>2</v>
      </c>
      <c r="D2924" s="10" t="s">
        <v>1775</v>
      </c>
      <c r="E2924" s="41" t="str">
        <f t="shared" si="1"/>
        <v>PROX3</v>
      </c>
    </row>
    <row r="2925" ht="15.75" customHeight="1">
      <c r="A2925" s="10" t="s">
        <v>890</v>
      </c>
      <c r="B2925" s="10" t="s">
        <v>119</v>
      </c>
      <c r="C2925" s="41">
        <f t="array" ref="C2925">IF(IFERROR(INDEX(CATALOG_POINTS,MATCH(A2925,CATALOG_TASK,0)),"")="",IF(MAX(IF(IFERROR(FIND(CATALOG_BASE,A2925),0)=1,CATALOG_POINTS,0))=0,DAILY_POST_POINTS,MAX(IF(IFERROR(FIND(CATALOG_BASE,A2925),0)=1,CATALOG_POINTS,0))),IFERROR(INDEX(CATALOG_POINTS,MATCH(A2925,CATALOG_TASK,0)),""))</f>
        <v>1</v>
      </c>
      <c r="D2925" s="10" t="s">
        <v>1775</v>
      </c>
      <c r="E2925" s="41" t="str">
        <f t="shared" si="1"/>
        <v>PROX3</v>
      </c>
    </row>
    <row r="2926" ht="15.75" customHeight="1">
      <c r="A2926" s="10" t="s">
        <v>37</v>
      </c>
      <c r="B2926" s="10" t="s">
        <v>124</v>
      </c>
      <c r="C2926" s="41">
        <f t="array" ref="C2926">IF(IFERROR(INDEX(CATALOG_POINTS,MATCH(A2926,CATALOG_TASK,0)),"")="",IF(MAX(IF(IFERROR(FIND(CATALOG_BASE,A2926),0)=1,CATALOG_POINTS,0))=0,DAILY_POST_POINTS,MAX(IF(IFERROR(FIND(CATALOG_BASE,A2926),0)=1,CATALOG_POINTS,0))),IFERROR(INDEX(CATALOG_POINTS,MATCH(A2926,CATALOG_TASK,0)),""))</f>
        <v>2</v>
      </c>
      <c r="D2926" s="10" t="s">
        <v>1775</v>
      </c>
      <c r="E2926" s="41" t="str">
        <f t="shared" si="1"/>
        <v>PROX3</v>
      </c>
    </row>
    <row r="2927" ht="15.75" customHeight="1">
      <c r="A2927" s="10" t="s">
        <v>168</v>
      </c>
      <c r="B2927" s="10" t="s">
        <v>121</v>
      </c>
      <c r="C2927" s="41">
        <f t="array" ref="C2927">IF(IFERROR(INDEX(CATALOG_POINTS,MATCH(A2927,CATALOG_TASK,0)),"")="",IF(MAX(IF(IFERROR(FIND(CATALOG_BASE,A2927),0)=1,CATALOG_POINTS,0))=0,DAILY_POST_POINTS,MAX(IF(IFERROR(FIND(CATALOG_BASE,A2927),0)=1,CATALOG_POINTS,0))),IFERROR(INDEX(CATALOG_POINTS,MATCH(A2927,CATALOG_TASK,0)),""))</f>
        <v>1</v>
      </c>
      <c r="D2927" s="10" t="s">
        <v>1776</v>
      </c>
      <c r="E2927" s="41" t="str">
        <f t="shared" si="1"/>
        <v>E0</v>
      </c>
    </row>
    <row r="2928" ht="15.75" customHeight="1">
      <c r="A2928" s="10" t="s">
        <v>37</v>
      </c>
      <c r="B2928" s="10" t="s">
        <v>128</v>
      </c>
      <c r="C2928" s="41">
        <f t="array" ref="C2928">IF(IFERROR(INDEX(CATALOG_POINTS,MATCH(A2928,CATALOG_TASK,0)),"")="",IF(MAX(IF(IFERROR(FIND(CATALOG_BASE,A2928),0)=1,CATALOG_POINTS,0))=0,DAILY_POST_POINTS,MAX(IF(IFERROR(FIND(CATALOG_BASE,A2928),0)=1,CATALOG_POINTS,0))),IFERROR(INDEX(CATALOG_POINTS,MATCH(A2928,CATALOG_TASK,0)),""))</f>
        <v>2</v>
      </c>
      <c r="D2928" s="10" t="s">
        <v>1776</v>
      </c>
      <c r="E2928" s="41" t="str">
        <f t="shared" si="1"/>
        <v>E0</v>
      </c>
    </row>
    <row r="2929" ht="15.75" customHeight="1">
      <c r="A2929" s="10" t="s">
        <v>37</v>
      </c>
      <c r="B2929" s="10" t="s">
        <v>121</v>
      </c>
      <c r="C2929" s="41">
        <f t="array" ref="C2929">IF(IFERROR(INDEX(CATALOG_POINTS,MATCH(A2929,CATALOG_TASK,0)),"")="",IF(MAX(IF(IFERROR(FIND(CATALOG_BASE,A2929),0)=1,CATALOG_POINTS,0))=0,DAILY_POST_POINTS,MAX(IF(IFERROR(FIND(CATALOG_BASE,A2929),0)=1,CATALOG_POINTS,0))),IFERROR(INDEX(CATALOG_POINTS,MATCH(A2929,CATALOG_TASK,0)),""))</f>
        <v>2</v>
      </c>
      <c r="D2929" s="10" t="s">
        <v>1776</v>
      </c>
      <c r="E2929" s="41" t="str">
        <f t="shared" si="1"/>
        <v>E0</v>
      </c>
    </row>
    <row r="2930" ht="15.75" customHeight="1">
      <c r="A2930" s="10" t="s">
        <v>1776</v>
      </c>
      <c r="B2930" s="10" t="s">
        <v>136</v>
      </c>
      <c r="C2930" s="41">
        <f t="array" ref="C2930">IF(IFERROR(INDEX(CATALOG_POINTS,MATCH(A2930,CATALOG_TASK,0)),"")="",IF(MAX(IF(IFERROR(FIND(CATALOG_BASE,A2930),0)=1,CATALOG_POINTS,0))=0,DAILY_POST_POINTS,MAX(IF(IFERROR(FIND(CATALOG_BASE,A2930),0)=1,CATALOG_POINTS,0))),IFERROR(INDEX(CATALOG_POINTS,MATCH(A2930,CATALOG_TASK,0)),""))</f>
        <v>1</v>
      </c>
      <c r="D2930" s="10" t="s">
        <v>1776</v>
      </c>
      <c r="E2930" s="41" t="str">
        <f t="shared" si="1"/>
        <v>E0</v>
      </c>
    </row>
    <row r="2931" ht="15.75" customHeight="1">
      <c r="A2931" s="10" t="s">
        <v>1777</v>
      </c>
      <c r="B2931" s="10" t="s">
        <v>133</v>
      </c>
      <c r="C2931" s="41">
        <f t="array" ref="C2931">IF(IFERROR(INDEX(CATALOG_POINTS,MATCH(A2931,CATALOG_TASK,0)),"")="",IF(MAX(IF(IFERROR(FIND(CATALOG_BASE,A2931),0)=1,CATALOG_POINTS,0))=0,DAILY_POST_POINTS,MAX(IF(IFERROR(FIND(CATALOG_BASE,A2931),0)=1,CATALOG_POINTS,0))),IFERROR(INDEX(CATALOG_POINTS,MATCH(A2931,CATALOG_TASK,0)),""))</f>
        <v>1</v>
      </c>
      <c r="D2931" s="10" t="s">
        <v>1777</v>
      </c>
      <c r="E2931" s="41" t="str">
        <f t="shared" si="1"/>
        <v>PROX5</v>
      </c>
    </row>
    <row r="2932" ht="15.75" customHeight="1">
      <c r="A2932" s="10" t="s">
        <v>1778</v>
      </c>
      <c r="B2932" s="10" t="s">
        <v>126</v>
      </c>
      <c r="C2932" s="41">
        <f t="array" ref="C2932">IF(IFERROR(INDEX(CATALOG_POINTS,MATCH(A2932,CATALOG_TASK,0)),"")="",IF(MAX(IF(IFERROR(FIND(CATALOG_BASE,A2932),0)=1,CATALOG_POINTS,0))=0,DAILY_POST_POINTS,MAX(IF(IFERROR(FIND(CATALOG_BASE,A2932),0)=1,CATALOG_POINTS,0))),IFERROR(INDEX(CATALOG_POINTS,MATCH(A2932,CATALOG_TASK,0)),""))</f>
        <v>1</v>
      </c>
      <c r="D2932" s="10" t="s">
        <v>1778</v>
      </c>
      <c r="E2932" s="41" t="str">
        <f t="shared" si="1"/>
        <v>SE1</v>
      </c>
    </row>
    <row r="2933" ht="15.75" customHeight="1">
      <c r="A2933" s="10" t="s">
        <v>1779</v>
      </c>
      <c r="B2933" s="10" t="s">
        <v>122</v>
      </c>
      <c r="C2933" s="41">
        <f t="array" ref="C2933">IF(IFERROR(INDEX(CATALOG_POINTS,MATCH(A2933,CATALOG_TASK,0)),"")="",IF(MAX(IF(IFERROR(FIND(CATALOG_BASE,A2933),0)=1,CATALOG_POINTS,0))=0,DAILY_POST_POINTS,MAX(IF(IFERROR(FIND(CATALOG_BASE,A2933),0)=1,CATALOG_POINTS,0))),IFERROR(INDEX(CATALOG_POINTS,MATCH(A2933,CATALOG_TASK,0)),""))</f>
        <v>1</v>
      </c>
      <c r="D2933" s="10" t="s">
        <v>1779</v>
      </c>
      <c r="E2933" s="41" t="str">
        <f t="shared" si="1"/>
        <v>SE1</v>
      </c>
    </row>
    <row r="2934" ht="15.75" customHeight="1">
      <c r="A2934" s="10" t="s">
        <v>1780</v>
      </c>
      <c r="B2934" s="10" t="s">
        <v>124</v>
      </c>
      <c r="C2934" s="41">
        <f t="array" ref="C2934">IF(IFERROR(INDEX(CATALOG_POINTS,MATCH(A2934,CATALOG_TASK,0)),"")="",IF(MAX(IF(IFERROR(FIND(CATALOG_BASE,A2934),0)=1,CATALOG_POINTS,0))=0,DAILY_POST_POINTS,MAX(IF(IFERROR(FIND(CATALOG_BASE,A2934),0)=1,CATALOG_POINTS,0))),IFERROR(INDEX(CATALOG_POINTS,MATCH(A2934,CATALOG_TASK,0)),""))</f>
        <v>1</v>
      </c>
      <c r="D2934" s="10" t="s">
        <v>1780</v>
      </c>
      <c r="E2934" s="41" t="str">
        <f t="shared" si="1"/>
        <v>SE1</v>
      </c>
    </row>
    <row r="2935" ht="15.75" customHeight="1">
      <c r="A2935" s="10" t="s">
        <v>1781</v>
      </c>
      <c r="B2935" s="10" t="s">
        <v>123</v>
      </c>
      <c r="C2935" s="41">
        <f t="array" ref="C2935">IF(IFERROR(INDEX(CATALOG_POINTS,MATCH(A2935,CATALOG_TASK,0)),"")="",IF(MAX(IF(IFERROR(FIND(CATALOG_BASE,A2935),0)=1,CATALOG_POINTS,0))=0,DAILY_POST_POINTS,MAX(IF(IFERROR(FIND(CATALOG_BASE,A2935),0)=1,CATALOG_POINTS,0))),IFERROR(INDEX(CATALOG_POINTS,MATCH(A2935,CATALOG_TASK,0)),""))</f>
        <v>1</v>
      </c>
      <c r="D2935" s="10" t="s">
        <v>1781</v>
      </c>
      <c r="E2935" s="41" t="str">
        <f t="shared" si="1"/>
        <v>E0</v>
      </c>
    </row>
    <row r="2936" ht="15.75" customHeight="1">
      <c r="A2936" s="10" t="s">
        <v>1782</v>
      </c>
      <c r="B2936" s="10" t="s">
        <v>136</v>
      </c>
      <c r="C2936" s="41">
        <f t="array" ref="C2936">IF(IFERROR(INDEX(CATALOG_POINTS,MATCH(A2936,CATALOG_TASK,0)),"")="",IF(MAX(IF(IFERROR(FIND(CATALOG_BASE,A2936),0)=1,CATALOG_POINTS,0))=0,DAILY_POST_POINTS,MAX(IF(IFERROR(FIND(CATALOG_BASE,A2936),0)=1,CATALOG_POINTS,0))),IFERROR(INDEX(CATALOG_POINTS,MATCH(A2936,CATALOG_TASK,0)),""))</f>
        <v>1</v>
      </c>
      <c r="D2936" s="10" t="s">
        <v>1782</v>
      </c>
      <c r="E2936" s="41" t="str">
        <f t="shared" si="1"/>
        <v>PROX3</v>
      </c>
    </row>
    <row r="2937" ht="15.75" customHeight="1">
      <c r="A2937" s="10" t="s">
        <v>37</v>
      </c>
      <c r="B2937" s="10" t="s">
        <v>120</v>
      </c>
      <c r="C2937" s="41">
        <f t="array" ref="C2937">IF(IFERROR(INDEX(CATALOG_POINTS,MATCH(A2937,CATALOG_TASK,0)),"")="",IF(MAX(IF(IFERROR(FIND(CATALOG_BASE,A2937),0)=1,CATALOG_POINTS,0))=0,DAILY_POST_POINTS,MAX(IF(IFERROR(FIND(CATALOG_BASE,A2937),0)=1,CATALOG_POINTS,0))),IFERROR(INDEX(CATALOG_POINTS,MATCH(A2937,CATALOG_TASK,0)),""))</f>
        <v>2</v>
      </c>
      <c r="D2937" s="10" t="s">
        <v>1783</v>
      </c>
      <c r="E2937" s="41" t="str">
        <f t="shared" si="1"/>
        <v/>
      </c>
    </row>
    <row r="2938" ht="15.75" customHeight="1">
      <c r="A2938" s="10" t="s">
        <v>1783</v>
      </c>
      <c r="B2938" s="10" t="s">
        <v>120</v>
      </c>
      <c r="C2938" s="41">
        <f t="array" ref="C2938">IF(IFERROR(INDEX(CATALOG_POINTS,MATCH(A2938,CATALOG_TASK,0)),"")="",IF(MAX(IF(IFERROR(FIND(CATALOG_BASE,A2938),0)=1,CATALOG_POINTS,0))=0,DAILY_POST_POINTS,MAX(IF(IFERROR(FIND(CATALOG_BASE,A2938),0)=1,CATALOG_POINTS,0))),IFERROR(INDEX(CATALOG_POINTS,MATCH(A2938,CATALOG_TASK,0)),""))</f>
        <v>1</v>
      </c>
      <c r="D2938" s="10" t="s">
        <v>1783</v>
      </c>
      <c r="E2938" s="41" t="str">
        <f t="shared" si="1"/>
        <v/>
      </c>
    </row>
    <row r="2939" ht="15.75" customHeight="1">
      <c r="A2939" s="10" t="s">
        <v>168</v>
      </c>
      <c r="B2939" s="10" t="s">
        <v>120</v>
      </c>
      <c r="C2939" s="41">
        <f t="array" ref="C2939">IF(IFERROR(INDEX(CATALOG_POINTS,MATCH(A2939,CATALOG_TASK,0)),"")="",IF(MAX(IF(IFERROR(FIND(CATALOG_BASE,A2939),0)=1,CATALOG_POINTS,0))=0,DAILY_POST_POINTS,MAX(IF(IFERROR(FIND(CATALOG_BASE,A2939),0)=1,CATALOG_POINTS,0))),IFERROR(INDEX(CATALOG_POINTS,MATCH(A2939,CATALOG_TASK,0)),""))</f>
        <v>1</v>
      </c>
      <c r="D2939" s="10" t="s">
        <v>1783</v>
      </c>
      <c r="E2939" s="41" t="str">
        <f t="shared" si="1"/>
        <v/>
      </c>
    </row>
    <row r="2940" ht="15.75" customHeight="1">
      <c r="A2940" s="10" t="s">
        <v>168</v>
      </c>
      <c r="B2940" s="10" t="s">
        <v>120</v>
      </c>
      <c r="C2940" s="41">
        <f t="array" ref="C2940">IF(IFERROR(INDEX(CATALOG_POINTS,MATCH(A2940,CATALOG_TASK,0)),"")="",IF(MAX(IF(IFERROR(FIND(CATALOG_BASE,A2940),0)=1,CATALOG_POINTS,0))=0,DAILY_POST_POINTS,MAX(IF(IFERROR(FIND(CATALOG_BASE,A2940),0)=1,CATALOG_POINTS,0))),IFERROR(INDEX(CATALOG_POINTS,MATCH(A2940,CATALOG_TASK,0)),""))</f>
        <v>1</v>
      </c>
      <c r="D2940" s="10" t="s">
        <v>1783</v>
      </c>
      <c r="E2940" s="41" t="str">
        <f t="shared" si="1"/>
        <v/>
      </c>
    </row>
    <row r="2941" ht="15.75" customHeight="1">
      <c r="A2941" s="10" t="s">
        <v>37</v>
      </c>
      <c r="B2941" s="10" t="s">
        <v>120</v>
      </c>
      <c r="C2941" s="41">
        <f t="array" ref="C2941">IF(IFERROR(INDEX(CATALOG_POINTS,MATCH(A2941,CATALOG_TASK,0)),"")="",IF(MAX(IF(IFERROR(FIND(CATALOG_BASE,A2941),0)=1,CATALOG_POINTS,0))=0,DAILY_POST_POINTS,MAX(IF(IFERROR(FIND(CATALOG_BASE,A2941),0)=1,CATALOG_POINTS,0))),IFERROR(INDEX(CATALOG_POINTS,MATCH(A2941,CATALOG_TASK,0)),""))</f>
        <v>2</v>
      </c>
      <c r="D2941" s="10" t="s">
        <v>1783</v>
      </c>
      <c r="E2941" s="41" t="str">
        <f t="shared" si="1"/>
        <v/>
      </c>
    </row>
    <row r="2942" ht="15.75" customHeight="1">
      <c r="A2942" s="10" t="s">
        <v>178</v>
      </c>
      <c r="B2942" s="10" t="s">
        <v>123</v>
      </c>
      <c r="C2942" s="41">
        <f t="array" ref="C2942">IF(IFERROR(INDEX(CATALOG_POINTS,MATCH(A2942,CATALOG_TASK,0)),"")="",IF(MAX(IF(IFERROR(FIND(CATALOG_BASE,A2942),0)=1,CATALOG_POINTS,0))=0,DAILY_POST_POINTS,MAX(IF(IFERROR(FIND(CATALOG_BASE,A2942),0)=1,CATALOG_POINTS,0))),IFERROR(INDEX(CATALOG_POINTS,MATCH(A2942,CATALOG_TASK,0)),""))</f>
        <v>1</v>
      </c>
      <c r="D2942" s="10" t="s">
        <v>1784</v>
      </c>
      <c r="E2942" s="41" t="str">
        <f t="shared" si="1"/>
        <v/>
      </c>
    </row>
    <row r="2943" ht="15.75" customHeight="1">
      <c r="A2943" s="10" t="s">
        <v>1785</v>
      </c>
      <c r="B2943" s="10" t="s">
        <v>121</v>
      </c>
      <c r="C2943" s="41">
        <f t="array" ref="C2943">IF(IFERROR(INDEX(CATALOG_POINTS,MATCH(A2943,CATALOG_TASK,0)),"")="",IF(MAX(IF(IFERROR(FIND(CATALOG_BASE,A2943),0)=1,CATALOG_POINTS,0))=0,DAILY_POST_POINTS,MAX(IF(IFERROR(FIND(CATALOG_BASE,A2943),0)=1,CATALOG_POINTS,0))),IFERROR(INDEX(CATALOG_POINTS,MATCH(A2943,CATALOG_TASK,0)),""))</f>
        <v>1</v>
      </c>
      <c r="D2943" s="10" t="s">
        <v>1785</v>
      </c>
      <c r="E2943" s="41" t="str">
        <f t="shared" si="1"/>
        <v>E0</v>
      </c>
    </row>
    <row r="2944" ht="15.75" customHeight="1">
      <c r="A2944" s="10" t="s">
        <v>37</v>
      </c>
      <c r="B2944" s="10" t="s">
        <v>122</v>
      </c>
      <c r="C2944" s="41">
        <f t="array" ref="C2944">IF(IFERROR(INDEX(CATALOG_POINTS,MATCH(A2944,CATALOG_TASK,0)),"")="",IF(MAX(IF(IFERROR(FIND(CATALOG_BASE,A2944),0)=1,CATALOG_POINTS,0))=0,DAILY_POST_POINTS,MAX(IF(IFERROR(FIND(CATALOG_BASE,A2944),0)=1,CATALOG_POINTS,0))),IFERROR(INDEX(CATALOG_POINTS,MATCH(A2944,CATALOG_TASK,0)),""))</f>
        <v>2</v>
      </c>
      <c r="D2944" s="10" t="s">
        <v>1786</v>
      </c>
      <c r="E2944" s="41" t="str">
        <f t="shared" si="1"/>
        <v>PROX3</v>
      </c>
    </row>
    <row r="2945" ht="15.75" customHeight="1">
      <c r="A2945" s="10" t="s">
        <v>1786</v>
      </c>
      <c r="B2945" s="10" t="s">
        <v>133</v>
      </c>
      <c r="C2945" s="41">
        <f t="array" ref="C2945">IF(IFERROR(INDEX(CATALOG_POINTS,MATCH(A2945,CATALOG_TASK,0)),"")="",IF(MAX(IF(IFERROR(FIND(CATALOG_BASE,A2945),0)=1,CATALOG_POINTS,0))=0,DAILY_POST_POINTS,MAX(IF(IFERROR(FIND(CATALOG_BASE,A2945),0)=1,CATALOG_POINTS,0))),IFERROR(INDEX(CATALOG_POINTS,MATCH(A2945,CATALOG_TASK,0)),""))</f>
        <v>1</v>
      </c>
      <c r="D2945" s="10" t="s">
        <v>1786</v>
      </c>
      <c r="E2945" s="41" t="str">
        <f t="shared" si="1"/>
        <v>PROX3</v>
      </c>
    </row>
    <row r="2946" ht="15.75" customHeight="1">
      <c r="A2946" s="10" t="s">
        <v>1787</v>
      </c>
      <c r="B2946" s="10" t="s">
        <v>133</v>
      </c>
      <c r="C2946" s="41">
        <f t="array" ref="C2946">IF(IFERROR(INDEX(CATALOG_POINTS,MATCH(A2946,CATALOG_TASK,0)),"")="",IF(MAX(IF(IFERROR(FIND(CATALOG_BASE,A2946),0)=1,CATALOG_POINTS,0))=0,DAILY_POST_POINTS,MAX(IF(IFERROR(FIND(CATALOG_BASE,A2946),0)=1,CATALOG_POINTS,0))),IFERROR(INDEX(CATALOG_POINTS,MATCH(A2946,CATALOG_TASK,0)),""))</f>
        <v>1</v>
      </c>
      <c r="D2946" s="10" t="s">
        <v>1787</v>
      </c>
      <c r="E2946" s="41" t="str">
        <f t="shared" si="1"/>
        <v>E0</v>
      </c>
    </row>
    <row r="2947" ht="15.75" customHeight="1">
      <c r="A2947" s="10" t="s">
        <v>1788</v>
      </c>
      <c r="B2947" s="10" t="s">
        <v>117</v>
      </c>
      <c r="C2947" s="41">
        <f t="array" ref="C2947">IF(IFERROR(INDEX(CATALOG_POINTS,MATCH(A2947,CATALOG_TASK,0)),"")="",IF(MAX(IF(IFERROR(FIND(CATALOG_BASE,A2947),0)=1,CATALOG_POINTS,0))=0,DAILY_POST_POINTS,MAX(IF(IFERROR(FIND(CATALOG_BASE,A2947),0)=1,CATALOG_POINTS,0))),IFERROR(INDEX(CATALOG_POINTS,MATCH(A2947,CATALOG_TASK,0)),""))</f>
        <v>1</v>
      </c>
      <c r="D2947" s="10" t="s">
        <v>1788</v>
      </c>
      <c r="E2947" s="41" t="str">
        <f t="shared" si="1"/>
        <v>PROX3</v>
      </c>
    </row>
    <row r="2948" ht="15.75" customHeight="1">
      <c r="A2948" s="10" t="s">
        <v>37</v>
      </c>
      <c r="B2948" s="10" t="s">
        <v>121</v>
      </c>
      <c r="C2948" s="41">
        <f t="array" ref="C2948">IF(IFERROR(INDEX(CATALOG_POINTS,MATCH(A2948,CATALOG_TASK,0)),"")="",IF(MAX(IF(IFERROR(FIND(CATALOG_BASE,A2948),0)=1,CATALOG_POINTS,0))=0,DAILY_POST_POINTS,MAX(IF(IFERROR(FIND(CATALOG_BASE,A2948),0)=1,CATALOG_POINTS,0))),IFERROR(INDEX(CATALOG_POINTS,MATCH(A2948,CATALOG_TASK,0)),""))</f>
        <v>2</v>
      </c>
      <c r="D2948" s="10" t="s">
        <v>1789</v>
      </c>
      <c r="E2948" s="41" t="str">
        <f t="shared" si="1"/>
        <v>PROX3</v>
      </c>
    </row>
    <row r="2949" ht="15.75" customHeight="1">
      <c r="A2949" s="10" t="s">
        <v>1789</v>
      </c>
      <c r="B2949" s="10" t="s">
        <v>133</v>
      </c>
      <c r="C2949" s="41">
        <f t="array" ref="C2949">IF(IFERROR(INDEX(CATALOG_POINTS,MATCH(A2949,CATALOG_TASK,0)),"")="",IF(MAX(IF(IFERROR(FIND(CATALOG_BASE,A2949),0)=1,CATALOG_POINTS,0))=0,DAILY_POST_POINTS,MAX(IF(IFERROR(FIND(CATALOG_BASE,A2949),0)=1,CATALOG_POINTS,0))),IFERROR(INDEX(CATALOG_POINTS,MATCH(A2949,CATALOG_TASK,0)),""))</f>
        <v>1</v>
      </c>
      <c r="D2949" s="10" t="s">
        <v>1789</v>
      </c>
      <c r="E2949" s="41" t="str">
        <f t="shared" si="1"/>
        <v>PROX3</v>
      </c>
    </row>
    <row r="2950" ht="15.75" customHeight="1">
      <c r="A2950" s="10" t="s">
        <v>1790</v>
      </c>
      <c r="B2950" s="10" t="s">
        <v>126</v>
      </c>
      <c r="C2950" s="41">
        <f t="array" ref="C2950">IF(IFERROR(INDEX(CATALOG_POINTS,MATCH(A2950,CATALOG_TASK,0)),"")="",IF(MAX(IF(IFERROR(FIND(CATALOG_BASE,A2950),0)=1,CATALOG_POINTS,0))=0,DAILY_POST_POINTS,MAX(IF(IFERROR(FIND(CATALOG_BASE,A2950),0)=1,CATALOG_POINTS,0))),IFERROR(INDEX(CATALOG_POINTS,MATCH(A2950,CATALOG_TASK,0)),""))</f>
        <v>1</v>
      </c>
      <c r="D2950" s="10" t="s">
        <v>1790</v>
      </c>
      <c r="E2950" s="41" t="str">
        <f t="shared" si="1"/>
        <v>PROX5</v>
      </c>
    </row>
    <row r="2951" ht="15.75" customHeight="1">
      <c r="A2951" s="10" t="s">
        <v>1791</v>
      </c>
      <c r="B2951" s="10" t="s">
        <v>122</v>
      </c>
      <c r="C2951" s="41">
        <f t="array" ref="C2951">IF(IFERROR(INDEX(CATALOG_POINTS,MATCH(A2951,CATALOG_TASK,0)),"")="",IF(MAX(IF(IFERROR(FIND(CATALOG_BASE,A2951),0)=1,CATALOG_POINTS,0))=0,DAILY_POST_POINTS,MAX(IF(IFERROR(FIND(CATALOG_BASE,A2951),0)=1,CATALOG_POINTS,0))),IFERROR(INDEX(CATALOG_POINTS,MATCH(A2951,CATALOG_TASK,0)),""))</f>
        <v>1</v>
      </c>
      <c r="D2951" s="10" t="s">
        <v>1791</v>
      </c>
      <c r="E2951" s="41" t="str">
        <f t="shared" si="1"/>
        <v>PROX4</v>
      </c>
    </row>
    <row r="2952" ht="15.75" customHeight="1">
      <c r="A2952" s="10" t="s">
        <v>1792</v>
      </c>
      <c r="B2952" s="10" t="s">
        <v>121</v>
      </c>
      <c r="C2952" s="41">
        <f t="array" ref="C2952">IF(IFERROR(INDEX(CATALOG_POINTS,MATCH(A2952,CATALOG_TASK,0)),"")="",IF(MAX(IF(IFERROR(FIND(CATALOG_BASE,A2952),0)=1,CATALOG_POINTS,0))=0,DAILY_POST_POINTS,MAX(IF(IFERROR(FIND(CATALOG_BASE,A2952),0)=1,CATALOG_POINTS,0))),IFERROR(INDEX(CATALOG_POINTS,MATCH(A2952,CATALOG_TASK,0)),""))</f>
        <v>1</v>
      </c>
      <c r="D2952" s="10" t="s">
        <v>1792</v>
      </c>
      <c r="E2952" s="41" t="str">
        <f t="shared" si="1"/>
        <v>PROX3</v>
      </c>
    </row>
    <row r="2953" ht="15.75" customHeight="1">
      <c r="A2953" s="10" t="s">
        <v>1793</v>
      </c>
      <c r="B2953" s="10" t="s">
        <v>127</v>
      </c>
      <c r="C2953" s="41">
        <f t="array" ref="C2953">IF(IFERROR(INDEX(CATALOG_POINTS,MATCH(A2953,CATALOG_TASK,0)),"")="",IF(MAX(IF(IFERROR(FIND(CATALOG_BASE,A2953),0)=1,CATALOG_POINTS,0))=0,DAILY_POST_POINTS,MAX(IF(IFERROR(FIND(CATALOG_BASE,A2953),0)=1,CATALOG_POINTS,0))),IFERROR(INDEX(CATALOG_POINTS,MATCH(A2953,CATALOG_TASK,0)),""))</f>
        <v>1</v>
      </c>
      <c r="D2953" s="10" t="s">
        <v>1793</v>
      </c>
      <c r="E2953" s="41" t="str">
        <f t="shared" si="1"/>
        <v>PROX3</v>
      </c>
    </row>
    <row r="2954" ht="15.75" customHeight="1">
      <c r="A2954" s="10" t="s">
        <v>1794</v>
      </c>
      <c r="B2954" s="10" t="s">
        <v>122</v>
      </c>
      <c r="C2954" s="41">
        <f t="array" ref="C2954">IF(IFERROR(INDEX(CATALOG_POINTS,MATCH(A2954,CATALOG_TASK,0)),"")="",IF(MAX(IF(IFERROR(FIND(CATALOG_BASE,A2954),0)=1,CATALOG_POINTS,0))=0,DAILY_POST_POINTS,MAX(IF(IFERROR(FIND(CATALOG_BASE,A2954),0)=1,CATALOG_POINTS,0))),IFERROR(INDEX(CATALOG_POINTS,MATCH(A2954,CATALOG_TASK,0)),""))</f>
        <v>1</v>
      </c>
      <c r="D2954" s="10" t="s">
        <v>1794</v>
      </c>
      <c r="E2954" s="41" t="str">
        <f t="shared" si="1"/>
        <v>PROX4</v>
      </c>
    </row>
    <row r="2955" ht="15.75" customHeight="1">
      <c r="A2955" s="10" t="s">
        <v>34</v>
      </c>
      <c r="B2955" s="10" t="s">
        <v>119</v>
      </c>
      <c r="C2955" s="41">
        <f t="array" ref="C2955">IF(IFERROR(INDEX(CATALOG_POINTS,MATCH(A2955,CATALOG_TASK,0)),"")="",IF(MAX(IF(IFERROR(FIND(CATALOG_BASE,A2955),0)=1,CATALOG_POINTS,0))=0,DAILY_POST_POINTS,MAX(IF(IFERROR(FIND(CATALOG_BASE,A2955),0)=1,CATALOG_POINTS,0))),IFERROR(INDEX(CATALOG_POINTS,MATCH(A2955,CATALOG_TASK,0)),""))</f>
        <v>2</v>
      </c>
      <c r="D2955" s="10" t="s">
        <v>1795</v>
      </c>
      <c r="E2955" s="41" t="str">
        <f t="shared" si="1"/>
        <v>PROX3</v>
      </c>
    </row>
    <row r="2956" ht="15.75" customHeight="1">
      <c r="A2956" s="10" t="s">
        <v>1795</v>
      </c>
      <c r="B2956" s="10" t="s">
        <v>124</v>
      </c>
      <c r="C2956" s="41">
        <f t="array" ref="C2956">IF(IFERROR(INDEX(CATALOG_POINTS,MATCH(A2956,CATALOG_TASK,0)),"")="",IF(MAX(IF(IFERROR(FIND(CATALOG_BASE,A2956),0)=1,CATALOG_POINTS,0))=0,DAILY_POST_POINTS,MAX(IF(IFERROR(FIND(CATALOG_BASE,A2956),0)=1,CATALOG_POINTS,0))),IFERROR(INDEX(CATALOG_POINTS,MATCH(A2956,CATALOG_TASK,0)),""))</f>
        <v>1</v>
      </c>
      <c r="D2956" s="10" t="s">
        <v>1795</v>
      </c>
      <c r="E2956" s="41" t="str">
        <f t="shared" si="1"/>
        <v>PROX3</v>
      </c>
    </row>
    <row r="2957" ht="15.75" customHeight="1">
      <c r="A2957" s="10" t="s">
        <v>34</v>
      </c>
      <c r="B2957" s="10" t="s">
        <v>119</v>
      </c>
      <c r="C2957" s="41">
        <f t="array" ref="C2957">IF(IFERROR(INDEX(CATALOG_POINTS,MATCH(A2957,CATALOG_TASK,0)),"")="",IF(MAX(IF(IFERROR(FIND(CATALOG_BASE,A2957),0)=1,CATALOG_POINTS,0))=0,DAILY_POST_POINTS,MAX(IF(IFERROR(FIND(CATALOG_BASE,A2957),0)=1,CATALOG_POINTS,0))),IFERROR(INDEX(CATALOG_POINTS,MATCH(A2957,CATALOG_TASK,0)),""))</f>
        <v>2</v>
      </c>
      <c r="D2957" s="10" t="s">
        <v>1795</v>
      </c>
      <c r="E2957" s="41" t="str">
        <f t="shared" si="1"/>
        <v>PROX3</v>
      </c>
    </row>
    <row r="2958" ht="15.75" customHeight="1">
      <c r="A2958" s="10" t="s">
        <v>1796</v>
      </c>
      <c r="B2958" s="10" t="s">
        <v>127</v>
      </c>
      <c r="C2958" s="41">
        <f t="array" ref="C2958">IF(IFERROR(INDEX(CATALOG_POINTS,MATCH(A2958,CATALOG_TASK,0)),"")="",IF(MAX(IF(IFERROR(FIND(CATALOG_BASE,A2958),0)=1,CATALOG_POINTS,0))=0,DAILY_POST_POINTS,MAX(IF(IFERROR(FIND(CATALOG_BASE,A2958),0)=1,CATALOG_POINTS,0))),IFERROR(INDEX(CATALOG_POINTS,MATCH(A2958,CATALOG_TASK,0)),""))</f>
        <v>1</v>
      </c>
      <c r="D2958" s="10" t="s">
        <v>1796</v>
      </c>
      <c r="E2958" s="41" t="str">
        <f t="shared" si="1"/>
        <v>PROX3</v>
      </c>
    </row>
    <row r="2959" ht="15.75" customHeight="1">
      <c r="A2959" s="10" t="s">
        <v>1797</v>
      </c>
      <c r="B2959" s="10" t="s">
        <v>125</v>
      </c>
      <c r="C2959" s="41">
        <f t="array" ref="C2959">IF(IFERROR(INDEX(CATALOG_POINTS,MATCH(A2959,CATALOG_TASK,0)),"")="",IF(MAX(IF(IFERROR(FIND(CATALOG_BASE,A2959),0)=1,CATALOG_POINTS,0))=0,DAILY_POST_POINTS,MAX(IF(IFERROR(FIND(CATALOG_BASE,A2959),0)=1,CATALOG_POINTS,0))),IFERROR(INDEX(CATALOG_POINTS,MATCH(A2959,CATALOG_TASK,0)),""))</f>
        <v>1</v>
      </c>
      <c r="D2959" s="10" t="s">
        <v>1797</v>
      </c>
      <c r="E2959" s="41" t="str">
        <f t="shared" si="1"/>
        <v>PROX3</v>
      </c>
    </row>
    <row r="2960" ht="15.75" customHeight="1">
      <c r="A2960" s="10" t="s">
        <v>37</v>
      </c>
      <c r="B2960" s="10" t="s">
        <v>128</v>
      </c>
      <c r="C2960" s="41">
        <f t="array" ref="C2960">IF(IFERROR(INDEX(CATALOG_POINTS,MATCH(A2960,CATALOG_TASK,0)),"")="",IF(MAX(IF(IFERROR(FIND(CATALOG_BASE,A2960),0)=1,CATALOG_POINTS,0))=0,DAILY_POST_POINTS,MAX(IF(IFERROR(FIND(CATALOG_BASE,A2960),0)=1,CATALOG_POINTS,0))),IFERROR(INDEX(CATALOG_POINTS,MATCH(A2960,CATALOG_TASK,0)),""))</f>
        <v>2</v>
      </c>
      <c r="D2960" s="10" t="s">
        <v>1797</v>
      </c>
      <c r="E2960" s="41" t="str">
        <f t="shared" si="1"/>
        <v>PROX3</v>
      </c>
    </row>
    <row r="2961" ht="15.75" customHeight="1">
      <c r="A2961" s="10" t="s">
        <v>37</v>
      </c>
      <c r="B2961" s="10" t="s">
        <v>119</v>
      </c>
      <c r="C2961" s="41">
        <f t="array" ref="C2961">IF(IFERROR(INDEX(CATALOG_POINTS,MATCH(A2961,CATALOG_TASK,0)),"")="",IF(MAX(IF(IFERROR(FIND(CATALOG_BASE,A2961),0)=1,CATALOG_POINTS,0))=0,DAILY_POST_POINTS,MAX(IF(IFERROR(FIND(CATALOG_BASE,A2961),0)=1,CATALOG_POINTS,0))),IFERROR(INDEX(CATALOG_POINTS,MATCH(A2961,CATALOG_TASK,0)),""))</f>
        <v>2</v>
      </c>
      <c r="D2961" s="10" t="s">
        <v>1797</v>
      </c>
      <c r="E2961" s="41" t="str">
        <f t="shared" si="1"/>
        <v>PROX3</v>
      </c>
    </row>
    <row r="2962" ht="15.75" customHeight="1">
      <c r="A2962" s="10" t="s">
        <v>37</v>
      </c>
      <c r="B2962" s="10" t="s">
        <v>119</v>
      </c>
      <c r="C2962" s="41">
        <f t="array" ref="C2962">IF(IFERROR(INDEX(CATALOG_POINTS,MATCH(A2962,CATALOG_TASK,0)),"")="",IF(MAX(IF(IFERROR(FIND(CATALOG_BASE,A2962),0)=1,CATALOG_POINTS,0))=0,DAILY_POST_POINTS,MAX(IF(IFERROR(FIND(CATALOG_BASE,A2962),0)=1,CATALOG_POINTS,0))),IFERROR(INDEX(CATALOG_POINTS,MATCH(A2962,CATALOG_TASK,0)),""))</f>
        <v>2</v>
      </c>
      <c r="D2962" s="10" t="s">
        <v>1797</v>
      </c>
      <c r="E2962" s="41" t="str">
        <f t="shared" si="1"/>
        <v>PROX3</v>
      </c>
    </row>
    <row r="2963" ht="15.75" customHeight="1">
      <c r="A2963" s="10" t="s">
        <v>1798</v>
      </c>
      <c r="B2963" s="10" t="s">
        <v>125</v>
      </c>
      <c r="C2963" s="41">
        <f t="array" ref="C2963">IF(IFERROR(INDEX(CATALOG_POINTS,MATCH(A2963,CATALOG_TASK,0)),"")="",IF(MAX(IF(IFERROR(FIND(CATALOG_BASE,A2963),0)=1,CATALOG_POINTS,0))=0,DAILY_POST_POINTS,MAX(IF(IFERROR(FIND(CATALOG_BASE,A2963),0)=1,CATALOG_POINTS,0))),IFERROR(INDEX(CATALOG_POINTS,MATCH(A2963,CATALOG_TASK,0)),""))</f>
        <v>1</v>
      </c>
      <c r="D2963" s="10" t="s">
        <v>1798</v>
      </c>
      <c r="E2963" s="41" t="str">
        <f t="shared" si="1"/>
        <v>PROX3</v>
      </c>
    </row>
    <row r="2964" ht="15.75" customHeight="1">
      <c r="A2964" s="10" t="s">
        <v>37</v>
      </c>
      <c r="B2964" s="10" t="s">
        <v>119</v>
      </c>
      <c r="C2964" s="41">
        <f t="array" ref="C2964">IF(IFERROR(INDEX(CATALOG_POINTS,MATCH(A2964,CATALOG_TASK,0)),"")="",IF(MAX(IF(IFERROR(FIND(CATALOG_BASE,A2964),0)=1,CATALOG_POINTS,0))=0,DAILY_POST_POINTS,MAX(IF(IFERROR(FIND(CATALOG_BASE,A2964),0)=1,CATALOG_POINTS,0))),IFERROR(INDEX(CATALOG_POINTS,MATCH(A2964,CATALOG_TASK,0)),""))</f>
        <v>2</v>
      </c>
      <c r="D2964" s="10" t="s">
        <v>1798</v>
      </c>
      <c r="E2964" s="41" t="str">
        <f t="shared" si="1"/>
        <v>PROX3</v>
      </c>
    </row>
    <row r="2965" ht="15.75" customHeight="1">
      <c r="A2965" s="10" t="s">
        <v>37</v>
      </c>
      <c r="B2965" s="10" t="s">
        <v>119</v>
      </c>
      <c r="C2965" s="41">
        <f t="array" ref="C2965">IF(IFERROR(INDEX(CATALOG_POINTS,MATCH(A2965,CATALOG_TASK,0)),"")="",IF(MAX(IF(IFERROR(FIND(CATALOG_BASE,A2965),0)=1,CATALOG_POINTS,0))=0,DAILY_POST_POINTS,MAX(IF(IFERROR(FIND(CATALOG_BASE,A2965),0)=1,CATALOG_POINTS,0))),IFERROR(INDEX(CATALOG_POINTS,MATCH(A2965,CATALOG_TASK,0)),""))</f>
        <v>2</v>
      </c>
      <c r="D2965" s="10" t="s">
        <v>1798</v>
      </c>
      <c r="E2965" s="41" t="str">
        <f t="shared" si="1"/>
        <v>PROX3</v>
      </c>
    </row>
    <row r="2966" ht="15.75" customHeight="1">
      <c r="A2966" s="10" t="s">
        <v>1799</v>
      </c>
      <c r="B2966" s="10" t="s">
        <v>121</v>
      </c>
      <c r="C2966" s="41">
        <f t="array" ref="C2966">IF(IFERROR(INDEX(CATALOG_POINTS,MATCH(A2966,CATALOG_TASK,0)),"")="",IF(MAX(IF(IFERROR(FIND(CATALOG_BASE,A2966),0)=1,CATALOG_POINTS,0))=0,DAILY_POST_POINTS,MAX(IF(IFERROR(FIND(CATALOG_BASE,A2966),0)=1,CATALOG_POINTS,0))),IFERROR(INDEX(CATALOG_POINTS,MATCH(A2966,CATALOG_TASK,0)),""))</f>
        <v>1</v>
      </c>
      <c r="D2966" s="10" t="s">
        <v>1799</v>
      </c>
      <c r="E2966" s="41" t="str">
        <f t="shared" si="1"/>
        <v>PROX3</v>
      </c>
    </row>
    <row r="2967" ht="15.75" customHeight="1">
      <c r="A2967" s="10" t="s">
        <v>178</v>
      </c>
      <c r="B2967" s="10" t="s">
        <v>117</v>
      </c>
      <c r="C2967" s="41">
        <f t="array" ref="C2967">IF(IFERROR(INDEX(CATALOG_POINTS,MATCH(A2967,CATALOG_TASK,0)),"")="",IF(MAX(IF(IFERROR(FIND(CATALOG_BASE,A2967),0)=1,CATALOG_POINTS,0))=0,DAILY_POST_POINTS,MAX(IF(IFERROR(FIND(CATALOG_BASE,A2967),0)=1,CATALOG_POINTS,0))),IFERROR(INDEX(CATALOG_POINTS,MATCH(A2967,CATALOG_TASK,0)),""))</f>
        <v>1</v>
      </c>
      <c r="D2967" s="10" t="s">
        <v>1800</v>
      </c>
      <c r="E2967" s="41" t="str">
        <f t="shared" si="1"/>
        <v>PROX3</v>
      </c>
    </row>
    <row r="2968" ht="15.75" customHeight="1">
      <c r="A2968" s="10" t="s">
        <v>174</v>
      </c>
      <c r="B2968" s="10" t="s">
        <v>123</v>
      </c>
      <c r="C2968" s="41">
        <f t="array" ref="C2968">IF(IFERROR(INDEX(CATALOG_POINTS,MATCH(A2968,CATALOG_TASK,0)),"")="",IF(MAX(IF(IFERROR(FIND(CATALOG_BASE,A2968),0)=1,CATALOG_POINTS,0))=0,DAILY_POST_POINTS,MAX(IF(IFERROR(FIND(CATALOG_BASE,A2968),0)=1,CATALOG_POINTS,0))),IFERROR(INDEX(CATALOG_POINTS,MATCH(A2968,CATALOG_TASK,0)),""))</f>
        <v>1</v>
      </c>
      <c r="D2968" s="10" t="s">
        <v>1800</v>
      </c>
      <c r="E2968" s="41" t="str">
        <f t="shared" si="1"/>
        <v>PROX3</v>
      </c>
    </row>
    <row r="2969" ht="15.75" customHeight="1">
      <c r="A2969" s="10" t="s">
        <v>1801</v>
      </c>
      <c r="B2969" s="10" t="s">
        <v>133</v>
      </c>
      <c r="C2969" s="41">
        <f t="array" ref="C2969">IF(IFERROR(INDEX(CATALOG_POINTS,MATCH(A2969,CATALOG_TASK,0)),"")="",IF(MAX(IF(IFERROR(FIND(CATALOG_BASE,A2969),0)=1,CATALOG_POINTS,0))=0,DAILY_POST_POINTS,MAX(IF(IFERROR(FIND(CATALOG_BASE,A2969),0)=1,CATALOG_POINTS,0))),IFERROR(INDEX(CATALOG_POINTS,MATCH(A2969,CATALOG_TASK,0)),""))</f>
        <v>1</v>
      </c>
      <c r="D2969" s="10" t="s">
        <v>1801</v>
      </c>
      <c r="E2969" s="41" t="str">
        <f t="shared" si="1"/>
        <v>PROX3</v>
      </c>
    </row>
    <row r="2970" ht="15.75" customHeight="1">
      <c r="A2970" s="10" t="s">
        <v>1802</v>
      </c>
      <c r="B2970" s="10" t="s">
        <v>126</v>
      </c>
      <c r="C2970" s="41">
        <f t="array" ref="C2970">IF(IFERROR(INDEX(CATALOG_POINTS,MATCH(A2970,CATALOG_TASK,0)),"")="",IF(MAX(IF(IFERROR(FIND(CATALOG_BASE,A2970),0)=1,CATALOG_POINTS,0))=0,DAILY_POST_POINTS,MAX(IF(IFERROR(FIND(CATALOG_BASE,A2970),0)=1,CATALOG_POINTS,0))),IFERROR(INDEX(CATALOG_POINTS,MATCH(A2970,CATALOG_TASK,0)),""))</f>
        <v>1</v>
      </c>
      <c r="D2970" s="10" t="s">
        <v>1802</v>
      </c>
      <c r="E2970" s="41" t="str">
        <f t="shared" si="1"/>
        <v>PROX3</v>
      </c>
    </row>
    <row r="2971" ht="15.75" customHeight="1">
      <c r="A2971" s="10" t="s">
        <v>37</v>
      </c>
      <c r="B2971" s="10" t="s">
        <v>122</v>
      </c>
      <c r="C2971" s="41">
        <f t="array" ref="C2971">IF(IFERROR(INDEX(CATALOG_POINTS,MATCH(A2971,CATALOG_TASK,0)),"")="",IF(MAX(IF(IFERROR(FIND(CATALOG_BASE,A2971),0)=1,CATALOG_POINTS,0))=0,DAILY_POST_POINTS,MAX(IF(IFERROR(FIND(CATALOG_BASE,A2971),0)=1,CATALOG_POINTS,0))),IFERROR(INDEX(CATALOG_POINTS,MATCH(A2971,CATALOG_TASK,0)),""))</f>
        <v>2</v>
      </c>
      <c r="D2971" s="10" t="s">
        <v>1803</v>
      </c>
      <c r="E2971" s="41" t="str">
        <f t="shared" si="1"/>
        <v>PROX3</v>
      </c>
    </row>
    <row r="2972" ht="15.75" customHeight="1">
      <c r="A2972" s="10" t="s">
        <v>1803</v>
      </c>
      <c r="B2972" s="10" t="s">
        <v>133</v>
      </c>
      <c r="C2972" s="41">
        <f t="array" ref="C2972">IF(IFERROR(INDEX(CATALOG_POINTS,MATCH(A2972,CATALOG_TASK,0)),"")="",IF(MAX(IF(IFERROR(FIND(CATALOG_BASE,A2972),0)=1,CATALOG_POINTS,0))=0,DAILY_POST_POINTS,MAX(IF(IFERROR(FIND(CATALOG_BASE,A2972),0)=1,CATALOG_POINTS,0))),IFERROR(INDEX(CATALOG_POINTS,MATCH(A2972,CATALOG_TASK,0)),""))</f>
        <v>1</v>
      </c>
      <c r="D2972" s="10" t="s">
        <v>1803</v>
      </c>
      <c r="E2972" s="41" t="str">
        <f t="shared" si="1"/>
        <v>PROX3</v>
      </c>
    </row>
    <row r="2973" ht="15.75" customHeight="1">
      <c r="A2973" s="10" t="s">
        <v>1804</v>
      </c>
      <c r="B2973" s="10" t="s">
        <v>121</v>
      </c>
      <c r="C2973" s="41">
        <f t="array" ref="C2973">IF(IFERROR(INDEX(CATALOG_POINTS,MATCH(A2973,CATALOG_TASK,0)),"")="",IF(MAX(IF(IFERROR(FIND(CATALOG_BASE,A2973),0)=1,CATALOG_POINTS,0))=0,DAILY_POST_POINTS,MAX(IF(IFERROR(FIND(CATALOG_BASE,A2973),0)=1,CATALOG_POINTS,0))),IFERROR(INDEX(CATALOG_POINTS,MATCH(A2973,CATALOG_TASK,0)),""))</f>
        <v>1</v>
      </c>
      <c r="D2973" s="10" t="s">
        <v>1804</v>
      </c>
      <c r="E2973" s="41" t="str">
        <f t="shared" si="1"/>
        <v>PROX3</v>
      </c>
    </row>
    <row r="2974" ht="15.75" customHeight="1">
      <c r="A2974" s="10" t="s">
        <v>1805</v>
      </c>
      <c r="B2974" s="10" t="s">
        <v>120</v>
      </c>
      <c r="C2974" s="41">
        <f t="array" ref="C2974">IF(IFERROR(INDEX(CATALOG_POINTS,MATCH(A2974,CATALOG_TASK,0)),"")="",IF(MAX(IF(IFERROR(FIND(CATALOG_BASE,A2974),0)=1,CATALOG_POINTS,0))=0,DAILY_POST_POINTS,MAX(IF(IFERROR(FIND(CATALOG_BASE,A2974),0)=1,CATALOG_POINTS,0))),IFERROR(INDEX(CATALOG_POINTS,MATCH(A2974,CATALOG_TASK,0)),""))</f>
        <v>1</v>
      </c>
      <c r="D2974" s="10" t="s">
        <v>1805</v>
      </c>
      <c r="E2974" s="41" t="str">
        <f t="shared" si="1"/>
        <v>PROX4</v>
      </c>
    </row>
    <row r="2975" ht="15.75" customHeight="1">
      <c r="A2975" s="10" t="s">
        <v>1806</v>
      </c>
      <c r="B2975" s="10" t="s">
        <v>133</v>
      </c>
      <c r="C2975" s="41">
        <f t="array" ref="C2975">IF(IFERROR(INDEX(CATALOG_POINTS,MATCH(A2975,CATALOG_TASK,0)),"")="",IF(MAX(IF(IFERROR(FIND(CATALOG_BASE,A2975),0)=1,CATALOG_POINTS,0))=0,DAILY_POST_POINTS,MAX(IF(IFERROR(FIND(CATALOG_BASE,A2975),0)=1,CATALOG_POINTS,0))),IFERROR(INDEX(CATALOG_POINTS,MATCH(A2975,CATALOG_TASK,0)),""))</f>
        <v>1</v>
      </c>
      <c r="D2975" s="10" t="s">
        <v>1806</v>
      </c>
      <c r="E2975" s="41" t="str">
        <f t="shared" si="1"/>
        <v>E0</v>
      </c>
    </row>
    <row r="2976" ht="15.75" customHeight="1">
      <c r="A2976" s="10" t="s">
        <v>1807</v>
      </c>
      <c r="B2976" s="10" t="s">
        <v>124</v>
      </c>
      <c r="C2976" s="41">
        <f t="array" ref="C2976">IF(IFERROR(INDEX(CATALOG_POINTS,MATCH(A2976,CATALOG_TASK,0)),"")="",IF(MAX(IF(IFERROR(FIND(CATALOG_BASE,A2976),0)=1,CATALOG_POINTS,0))=0,DAILY_POST_POINTS,MAX(IF(IFERROR(FIND(CATALOG_BASE,A2976),0)=1,CATALOG_POINTS,0))),IFERROR(INDEX(CATALOG_POINTS,MATCH(A2976,CATALOG_TASK,0)),""))</f>
        <v>1</v>
      </c>
      <c r="D2976" s="10" t="s">
        <v>1807</v>
      </c>
      <c r="E2976" s="41" t="str">
        <f t="shared" si="1"/>
        <v>E0</v>
      </c>
    </row>
    <row r="2977" ht="15.75" customHeight="1">
      <c r="A2977" s="10" t="s">
        <v>1808</v>
      </c>
      <c r="B2977" s="10" t="s">
        <v>136</v>
      </c>
      <c r="C2977" s="41">
        <f t="array" ref="C2977">IF(IFERROR(INDEX(CATALOG_POINTS,MATCH(A2977,CATALOG_TASK,0)),"")="",IF(MAX(IF(IFERROR(FIND(CATALOG_BASE,A2977),0)=1,CATALOG_POINTS,0))=0,DAILY_POST_POINTS,MAX(IF(IFERROR(FIND(CATALOG_BASE,A2977),0)=1,CATALOG_POINTS,0))),IFERROR(INDEX(CATALOG_POINTS,MATCH(A2977,CATALOG_TASK,0)),""))</f>
        <v>1</v>
      </c>
      <c r="D2977" s="10" t="s">
        <v>1808</v>
      </c>
      <c r="E2977" s="41" t="str">
        <f t="shared" si="1"/>
        <v>PROX3</v>
      </c>
    </row>
    <row r="2978" ht="15.75" customHeight="1">
      <c r="A2978" s="10" t="s">
        <v>1809</v>
      </c>
      <c r="B2978" s="10" t="s">
        <v>133</v>
      </c>
      <c r="C2978" s="41">
        <f t="array" ref="C2978">IF(IFERROR(INDEX(CATALOG_POINTS,MATCH(A2978,CATALOG_TASK,0)),"")="",IF(MAX(IF(IFERROR(FIND(CATALOG_BASE,A2978),0)=1,CATALOG_POINTS,0))=0,DAILY_POST_POINTS,MAX(IF(IFERROR(FIND(CATALOG_BASE,A2978),0)=1,CATALOG_POINTS,0))),IFERROR(INDEX(CATALOG_POINTS,MATCH(A2978,CATALOG_TASK,0)),""))</f>
        <v>1</v>
      </c>
      <c r="D2978" s="10" t="s">
        <v>1809</v>
      </c>
      <c r="E2978" s="41" t="str">
        <f t="shared" si="1"/>
        <v>PROX4</v>
      </c>
    </row>
    <row r="2979" ht="15.75" customHeight="1">
      <c r="A2979" s="10" t="s">
        <v>1810</v>
      </c>
      <c r="B2979" s="10" t="s">
        <v>133</v>
      </c>
      <c r="C2979" s="41">
        <f t="array" ref="C2979">IF(IFERROR(INDEX(CATALOG_POINTS,MATCH(A2979,CATALOG_TASK,0)),"")="",IF(MAX(IF(IFERROR(FIND(CATALOG_BASE,A2979),0)=1,CATALOG_POINTS,0))=0,DAILY_POST_POINTS,MAX(IF(IFERROR(FIND(CATALOG_BASE,A2979),0)=1,CATALOG_POINTS,0))),IFERROR(INDEX(CATALOG_POINTS,MATCH(A2979,CATALOG_TASK,0)),""))</f>
        <v>1</v>
      </c>
      <c r="D2979" s="10" t="s">
        <v>1810</v>
      </c>
      <c r="E2979" s="41" t="str">
        <f t="shared" si="1"/>
        <v>PROX3</v>
      </c>
    </row>
    <row r="2980" ht="15.75" customHeight="1">
      <c r="A2980" s="10" t="s">
        <v>1811</v>
      </c>
      <c r="B2980" s="10" t="s">
        <v>129</v>
      </c>
      <c r="C2980" s="41">
        <f t="array" ref="C2980">IF(IFERROR(INDEX(CATALOG_POINTS,MATCH(A2980,CATALOG_TASK,0)),"")="",IF(MAX(IF(IFERROR(FIND(CATALOG_BASE,A2980),0)=1,CATALOG_POINTS,0))=0,DAILY_POST_POINTS,MAX(IF(IFERROR(FIND(CATALOG_BASE,A2980),0)=1,CATALOG_POINTS,0))),IFERROR(INDEX(CATALOG_POINTS,MATCH(A2980,CATALOG_TASK,0)),""))</f>
        <v>1</v>
      </c>
      <c r="D2980" s="10" t="s">
        <v>1811</v>
      </c>
      <c r="E2980" s="41" t="str">
        <f t="shared" si="1"/>
        <v>PROX3</v>
      </c>
    </row>
    <row r="2981" ht="15.75" customHeight="1">
      <c r="A2981" s="10" t="s">
        <v>1812</v>
      </c>
      <c r="B2981" s="10" t="s">
        <v>119</v>
      </c>
      <c r="C2981" s="41">
        <f t="array" ref="C2981">IF(IFERROR(INDEX(CATALOG_POINTS,MATCH(A2981,CATALOG_TASK,0)),"")="",IF(MAX(IF(IFERROR(FIND(CATALOG_BASE,A2981),0)=1,CATALOG_POINTS,0))=0,DAILY_POST_POINTS,MAX(IF(IFERROR(FIND(CATALOG_BASE,A2981),0)=1,CATALOG_POINTS,0))),IFERROR(INDEX(CATALOG_POINTS,MATCH(A2981,CATALOG_TASK,0)),""))</f>
        <v>1</v>
      </c>
      <c r="D2981" s="10" t="s">
        <v>1812</v>
      </c>
      <c r="E2981" s="41" t="str">
        <f t="shared" si="1"/>
        <v>PROX3</v>
      </c>
    </row>
    <row r="2982" ht="15.75" customHeight="1">
      <c r="A2982" s="10" t="s">
        <v>1403</v>
      </c>
      <c r="B2982" s="10" t="s">
        <v>126</v>
      </c>
      <c r="C2982" s="41">
        <f t="array" ref="C2982">IF(IFERROR(INDEX(CATALOG_POINTS,MATCH(A2982,CATALOG_TASK,0)),"")="",IF(MAX(IF(IFERROR(FIND(CATALOG_BASE,A2982),0)=1,CATALOG_POINTS,0))=0,DAILY_POST_POINTS,MAX(IF(IFERROR(FIND(CATALOG_BASE,A2982),0)=1,CATALOG_POINTS,0))),IFERROR(INDEX(CATALOG_POINTS,MATCH(A2982,CATALOG_TASK,0)),""))</f>
        <v>2</v>
      </c>
      <c r="D2982" s="10" t="s">
        <v>1812</v>
      </c>
      <c r="E2982" s="41" t="str">
        <f t="shared" si="1"/>
        <v>PROX3</v>
      </c>
    </row>
    <row r="2983" ht="15.75" customHeight="1">
      <c r="A2983" s="10" t="s">
        <v>1813</v>
      </c>
      <c r="B2983" s="10" t="s">
        <v>127</v>
      </c>
      <c r="C2983" s="41">
        <f t="array" ref="C2983">IF(IFERROR(INDEX(CATALOG_POINTS,MATCH(A2983,CATALOG_TASK,0)),"")="",IF(MAX(IF(IFERROR(FIND(CATALOG_BASE,A2983),0)=1,CATALOG_POINTS,0))=0,DAILY_POST_POINTS,MAX(IF(IFERROR(FIND(CATALOG_BASE,A2983),0)=1,CATALOG_POINTS,0))),IFERROR(INDEX(CATALOG_POINTS,MATCH(A2983,CATALOG_TASK,0)),""))</f>
        <v>1</v>
      </c>
      <c r="D2983" s="10" t="s">
        <v>1813</v>
      </c>
      <c r="E2983" s="41" t="str">
        <f t="shared" si="1"/>
        <v>PROX3</v>
      </c>
    </row>
    <row r="2984" ht="15.75" customHeight="1">
      <c r="A2984" s="10" t="s">
        <v>1814</v>
      </c>
      <c r="B2984" s="10" t="s">
        <v>117</v>
      </c>
      <c r="C2984" s="41">
        <f t="array" ref="C2984">IF(IFERROR(INDEX(CATALOG_POINTS,MATCH(A2984,CATALOG_TASK,0)),"")="",IF(MAX(IF(IFERROR(FIND(CATALOG_BASE,A2984),0)=1,CATALOG_POINTS,0))=0,DAILY_POST_POINTS,MAX(IF(IFERROR(FIND(CATALOG_BASE,A2984),0)=1,CATALOG_POINTS,0))),IFERROR(INDEX(CATALOG_POINTS,MATCH(A2984,CATALOG_TASK,0)),""))</f>
        <v>1</v>
      </c>
      <c r="D2984" s="10" t="s">
        <v>1814</v>
      </c>
      <c r="E2984" s="41" t="str">
        <f t="shared" si="1"/>
        <v>PROX3</v>
      </c>
    </row>
    <row r="2985" ht="15.75" customHeight="1">
      <c r="A2985" s="10" t="s">
        <v>1815</v>
      </c>
      <c r="B2985" s="10" t="s">
        <v>128</v>
      </c>
      <c r="C2985" s="41">
        <f t="array" ref="C2985">IF(IFERROR(INDEX(CATALOG_POINTS,MATCH(A2985,CATALOG_TASK,0)),"")="",IF(MAX(IF(IFERROR(FIND(CATALOG_BASE,A2985),0)=1,CATALOG_POINTS,0))=0,DAILY_POST_POINTS,MAX(IF(IFERROR(FIND(CATALOG_BASE,A2985),0)=1,CATALOG_POINTS,0))),IFERROR(INDEX(CATALOG_POINTS,MATCH(A2985,CATALOG_TASK,0)),""))</f>
        <v>1</v>
      </c>
      <c r="D2985" s="10" t="s">
        <v>1815</v>
      </c>
      <c r="E2985" s="41" t="str">
        <f t="shared" si="1"/>
        <v>PROX3</v>
      </c>
    </row>
    <row r="2986" ht="15.75" customHeight="1">
      <c r="A2986" s="10" t="s">
        <v>1816</v>
      </c>
      <c r="B2986" s="10" t="s">
        <v>127</v>
      </c>
      <c r="C2986" s="41">
        <f t="array" ref="C2986">IF(IFERROR(INDEX(CATALOG_POINTS,MATCH(A2986,CATALOG_TASK,0)),"")="",IF(MAX(IF(IFERROR(FIND(CATALOG_BASE,A2986),0)=1,CATALOG_POINTS,0))=0,DAILY_POST_POINTS,MAX(IF(IFERROR(FIND(CATALOG_BASE,A2986),0)=1,CATALOG_POINTS,0))),IFERROR(INDEX(CATALOG_POINTS,MATCH(A2986,CATALOG_TASK,0)),""))</f>
        <v>1</v>
      </c>
      <c r="D2986" s="10" t="s">
        <v>1816</v>
      </c>
      <c r="E2986" s="41" t="str">
        <f t="shared" si="1"/>
        <v>PROX3</v>
      </c>
    </row>
    <row r="2987" ht="15.75" customHeight="1">
      <c r="A2987" s="10" t="s">
        <v>37</v>
      </c>
      <c r="B2987" s="10" t="s">
        <v>120</v>
      </c>
      <c r="C2987" s="41">
        <f t="array" ref="C2987">IF(IFERROR(INDEX(CATALOG_POINTS,MATCH(A2987,CATALOG_TASK,0)),"")="",IF(MAX(IF(IFERROR(FIND(CATALOG_BASE,A2987),0)=1,CATALOG_POINTS,0))=0,DAILY_POST_POINTS,MAX(IF(IFERROR(FIND(CATALOG_BASE,A2987),0)=1,CATALOG_POINTS,0))),IFERROR(INDEX(CATALOG_POINTS,MATCH(A2987,CATALOG_TASK,0)),""))</f>
        <v>2</v>
      </c>
      <c r="D2987" s="10" t="s">
        <v>1816</v>
      </c>
      <c r="E2987" s="41" t="str">
        <f t="shared" si="1"/>
        <v>PROX3</v>
      </c>
    </row>
    <row r="2988" ht="15.75" customHeight="1">
      <c r="A2988" s="10" t="s">
        <v>37</v>
      </c>
      <c r="B2988" s="10" t="s">
        <v>120</v>
      </c>
      <c r="C2988" s="41">
        <f t="array" ref="C2988">IF(IFERROR(INDEX(CATALOG_POINTS,MATCH(A2988,CATALOG_TASK,0)),"")="",IF(MAX(IF(IFERROR(FIND(CATALOG_BASE,A2988),0)=1,CATALOG_POINTS,0))=0,DAILY_POST_POINTS,MAX(IF(IFERROR(FIND(CATALOG_BASE,A2988),0)=1,CATALOG_POINTS,0))),IFERROR(INDEX(CATALOG_POINTS,MATCH(A2988,CATALOG_TASK,0)),""))</f>
        <v>2</v>
      </c>
      <c r="D2988" s="10" t="s">
        <v>1816</v>
      </c>
      <c r="E2988" s="41" t="str">
        <f t="shared" si="1"/>
        <v>PROX3</v>
      </c>
    </row>
    <row r="2989" ht="15.75" customHeight="1">
      <c r="A2989" s="10" t="s">
        <v>37</v>
      </c>
      <c r="B2989" s="10" t="s">
        <v>149</v>
      </c>
      <c r="C2989" s="41">
        <f t="array" ref="C2989">IF(IFERROR(INDEX(CATALOG_POINTS,MATCH(A2989,CATALOG_TASK,0)),"")="",IF(MAX(IF(IFERROR(FIND(CATALOG_BASE,A2989),0)=1,CATALOG_POINTS,0))=0,DAILY_POST_POINTS,MAX(IF(IFERROR(FIND(CATALOG_BASE,A2989),0)=1,CATALOG_POINTS,0))),IFERROR(INDEX(CATALOG_POINTS,MATCH(A2989,CATALOG_TASK,0)),""))</f>
        <v>2</v>
      </c>
      <c r="D2989" s="10" t="s">
        <v>1817</v>
      </c>
      <c r="E2989" s="41" t="str">
        <f t="shared" si="1"/>
        <v/>
      </c>
    </row>
    <row r="2990" ht="15.75" customHeight="1">
      <c r="A2990" s="10" t="s">
        <v>1818</v>
      </c>
      <c r="B2990" s="10" t="s">
        <v>121</v>
      </c>
      <c r="C2990" s="41">
        <f t="array" ref="C2990">IF(IFERROR(INDEX(CATALOG_POINTS,MATCH(A2990,CATALOG_TASK,0)),"")="",IF(MAX(IF(IFERROR(FIND(CATALOG_BASE,A2990),0)=1,CATALOG_POINTS,0))=0,DAILY_POST_POINTS,MAX(IF(IFERROR(FIND(CATALOG_BASE,A2990),0)=1,CATALOG_POINTS,0))),IFERROR(INDEX(CATALOG_POINTS,MATCH(A2990,CATALOG_TASK,0)),""))</f>
        <v>1</v>
      </c>
      <c r="D2990" s="10" t="s">
        <v>1818</v>
      </c>
      <c r="E2990" s="41" t="str">
        <f t="shared" si="1"/>
        <v>PROX3</v>
      </c>
    </row>
    <row r="2991" ht="15.75" customHeight="1">
      <c r="A2991" s="10" t="s">
        <v>1819</v>
      </c>
      <c r="B2991" s="10" t="s">
        <v>123</v>
      </c>
      <c r="C2991" s="41">
        <f t="array" ref="C2991">IF(IFERROR(INDEX(CATALOG_POINTS,MATCH(A2991,CATALOG_TASK,0)),"")="",IF(MAX(IF(IFERROR(FIND(CATALOG_BASE,A2991),0)=1,CATALOG_POINTS,0))=0,DAILY_POST_POINTS,MAX(IF(IFERROR(FIND(CATALOG_BASE,A2991),0)=1,CATALOG_POINTS,0))),IFERROR(INDEX(CATALOG_POINTS,MATCH(A2991,CATALOG_TASK,0)),""))</f>
        <v>1</v>
      </c>
      <c r="D2991" s="10" t="s">
        <v>1819</v>
      </c>
      <c r="E2991" s="41" t="str">
        <f t="shared" si="1"/>
        <v>PROX4</v>
      </c>
    </row>
    <row r="2992" ht="15.75" customHeight="1">
      <c r="A2992" s="10" t="s">
        <v>170</v>
      </c>
      <c r="B2992" s="10" t="s">
        <v>127</v>
      </c>
      <c r="C2992" s="41">
        <f t="array" ref="C2992">IF(IFERROR(INDEX(CATALOG_POINTS,MATCH(A2992,CATALOG_TASK,0)),"")="",IF(MAX(IF(IFERROR(FIND(CATALOG_BASE,A2992),0)=1,CATALOG_POINTS,0))=0,DAILY_POST_POINTS,MAX(IF(IFERROR(FIND(CATALOG_BASE,A2992),0)=1,CATALOG_POINTS,0))),IFERROR(INDEX(CATALOG_POINTS,MATCH(A2992,CATALOG_TASK,0)),""))</f>
        <v>1</v>
      </c>
      <c r="D2992" s="10" t="s">
        <v>1819</v>
      </c>
      <c r="E2992" s="41" t="str">
        <f t="shared" si="1"/>
        <v>PROX4</v>
      </c>
    </row>
    <row r="2993" ht="15.75" customHeight="1">
      <c r="A2993" s="10" t="s">
        <v>1820</v>
      </c>
      <c r="B2993" s="10" t="s">
        <v>133</v>
      </c>
      <c r="C2993" s="41">
        <f t="array" ref="C2993">IF(IFERROR(INDEX(CATALOG_POINTS,MATCH(A2993,CATALOG_TASK,0)),"")="",IF(MAX(IF(IFERROR(FIND(CATALOG_BASE,A2993),0)=1,CATALOG_POINTS,0))=0,DAILY_POST_POINTS,MAX(IF(IFERROR(FIND(CATALOG_BASE,A2993),0)=1,CATALOG_POINTS,0))),IFERROR(INDEX(CATALOG_POINTS,MATCH(A2993,CATALOG_TASK,0)),""))</f>
        <v>1</v>
      </c>
      <c r="D2993" s="10" t="s">
        <v>1820</v>
      </c>
      <c r="E2993" s="41" t="str">
        <f t="shared" si="1"/>
        <v>E0</v>
      </c>
    </row>
    <row r="2994" ht="15.75" customHeight="1">
      <c r="A2994" s="10" t="s">
        <v>37</v>
      </c>
      <c r="B2994" s="10" t="s">
        <v>119</v>
      </c>
      <c r="C2994" s="41">
        <f t="array" ref="C2994">IF(IFERROR(INDEX(CATALOG_POINTS,MATCH(A2994,CATALOG_TASK,0)),"")="",IF(MAX(IF(IFERROR(FIND(CATALOG_BASE,A2994),0)=1,CATALOG_POINTS,0))=0,DAILY_POST_POINTS,MAX(IF(IFERROR(FIND(CATALOG_BASE,A2994),0)=1,CATALOG_POINTS,0))),IFERROR(INDEX(CATALOG_POINTS,MATCH(A2994,CATALOG_TASK,0)),""))</f>
        <v>2</v>
      </c>
      <c r="D2994" s="10" t="s">
        <v>1820</v>
      </c>
      <c r="E2994" s="41" t="str">
        <f t="shared" si="1"/>
        <v>E0</v>
      </c>
    </row>
    <row r="2995" ht="15.75" customHeight="1">
      <c r="A2995" s="10" t="s">
        <v>37</v>
      </c>
      <c r="B2995" s="10" t="s">
        <v>128</v>
      </c>
      <c r="C2995" s="41">
        <f t="array" ref="C2995">IF(IFERROR(INDEX(CATALOG_POINTS,MATCH(A2995,CATALOG_TASK,0)),"")="",IF(MAX(IF(IFERROR(FIND(CATALOG_BASE,A2995),0)=1,CATALOG_POINTS,0))=0,DAILY_POST_POINTS,MAX(IF(IFERROR(FIND(CATALOG_BASE,A2995),0)=1,CATALOG_POINTS,0))),IFERROR(INDEX(CATALOG_POINTS,MATCH(A2995,CATALOG_TASK,0)),""))</f>
        <v>2</v>
      </c>
      <c r="D2995" s="10" t="s">
        <v>1820</v>
      </c>
      <c r="E2995" s="41" t="str">
        <f t="shared" si="1"/>
        <v>E0</v>
      </c>
    </row>
    <row r="2996" ht="15.75" customHeight="1">
      <c r="A2996" s="10" t="s">
        <v>37</v>
      </c>
      <c r="B2996" s="10" t="s">
        <v>124</v>
      </c>
      <c r="C2996" s="41">
        <f t="array" ref="C2996">IF(IFERROR(INDEX(CATALOG_POINTS,MATCH(A2996,CATALOG_TASK,0)),"")="",IF(MAX(IF(IFERROR(FIND(CATALOG_BASE,A2996),0)=1,CATALOG_POINTS,0))=0,DAILY_POST_POINTS,MAX(IF(IFERROR(FIND(CATALOG_BASE,A2996),0)=1,CATALOG_POINTS,0))),IFERROR(INDEX(CATALOG_POINTS,MATCH(A2996,CATALOG_TASK,0)),""))</f>
        <v>2</v>
      </c>
      <c r="D2996" s="10" t="s">
        <v>1820</v>
      </c>
      <c r="E2996" s="41" t="str">
        <f t="shared" si="1"/>
        <v>E0</v>
      </c>
    </row>
    <row r="2997" ht="15.75" customHeight="1">
      <c r="A2997" s="10" t="s">
        <v>37</v>
      </c>
      <c r="B2997" s="10" t="s">
        <v>123</v>
      </c>
      <c r="C2997" s="41">
        <f t="array" ref="C2997">IF(IFERROR(INDEX(CATALOG_POINTS,MATCH(A2997,CATALOG_TASK,0)),"")="",IF(MAX(IF(IFERROR(FIND(CATALOG_BASE,A2997),0)=1,CATALOG_POINTS,0))=0,DAILY_POST_POINTS,MAX(IF(IFERROR(FIND(CATALOG_BASE,A2997),0)=1,CATALOG_POINTS,0))),IFERROR(INDEX(CATALOG_POINTS,MATCH(A2997,CATALOG_TASK,0)),""))</f>
        <v>2</v>
      </c>
      <c r="D2997" s="10" t="s">
        <v>1820</v>
      </c>
      <c r="E2997" s="41" t="str">
        <f t="shared" si="1"/>
        <v>E0</v>
      </c>
    </row>
    <row r="2998" ht="15.75" customHeight="1">
      <c r="A2998" s="10" t="s">
        <v>1821</v>
      </c>
      <c r="B2998" s="10" t="s">
        <v>122</v>
      </c>
      <c r="C2998" s="41">
        <f t="array" ref="C2998">IF(IFERROR(INDEX(CATALOG_POINTS,MATCH(A2998,CATALOG_TASK,0)),"")="",IF(MAX(IF(IFERROR(FIND(CATALOG_BASE,A2998),0)=1,CATALOG_POINTS,0))=0,DAILY_POST_POINTS,MAX(IF(IFERROR(FIND(CATALOG_BASE,A2998),0)=1,CATALOG_POINTS,0))),IFERROR(INDEX(CATALOG_POINTS,MATCH(A2998,CATALOG_TASK,0)),""))</f>
        <v>1</v>
      </c>
      <c r="D2998" s="10" t="s">
        <v>1821</v>
      </c>
      <c r="E2998" s="41" t="str">
        <f t="shared" si="1"/>
        <v>PROX4</v>
      </c>
    </row>
    <row r="2999" ht="15.75" customHeight="1">
      <c r="A2999" s="10" t="s">
        <v>178</v>
      </c>
      <c r="B2999" s="10" t="s">
        <v>126</v>
      </c>
      <c r="C2999" s="41">
        <f t="array" ref="C2999">IF(IFERROR(INDEX(CATALOG_POINTS,MATCH(A2999,CATALOG_TASK,0)),"")="",IF(MAX(IF(IFERROR(FIND(CATALOG_BASE,A2999),0)=1,CATALOG_POINTS,0))=0,DAILY_POST_POINTS,MAX(IF(IFERROR(FIND(CATALOG_BASE,A2999),0)=1,CATALOG_POINTS,0))),IFERROR(INDEX(CATALOG_POINTS,MATCH(A2999,CATALOG_TASK,0)),""))</f>
        <v>1</v>
      </c>
      <c r="D2999" s="10" t="s">
        <v>1822</v>
      </c>
      <c r="E2999" s="41" t="str">
        <f t="shared" si="1"/>
        <v>PROX3</v>
      </c>
    </row>
    <row r="3000" ht="15.75" customHeight="1">
      <c r="A3000" s="10" t="s">
        <v>1822</v>
      </c>
      <c r="B3000" s="10" t="s">
        <v>137</v>
      </c>
      <c r="C3000" s="41">
        <f t="array" ref="C3000">IF(IFERROR(INDEX(CATALOG_POINTS,MATCH(A3000,CATALOG_TASK,0)),"")="",IF(MAX(IF(IFERROR(FIND(CATALOG_BASE,A3000),0)=1,CATALOG_POINTS,0))=0,DAILY_POST_POINTS,MAX(IF(IFERROR(FIND(CATALOG_BASE,A3000),0)=1,CATALOG_POINTS,0))),IFERROR(INDEX(CATALOG_POINTS,MATCH(A3000,CATALOG_TASK,0)),""))</f>
        <v>1</v>
      </c>
      <c r="D3000" s="10" t="s">
        <v>1822</v>
      </c>
      <c r="E3000" s="41" t="str">
        <f t="shared" si="1"/>
        <v>PROX3</v>
      </c>
    </row>
    <row r="3001" ht="15.75" customHeight="1">
      <c r="A3001" s="10" t="s">
        <v>168</v>
      </c>
      <c r="B3001" s="10" t="s">
        <v>126</v>
      </c>
      <c r="C3001" s="41">
        <f t="array" ref="C3001">IF(IFERROR(INDEX(CATALOG_POINTS,MATCH(A3001,CATALOG_TASK,0)),"")="",IF(MAX(IF(IFERROR(FIND(CATALOG_BASE,A3001),0)=1,CATALOG_POINTS,0))=0,DAILY_POST_POINTS,MAX(IF(IFERROR(FIND(CATALOG_BASE,A3001),0)=1,CATALOG_POINTS,0))),IFERROR(INDEX(CATALOG_POINTS,MATCH(A3001,CATALOG_TASK,0)),""))</f>
        <v>1</v>
      </c>
      <c r="D3001" s="10" t="s">
        <v>1822</v>
      </c>
      <c r="E3001" s="41" t="str">
        <f t="shared" si="1"/>
        <v>PROX3</v>
      </c>
    </row>
    <row r="3002" ht="15.75" customHeight="1">
      <c r="A3002" s="10" t="s">
        <v>168</v>
      </c>
      <c r="B3002" s="10" t="s">
        <v>126</v>
      </c>
      <c r="C3002" s="41">
        <f t="array" ref="C3002">IF(IFERROR(INDEX(CATALOG_POINTS,MATCH(A3002,CATALOG_TASK,0)),"")="",IF(MAX(IF(IFERROR(FIND(CATALOG_BASE,A3002),0)=1,CATALOG_POINTS,0))=0,DAILY_POST_POINTS,MAX(IF(IFERROR(FIND(CATALOG_BASE,A3002),0)=1,CATALOG_POINTS,0))),IFERROR(INDEX(CATALOG_POINTS,MATCH(A3002,CATALOG_TASK,0)),""))</f>
        <v>1</v>
      </c>
      <c r="D3002" s="10" t="s">
        <v>1822</v>
      </c>
      <c r="E3002" s="41" t="str">
        <f t="shared" si="1"/>
        <v>PROX3</v>
      </c>
    </row>
    <row r="3003" ht="15.75" customHeight="1">
      <c r="A3003" s="10" t="s">
        <v>1823</v>
      </c>
      <c r="B3003" s="10" t="s">
        <v>119</v>
      </c>
      <c r="C3003" s="41">
        <f t="array" ref="C3003">IF(IFERROR(INDEX(CATALOG_POINTS,MATCH(A3003,CATALOG_TASK,0)),"")="",IF(MAX(IF(IFERROR(FIND(CATALOG_BASE,A3003),0)=1,CATALOG_POINTS,0))=0,DAILY_POST_POINTS,MAX(IF(IFERROR(FIND(CATALOG_BASE,A3003),0)=1,CATALOG_POINTS,0))),IFERROR(INDEX(CATALOG_POINTS,MATCH(A3003,CATALOG_TASK,0)),""))</f>
        <v>1</v>
      </c>
      <c r="D3003" s="10" t="s">
        <v>1823</v>
      </c>
      <c r="E3003" s="41" t="str">
        <f t="shared" si="1"/>
        <v>PROX3</v>
      </c>
    </row>
    <row r="3004" ht="15.75" customHeight="1">
      <c r="A3004" s="10" t="s">
        <v>168</v>
      </c>
      <c r="B3004" s="10" t="s">
        <v>123</v>
      </c>
      <c r="C3004" s="41">
        <f t="array" ref="C3004">IF(IFERROR(INDEX(CATALOG_POINTS,MATCH(A3004,CATALOG_TASK,0)),"")="",IF(MAX(IF(IFERROR(FIND(CATALOG_BASE,A3004),0)=1,CATALOG_POINTS,0))=0,DAILY_POST_POINTS,MAX(IF(IFERROR(FIND(CATALOG_BASE,A3004),0)=1,CATALOG_POINTS,0))),IFERROR(INDEX(CATALOG_POINTS,MATCH(A3004,CATALOG_TASK,0)),""))</f>
        <v>1</v>
      </c>
      <c r="D3004" s="10" t="s">
        <v>1823</v>
      </c>
      <c r="E3004" s="41" t="str">
        <f t="shared" si="1"/>
        <v>PROX3</v>
      </c>
    </row>
    <row r="3005" ht="15.75" customHeight="1">
      <c r="A3005" s="10" t="s">
        <v>37</v>
      </c>
      <c r="B3005" s="10" t="s">
        <v>120</v>
      </c>
      <c r="C3005" s="41">
        <f t="array" ref="C3005">IF(IFERROR(INDEX(CATALOG_POINTS,MATCH(A3005,CATALOG_TASK,0)),"")="",IF(MAX(IF(IFERROR(FIND(CATALOG_BASE,A3005),0)=1,CATALOG_POINTS,0))=0,DAILY_POST_POINTS,MAX(IF(IFERROR(FIND(CATALOG_BASE,A3005),0)=1,CATALOG_POINTS,0))),IFERROR(INDEX(CATALOG_POINTS,MATCH(A3005,CATALOG_TASK,0)),""))</f>
        <v>2</v>
      </c>
      <c r="D3005" s="10" t="s">
        <v>1823</v>
      </c>
      <c r="E3005" s="41" t="str">
        <f t="shared" si="1"/>
        <v>PROX3</v>
      </c>
    </row>
    <row r="3006" ht="15.75" customHeight="1">
      <c r="A3006" s="10" t="s">
        <v>168</v>
      </c>
      <c r="B3006" s="10" t="s">
        <v>120</v>
      </c>
      <c r="C3006" s="41">
        <f t="array" ref="C3006">IF(IFERROR(INDEX(CATALOG_POINTS,MATCH(A3006,CATALOG_TASK,0)),"")="",IF(MAX(IF(IFERROR(FIND(CATALOG_BASE,A3006),0)=1,CATALOG_POINTS,0))=0,DAILY_POST_POINTS,MAX(IF(IFERROR(FIND(CATALOG_BASE,A3006),0)=1,CATALOG_POINTS,0))),IFERROR(INDEX(CATALOG_POINTS,MATCH(A3006,CATALOG_TASK,0)),""))</f>
        <v>1</v>
      </c>
      <c r="D3006" s="10" t="s">
        <v>1823</v>
      </c>
      <c r="E3006" s="41" t="str">
        <f t="shared" si="1"/>
        <v>PROX3</v>
      </c>
    </row>
    <row r="3007" ht="15.75" customHeight="1">
      <c r="A3007" s="10" t="s">
        <v>37</v>
      </c>
      <c r="B3007" s="10" t="s">
        <v>126</v>
      </c>
      <c r="C3007" s="41">
        <f t="array" ref="C3007">IF(IFERROR(INDEX(CATALOG_POINTS,MATCH(A3007,CATALOG_TASK,0)),"")="",IF(MAX(IF(IFERROR(FIND(CATALOG_BASE,A3007),0)=1,CATALOG_POINTS,0))=0,DAILY_POST_POINTS,MAX(IF(IFERROR(FIND(CATALOG_BASE,A3007),0)=1,CATALOG_POINTS,0))),IFERROR(INDEX(CATALOG_POINTS,MATCH(A3007,CATALOG_TASK,0)),""))</f>
        <v>2</v>
      </c>
      <c r="D3007" s="10" t="s">
        <v>1824</v>
      </c>
      <c r="E3007" s="41" t="str">
        <f t="shared" si="1"/>
        <v>PROX3</v>
      </c>
    </row>
    <row r="3008" ht="15.75" customHeight="1">
      <c r="A3008" s="10" t="s">
        <v>1824</v>
      </c>
      <c r="B3008" s="10" t="s">
        <v>136</v>
      </c>
      <c r="C3008" s="41">
        <f t="array" ref="C3008">IF(IFERROR(INDEX(CATALOG_POINTS,MATCH(A3008,CATALOG_TASK,0)),"")="",IF(MAX(IF(IFERROR(FIND(CATALOG_BASE,A3008),0)=1,CATALOG_POINTS,0))=0,DAILY_POST_POINTS,MAX(IF(IFERROR(FIND(CATALOG_BASE,A3008),0)=1,CATALOG_POINTS,0))),IFERROR(INDEX(CATALOG_POINTS,MATCH(A3008,CATALOG_TASK,0)),""))</f>
        <v>1</v>
      </c>
      <c r="D3008" s="10" t="s">
        <v>1824</v>
      </c>
      <c r="E3008" s="41" t="str">
        <f t="shared" si="1"/>
        <v>PROX3</v>
      </c>
    </row>
    <row r="3009" ht="15.75" customHeight="1">
      <c r="A3009" s="10" t="s">
        <v>55</v>
      </c>
      <c r="B3009" s="10" t="s">
        <v>140</v>
      </c>
      <c r="C3009" s="41">
        <f t="array" ref="C3009">IF(IFERROR(INDEX(CATALOG_POINTS,MATCH(A3009,CATALOG_TASK,0)),"")="",IF(MAX(IF(IFERROR(FIND(CATALOG_BASE,A3009),0)=1,CATALOG_POINTS,0))=0,DAILY_POST_POINTS,MAX(IF(IFERROR(FIND(CATALOG_BASE,A3009),0)=1,CATALOG_POINTS,0))),IFERROR(INDEX(CATALOG_POINTS,MATCH(A3009,CATALOG_TASK,0)),""))</f>
        <v>8</v>
      </c>
      <c r="D3009" s="10" t="s">
        <v>1824</v>
      </c>
      <c r="E3009" s="41" t="str">
        <f t="shared" si="1"/>
        <v>PROX3</v>
      </c>
    </row>
    <row r="3010" ht="15.75" customHeight="1">
      <c r="A3010" s="10" t="s">
        <v>37</v>
      </c>
      <c r="B3010" s="10" t="s">
        <v>124</v>
      </c>
      <c r="C3010" s="41">
        <f t="array" ref="C3010">IF(IFERROR(INDEX(CATALOG_POINTS,MATCH(A3010,CATALOG_TASK,0)),"")="",IF(MAX(IF(IFERROR(FIND(CATALOG_BASE,A3010),0)=1,CATALOG_POINTS,0))=0,DAILY_POST_POINTS,MAX(IF(IFERROR(FIND(CATALOG_BASE,A3010),0)=1,CATALOG_POINTS,0))),IFERROR(INDEX(CATALOG_POINTS,MATCH(A3010,CATALOG_TASK,0)),""))</f>
        <v>2</v>
      </c>
      <c r="D3010" s="10" t="s">
        <v>1825</v>
      </c>
      <c r="E3010" s="41" t="str">
        <f t="shared" si="1"/>
        <v/>
      </c>
    </row>
    <row r="3011" ht="15.75" customHeight="1">
      <c r="A3011" s="10" t="s">
        <v>37</v>
      </c>
      <c r="B3011" s="10" t="s">
        <v>120</v>
      </c>
      <c r="C3011" s="41">
        <f t="array" ref="C3011">IF(IFERROR(INDEX(CATALOG_POINTS,MATCH(A3011,CATALOG_TASK,0)),"")="",IF(MAX(IF(IFERROR(FIND(CATALOG_BASE,A3011),0)=1,CATALOG_POINTS,0))=0,DAILY_POST_POINTS,MAX(IF(IFERROR(FIND(CATALOG_BASE,A3011),0)=1,CATALOG_POINTS,0))),IFERROR(INDEX(CATALOG_POINTS,MATCH(A3011,CATALOG_TASK,0)),""))</f>
        <v>2</v>
      </c>
      <c r="D3011" s="10" t="s">
        <v>1825</v>
      </c>
      <c r="E3011" s="41" t="str">
        <f t="shared" si="1"/>
        <v/>
      </c>
    </row>
    <row r="3012" ht="15.75" customHeight="1">
      <c r="A3012" s="10" t="s">
        <v>1826</v>
      </c>
      <c r="B3012" s="10" t="s">
        <v>128</v>
      </c>
      <c r="C3012" s="41">
        <f t="array" ref="C3012">IF(IFERROR(INDEX(CATALOG_POINTS,MATCH(A3012,CATALOG_TASK,0)),"")="",IF(MAX(IF(IFERROR(FIND(CATALOG_BASE,A3012),0)=1,CATALOG_POINTS,0))=0,DAILY_POST_POINTS,MAX(IF(IFERROR(FIND(CATALOG_BASE,A3012),0)=1,CATALOG_POINTS,0))),IFERROR(INDEX(CATALOG_POINTS,MATCH(A3012,CATALOG_TASK,0)),""))</f>
        <v>1</v>
      </c>
      <c r="D3012" s="10" t="s">
        <v>1827</v>
      </c>
      <c r="E3012" s="41" t="str">
        <f t="shared" si="1"/>
        <v>PROX3</v>
      </c>
    </row>
    <row r="3013" ht="15.75" customHeight="1">
      <c r="A3013" s="10" t="s">
        <v>371</v>
      </c>
      <c r="B3013" s="10" t="s">
        <v>126</v>
      </c>
      <c r="C3013" s="41">
        <f t="array" ref="C3013">IF(IFERROR(INDEX(CATALOG_POINTS,MATCH(A3013,CATALOG_TASK,0)),"")="",IF(MAX(IF(IFERROR(FIND(CATALOG_BASE,A3013),0)=1,CATALOG_POINTS,0))=0,DAILY_POST_POINTS,MAX(IF(IFERROR(FIND(CATALOG_BASE,A3013),0)=1,CATALOG_POINTS,0))),IFERROR(INDEX(CATALOG_POINTS,MATCH(A3013,CATALOG_TASK,0)),""))</f>
        <v>1</v>
      </c>
      <c r="D3013" s="10" t="s">
        <v>1827</v>
      </c>
      <c r="E3013" s="41" t="str">
        <f t="shared" si="1"/>
        <v>PROX3</v>
      </c>
    </row>
    <row r="3014" ht="15.75" customHeight="1">
      <c r="A3014" s="10" t="s">
        <v>1827</v>
      </c>
      <c r="B3014" s="10" t="s">
        <v>127</v>
      </c>
      <c r="C3014" s="41">
        <f t="array" ref="C3014">IF(IFERROR(INDEX(CATALOG_POINTS,MATCH(A3014,CATALOG_TASK,0)),"")="",IF(MAX(IF(IFERROR(FIND(CATALOG_BASE,A3014),0)=1,CATALOG_POINTS,0))=0,DAILY_POST_POINTS,MAX(IF(IFERROR(FIND(CATALOG_BASE,A3014),0)=1,CATALOG_POINTS,0))),IFERROR(INDEX(CATALOG_POINTS,MATCH(A3014,CATALOG_TASK,0)),""))</f>
        <v>1</v>
      </c>
      <c r="D3014" s="10" t="s">
        <v>1827</v>
      </c>
      <c r="E3014" s="41" t="str">
        <f t="shared" si="1"/>
        <v>PROX3</v>
      </c>
    </row>
    <row r="3015" ht="15.75" customHeight="1">
      <c r="A3015" s="10" t="s">
        <v>1828</v>
      </c>
      <c r="B3015" s="10" t="s">
        <v>136</v>
      </c>
      <c r="C3015" s="41">
        <f t="array" ref="C3015">IF(IFERROR(INDEX(CATALOG_POINTS,MATCH(A3015,CATALOG_TASK,0)),"")="",IF(MAX(IF(IFERROR(FIND(CATALOG_BASE,A3015),0)=1,CATALOG_POINTS,0))=0,DAILY_POST_POINTS,MAX(IF(IFERROR(FIND(CATALOG_BASE,A3015),0)=1,CATALOG_POINTS,0))),IFERROR(INDEX(CATALOG_POINTS,MATCH(A3015,CATALOG_TASK,0)),""))</f>
        <v>1</v>
      </c>
      <c r="D3015" s="10" t="s">
        <v>1828</v>
      </c>
      <c r="E3015" s="41" t="str">
        <f t="shared" si="1"/>
        <v>PROX4</v>
      </c>
    </row>
    <row r="3016" ht="15.75" customHeight="1">
      <c r="A3016" s="10" t="s">
        <v>24</v>
      </c>
      <c r="B3016" s="10" t="s">
        <v>117</v>
      </c>
      <c r="C3016" s="41">
        <f t="array" ref="C3016">IF(IFERROR(INDEX(CATALOG_POINTS,MATCH(A3016,CATALOG_TASK,0)),"")="",IF(MAX(IF(IFERROR(FIND(CATALOG_BASE,A3016),0)=1,CATALOG_POINTS,0))=0,DAILY_POST_POINTS,MAX(IF(IFERROR(FIND(CATALOG_BASE,A3016),0)=1,CATALOG_POINTS,0))),IFERROR(INDEX(CATALOG_POINTS,MATCH(A3016,CATALOG_TASK,0)),""))</f>
        <v>2</v>
      </c>
      <c r="D3016" s="10" t="s">
        <v>1829</v>
      </c>
      <c r="E3016" s="41" t="str">
        <f t="shared" si="1"/>
        <v>PROX3</v>
      </c>
    </row>
    <row r="3017" ht="15.75" customHeight="1">
      <c r="A3017" s="10" t="s">
        <v>174</v>
      </c>
      <c r="B3017" s="10" t="s">
        <v>123</v>
      </c>
      <c r="C3017" s="41">
        <f t="array" ref="C3017">IF(IFERROR(INDEX(CATALOG_POINTS,MATCH(A3017,CATALOG_TASK,0)),"")="",IF(MAX(IF(IFERROR(FIND(CATALOG_BASE,A3017),0)=1,CATALOG_POINTS,0))=0,DAILY_POST_POINTS,MAX(IF(IFERROR(FIND(CATALOG_BASE,A3017),0)=1,CATALOG_POINTS,0))),IFERROR(INDEX(CATALOG_POINTS,MATCH(A3017,CATALOG_TASK,0)),""))</f>
        <v>1</v>
      </c>
      <c r="D3017" s="10" t="s">
        <v>1829</v>
      </c>
      <c r="E3017" s="41" t="str">
        <f t="shared" si="1"/>
        <v>PROX3</v>
      </c>
    </row>
    <row r="3018" ht="15.75" customHeight="1">
      <c r="A3018" s="10" t="s">
        <v>180</v>
      </c>
      <c r="B3018" s="10" t="s">
        <v>127</v>
      </c>
      <c r="C3018" s="41">
        <f t="array" ref="C3018">IF(IFERROR(INDEX(CATALOG_POINTS,MATCH(A3018,CATALOG_TASK,0)),"")="",IF(MAX(IF(IFERROR(FIND(CATALOG_BASE,A3018),0)=1,CATALOG_POINTS,0))=0,DAILY_POST_POINTS,MAX(IF(IFERROR(FIND(CATALOG_BASE,A3018),0)=1,CATALOG_POINTS,0))),IFERROR(INDEX(CATALOG_POINTS,MATCH(A3018,CATALOG_TASK,0)),""))</f>
        <v>1</v>
      </c>
      <c r="D3018" s="10" t="s">
        <v>1829</v>
      </c>
      <c r="E3018" s="41" t="str">
        <f t="shared" si="1"/>
        <v>PROX3</v>
      </c>
    </row>
    <row r="3019" ht="15.75" customHeight="1">
      <c r="A3019" s="10" t="s">
        <v>178</v>
      </c>
      <c r="B3019" s="10" t="s">
        <v>119</v>
      </c>
      <c r="C3019" s="41">
        <f t="array" ref="C3019">IF(IFERROR(INDEX(CATALOG_POINTS,MATCH(A3019,CATALOG_TASK,0)),"")="",IF(MAX(IF(IFERROR(FIND(CATALOG_BASE,A3019),0)=1,CATALOG_POINTS,0))=0,DAILY_POST_POINTS,MAX(IF(IFERROR(FIND(CATALOG_BASE,A3019),0)=1,CATALOG_POINTS,0))),IFERROR(INDEX(CATALOG_POINTS,MATCH(A3019,CATALOG_TASK,0)),""))</f>
        <v>1</v>
      </c>
      <c r="D3019" s="10" t="s">
        <v>1829</v>
      </c>
      <c r="E3019" s="41" t="str">
        <f t="shared" si="1"/>
        <v>PROX3</v>
      </c>
    </row>
    <row r="3020" ht="15.75" customHeight="1">
      <c r="A3020" s="10" t="s">
        <v>37</v>
      </c>
      <c r="B3020" s="10" t="s">
        <v>122</v>
      </c>
      <c r="C3020" s="41">
        <f t="array" ref="C3020">IF(IFERROR(INDEX(CATALOG_POINTS,MATCH(A3020,CATALOG_TASK,0)),"")="",IF(MAX(IF(IFERROR(FIND(CATALOG_BASE,A3020),0)=1,CATALOG_POINTS,0))=0,DAILY_POST_POINTS,MAX(IF(IFERROR(FIND(CATALOG_BASE,A3020),0)=1,CATALOG_POINTS,0))),IFERROR(INDEX(CATALOG_POINTS,MATCH(A3020,CATALOG_TASK,0)),""))</f>
        <v>2</v>
      </c>
      <c r="D3020" s="10" t="s">
        <v>1829</v>
      </c>
      <c r="E3020" s="41" t="str">
        <f t="shared" si="1"/>
        <v>PROX3</v>
      </c>
    </row>
    <row r="3021" ht="15.75" customHeight="1">
      <c r="A3021" s="10" t="s">
        <v>37</v>
      </c>
      <c r="B3021" s="10" t="s">
        <v>128</v>
      </c>
      <c r="C3021" s="41">
        <f t="array" ref="C3021">IF(IFERROR(INDEX(CATALOG_POINTS,MATCH(A3021,CATALOG_TASK,0)),"")="",IF(MAX(IF(IFERROR(FIND(CATALOG_BASE,A3021),0)=1,CATALOG_POINTS,0))=0,DAILY_POST_POINTS,MAX(IF(IFERROR(FIND(CATALOG_BASE,A3021),0)=1,CATALOG_POINTS,0))),IFERROR(INDEX(CATALOG_POINTS,MATCH(A3021,CATALOG_TASK,0)),""))</f>
        <v>2</v>
      </c>
      <c r="D3021" s="10" t="s">
        <v>1829</v>
      </c>
      <c r="E3021" s="41" t="str">
        <f t="shared" si="1"/>
        <v>PROX3</v>
      </c>
    </row>
    <row r="3022" ht="15.75" customHeight="1">
      <c r="A3022" s="10" t="s">
        <v>1830</v>
      </c>
      <c r="B3022" s="10" t="s">
        <v>117</v>
      </c>
      <c r="C3022" s="41">
        <f t="array" ref="C3022">IF(IFERROR(INDEX(CATALOG_POINTS,MATCH(A3022,CATALOG_TASK,0)),"")="",IF(MAX(IF(IFERROR(FIND(CATALOG_BASE,A3022),0)=1,CATALOG_POINTS,0))=0,DAILY_POST_POINTS,MAX(IF(IFERROR(FIND(CATALOG_BASE,A3022),0)=1,CATALOG_POINTS,0))),IFERROR(INDEX(CATALOG_POINTS,MATCH(A3022,CATALOG_TASK,0)),""))</f>
        <v>1</v>
      </c>
      <c r="D3022" s="10" t="s">
        <v>1830</v>
      </c>
      <c r="E3022" s="41" t="str">
        <f t="shared" si="1"/>
        <v>PROX3</v>
      </c>
    </row>
    <row r="3023" ht="15.75" customHeight="1">
      <c r="A3023" s="10" t="s">
        <v>1831</v>
      </c>
      <c r="B3023" s="10" t="s">
        <v>119</v>
      </c>
      <c r="C3023" s="41">
        <f t="array" ref="C3023">IF(IFERROR(INDEX(CATALOG_POINTS,MATCH(A3023,CATALOG_TASK,0)),"")="",IF(MAX(IF(IFERROR(FIND(CATALOG_BASE,A3023),0)=1,CATALOG_POINTS,0))=0,DAILY_POST_POINTS,MAX(IF(IFERROR(FIND(CATALOG_BASE,A3023),0)=1,CATALOG_POINTS,0))),IFERROR(INDEX(CATALOG_POINTS,MATCH(A3023,CATALOG_TASK,0)),""))</f>
        <v>1</v>
      </c>
      <c r="D3023" s="10" t="s">
        <v>1831</v>
      </c>
      <c r="E3023" s="41" t="str">
        <f t="shared" si="1"/>
        <v>PROX3</v>
      </c>
    </row>
    <row r="3024" ht="15.75" customHeight="1">
      <c r="A3024" s="10" t="s">
        <v>1832</v>
      </c>
      <c r="B3024" s="10" t="s">
        <v>134</v>
      </c>
      <c r="C3024" s="41">
        <f t="array" ref="C3024">IF(IFERROR(INDEX(CATALOG_POINTS,MATCH(A3024,CATALOG_TASK,0)),"")="",IF(MAX(IF(IFERROR(FIND(CATALOG_BASE,A3024),0)=1,CATALOG_POINTS,0))=0,DAILY_POST_POINTS,MAX(IF(IFERROR(FIND(CATALOG_BASE,A3024),0)=1,CATALOG_POINTS,0))),IFERROR(INDEX(CATALOG_POINTS,MATCH(A3024,CATALOG_TASK,0)),""))</f>
        <v>1</v>
      </c>
      <c r="D3024" s="10" t="s">
        <v>1832</v>
      </c>
      <c r="E3024" s="41" t="str">
        <f t="shared" si="1"/>
        <v>PROX4</v>
      </c>
    </row>
    <row r="3025" ht="15.75" customHeight="1">
      <c r="A3025" s="10" t="s">
        <v>37</v>
      </c>
      <c r="B3025" s="10" t="s">
        <v>124</v>
      </c>
      <c r="C3025" s="41">
        <f t="array" ref="C3025">IF(IFERROR(INDEX(CATALOG_POINTS,MATCH(A3025,CATALOG_TASK,0)),"")="",IF(MAX(IF(IFERROR(FIND(CATALOG_BASE,A3025),0)=1,CATALOG_POINTS,0))=0,DAILY_POST_POINTS,MAX(IF(IFERROR(FIND(CATALOG_BASE,A3025),0)=1,CATALOG_POINTS,0))),IFERROR(INDEX(CATALOG_POINTS,MATCH(A3025,CATALOG_TASK,0)),""))</f>
        <v>2</v>
      </c>
      <c r="D3025" s="10" t="s">
        <v>1832</v>
      </c>
      <c r="E3025" s="41" t="str">
        <f t="shared" si="1"/>
        <v>PROX4</v>
      </c>
    </row>
    <row r="3026" ht="15.75" customHeight="1">
      <c r="A3026" s="10" t="s">
        <v>37</v>
      </c>
      <c r="B3026" s="10" t="s">
        <v>117</v>
      </c>
      <c r="C3026" s="41">
        <f t="array" ref="C3026">IF(IFERROR(INDEX(CATALOG_POINTS,MATCH(A3026,CATALOG_TASK,0)),"")="",IF(MAX(IF(IFERROR(FIND(CATALOG_BASE,A3026),0)=1,CATALOG_POINTS,0))=0,DAILY_POST_POINTS,MAX(IF(IFERROR(FIND(CATALOG_BASE,A3026),0)=1,CATALOG_POINTS,0))),IFERROR(INDEX(CATALOG_POINTS,MATCH(A3026,CATALOG_TASK,0)),""))</f>
        <v>2</v>
      </c>
      <c r="D3026" s="10" t="s">
        <v>1832</v>
      </c>
      <c r="E3026" s="41" t="str">
        <f t="shared" si="1"/>
        <v>PROX4</v>
      </c>
    </row>
    <row r="3027" ht="15.75" customHeight="1">
      <c r="A3027" s="10" t="s">
        <v>37</v>
      </c>
      <c r="B3027" s="10" t="s">
        <v>128</v>
      </c>
      <c r="C3027" s="41">
        <f t="array" ref="C3027">IF(IFERROR(INDEX(CATALOG_POINTS,MATCH(A3027,CATALOG_TASK,0)),"")="",IF(MAX(IF(IFERROR(FIND(CATALOG_BASE,A3027),0)=1,CATALOG_POINTS,0))=0,DAILY_POST_POINTS,MAX(IF(IFERROR(FIND(CATALOG_BASE,A3027),0)=1,CATALOG_POINTS,0))),IFERROR(INDEX(CATALOG_POINTS,MATCH(A3027,CATALOG_TASK,0)),""))</f>
        <v>2</v>
      </c>
      <c r="D3027" s="10" t="s">
        <v>1832</v>
      </c>
      <c r="E3027" s="41" t="str">
        <f t="shared" si="1"/>
        <v>PROX4</v>
      </c>
    </row>
    <row r="3028" ht="15.75" customHeight="1">
      <c r="A3028" s="10" t="s">
        <v>37</v>
      </c>
      <c r="B3028" s="10" t="s">
        <v>119</v>
      </c>
      <c r="C3028" s="41">
        <f t="array" ref="C3028">IF(IFERROR(INDEX(CATALOG_POINTS,MATCH(A3028,CATALOG_TASK,0)),"")="",IF(MAX(IF(IFERROR(FIND(CATALOG_BASE,A3028),0)=1,CATALOG_POINTS,0))=0,DAILY_POST_POINTS,MAX(IF(IFERROR(FIND(CATALOG_BASE,A3028),0)=1,CATALOG_POINTS,0))),IFERROR(INDEX(CATALOG_POINTS,MATCH(A3028,CATALOG_TASK,0)),""))</f>
        <v>2</v>
      </c>
      <c r="D3028" s="10" t="s">
        <v>1832</v>
      </c>
      <c r="E3028" s="41" t="str">
        <f t="shared" si="1"/>
        <v>PROX4</v>
      </c>
    </row>
    <row r="3029" ht="15.75" customHeight="1">
      <c r="A3029" s="10" t="s">
        <v>37</v>
      </c>
      <c r="B3029" s="10" t="s">
        <v>128</v>
      </c>
      <c r="C3029" s="41">
        <f t="array" ref="C3029">IF(IFERROR(INDEX(CATALOG_POINTS,MATCH(A3029,CATALOG_TASK,0)),"")="",IF(MAX(IF(IFERROR(FIND(CATALOG_BASE,A3029),0)=1,CATALOG_POINTS,0))=0,DAILY_POST_POINTS,MAX(IF(IFERROR(FIND(CATALOG_BASE,A3029),0)=1,CATALOG_POINTS,0))),IFERROR(INDEX(CATALOG_POINTS,MATCH(A3029,CATALOG_TASK,0)),""))</f>
        <v>2</v>
      </c>
      <c r="D3029" s="10" t="s">
        <v>1832</v>
      </c>
      <c r="E3029" s="41" t="str">
        <f t="shared" si="1"/>
        <v>PROX4</v>
      </c>
    </row>
    <row r="3030" ht="15.75" customHeight="1">
      <c r="A3030" s="10" t="s">
        <v>37</v>
      </c>
      <c r="B3030" s="10" t="s">
        <v>127</v>
      </c>
      <c r="C3030" s="41">
        <f t="array" ref="C3030">IF(IFERROR(INDEX(CATALOG_POINTS,MATCH(A3030,CATALOG_TASK,0)),"")="",IF(MAX(IF(IFERROR(FIND(CATALOG_BASE,A3030),0)=1,CATALOG_POINTS,0))=0,DAILY_POST_POINTS,MAX(IF(IFERROR(FIND(CATALOG_BASE,A3030),0)=1,CATALOG_POINTS,0))),IFERROR(INDEX(CATALOG_POINTS,MATCH(A3030,CATALOG_TASK,0)),""))</f>
        <v>2</v>
      </c>
      <c r="D3030" s="10" t="s">
        <v>1833</v>
      </c>
      <c r="E3030" s="41" t="str">
        <f t="shared" si="1"/>
        <v>PROX3</v>
      </c>
    </row>
    <row r="3031" ht="15.75" customHeight="1">
      <c r="A3031" s="10" t="s">
        <v>37</v>
      </c>
      <c r="B3031" s="10" t="s">
        <v>126</v>
      </c>
      <c r="C3031" s="41">
        <f t="array" ref="C3031">IF(IFERROR(INDEX(CATALOG_POINTS,MATCH(A3031,CATALOG_TASK,0)),"")="",IF(MAX(IF(IFERROR(FIND(CATALOG_BASE,A3031),0)=1,CATALOG_POINTS,0))=0,DAILY_POST_POINTS,MAX(IF(IFERROR(FIND(CATALOG_BASE,A3031),0)=1,CATALOG_POINTS,0))),IFERROR(INDEX(CATALOG_POINTS,MATCH(A3031,CATALOG_TASK,0)),""))</f>
        <v>2</v>
      </c>
      <c r="D3031" s="10" t="s">
        <v>1833</v>
      </c>
      <c r="E3031" s="41" t="str">
        <f t="shared" si="1"/>
        <v>PROX3</v>
      </c>
    </row>
    <row r="3032" ht="15.75" customHeight="1">
      <c r="A3032" s="10" t="s">
        <v>37</v>
      </c>
      <c r="B3032" s="10" t="s">
        <v>122</v>
      </c>
      <c r="C3032" s="41">
        <f t="array" ref="C3032">IF(IFERROR(INDEX(CATALOG_POINTS,MATCH(A3032,CATALOG_TASK,0)),"")="",IF(MAX(IF(IFERROR(FIND(CATALOG_BASE,A3032),0)=1,CATALOG_POINTS,0))=0,DAILY_POST_POINTS,MAX(IF(IFERROR(FIND(CATALOG_BASE,A3032),0)=1,CATALOG_POINTS,0))),IFERROR(INDEX(CATALOG_POINTS,MATCH(A3032,CATALOG_TASK,0)),""))</f>
        <v>2</v>
      </c>
      <c r="D3032" s="10" t="s">
        <v>1833</v>
      </c>
      <c r="E3032" s="41" t="str">
        <f t="shared" si="1"/>
        <v>PROX3</v>
      </c>
    </row>
    <row r="3033" ht="15.75" customHeight="1">
      <c r="A3033" s="10" t="s">
        <v>1833</v>
      </c>
      <c r="B3033" s="10" t="s">
        <v>127</v>
      </c>
      <c r="C3033" s="41">
        <f t="array" ref="C3033">IF(IFERROR(INDEX(CATALOG_POINTS,MATCH(A3033,CATALOG_TASK,0)),"")="",IF(MAX(IF(IFERROR(FIND(CATALOG_BASE,A3033),0)=1,CATALOG_POINTS,0))=0,DAILY_POST_POINTS,MAX(IF(IFERROR(FIND(CATALOG_BASE,A3033),0)=1,CATALOG_POINTS,0))),IFERROR(INDEX(CATALOG_POINTS,MATCH(A3033,CATALOG_TASK,0)),""))</f>
        <v>1</v>
      </c>
      <c r="D3033" s="10" t="s">
        <v>1833</v>
      </c>
      <c r="E3033" s="41" t="str">
        <f t="shared" si="1"/>
        <v>PROX3</v>
      </c>
    </row>
    <row r="3034" ht="15.75" customHeight="1">
      <c r="A3034" s="10" t="s">
        <v>1834</v>
      </c>
      <c r="B3034" s="10" t="s">
        <v>135</v>
      </c>
      <c r="C3034" s="41">
        <f t="array" ref="C3034">IF(IFERROR(INDEX(CATALOG_POINTS,MATCH(A3034,CATALOG_TASK,0)),"")="",IF(MAX(IF(IFERROR(FIND(CATALOG_BASE,A3034),0)=1,CATALOG_POINTS,0))=0,DAILY_POST_POINTS,MAX(IF(IFERROR(FIND(CATALOG_BASE,A3034),0)=1,CATALOG_POINTS,0))),IFERROR(INDEX(CATALOG_POINTS,MATCH(A3034,CATALOG_TASK,0)),""))</f>
        <v>1</v>
      </c>
      <c r="D3034" s="10" t="s">
        <v>1834</v>
      </c>
      <c r="E3034" s="41" t="str">
        <f t="shared" si="1"/>
        <v/>
      </c>
    </row>
    <row r="3035" ht="15.75" customHeight="1">
      <c r="A3035" s="10" t="s">
        <v>37</v>
      </c>
      <c r="B3035" s="10" t="s">
        <v>117</v>
      </c>
      <c r="C3035" s="41">
        <f t="array" ref="C3035">IF(IFERROR(INDEX(CATALOG_POINTS,MATCH(A3035,CATALOG_TASK,0)),"")="",IF(MAX(IF(IFERROR(FIND(CATALOG_BASE,A3035),0)=1,CATALOG_POINTS,0))=0,DAILY_POST_POINTS,MAX(IF(IFERROR(FIND(CATALOG_BASE,A3035),0)=1,CATALOG_POINTS,0))),IFERROR(INDEX(CATALOG_POINTS,MATCH(A3035,CATALOG_TASK,0)),""))</f>
        <v>2</v>
      </c>
      <c r="D3035" s="10" t="s">
        <v>1834</v>
      </c>
      <c r="E3035" s="41" t="str">
        <f t="shared" si="1"/>
        <v/>
      </c>
    </row>
    <row r="3036" ht="15.75" customHeight="1">
      <c r="A3036" s="10" t="s">
        <v>168</v>
      </c>
      <c r="B3036" s="10" t="s">
        <v>117</v>
      </c>
      <c r="C3036" s="41">
        <f t="array" ref="C3036">IF(IFERROR(INDEX(CATALOG_POINTS,MATCH(A3036,CATALOG_TASK,0)),"")="",IF(MAX(IF(IFERROR(FIND(CATALOG_BASE,A3036),0)=1,CATALOG_POINTS,0))=0,DAILY_POST_POINTS,MAX(IF(IFERROR(FIND(CATALOG_BASE,A3036),0)=1,CATALOG_POINTS,0))),IFERROR(INDEX(CATALOG_POINTS,MATCH(A3036,CATALOG_TASK,0)),""))</f>
        <v>1</v>
      </c>
      <c r="D3036" s="10" t="s">
        <v>1835</v>
      </c>
      <c r="E3036" s="41" t="str">
        <f t="shared" si="1"/>
        <v>PROX3</v>
      </c>
    </row>
    <row r="3037" ht="15.75" customHeight="1">
      <c r="A3037" s="10" t="s">
        <v>24</v>
      </c>
      <c r="B3037" s="10" t="s">
        <v>117</v>
      </c>
      <c r="C3037" s="41">
        <f t="array" ref="C3037">IF(IFERROR(INDEX(CATALOG_POINTS,MATCH(A3037,CATALOG_TASK,0)),"")="",IF(MAX(IF(IFERROR(FIND(CATALOG_BASE,A3037),0)=1,CATALOG_POINTS,0))=0,DAILY_POST_POINTS,MAX(IF(IFERROR(FIND(CATALOG_BASE,A3037),0)=1,CATALOG_POINTS,0))),IFERROR(INDEX(CATALOG_POINTS,MATCH(A3037,CATALOG_TASK,0)),""))</f>
        <v>2</v>
      </c>
      <c r="D3037" s="10" t="s">
        <v>1835</v>
      </c>
      <c r="E3037" s="41" t="str">
        <f t="shared" si="1"/>
        <v>PROX3</v>
      </c>
    </row>
    <row r="3038" ht="15.75" customHeight="1">
      <c r="A3038" s="10" t="s">
        <v>1836</v>
      </c>
      <c r="B3038" s="10" t="s">
        <v>134</v>
      </c>
      <c r="C3038" s="41">
        <f t="array" ref="C3038">IF(IFERROR(INDEX(CATALOG_POINTS,MATCH(A3038,CATALOG_TASK,0)),"")="",IF(MAX(IF(IFERROR(FIND(CATALOG_BASE,A3038),0)=1,CATALOG_POINTS,0))=0,DAILY_POST_POINTS,MAX(IF(IFERROR(FIND(CATALOG_BASE,A3038),0)=1,CATALOG_POINTS,0))),IFERROR(INDEX(CATALOG_POINTS,MATCH(A3038,CATALOG_TASK,0)),""))</f>
        <v>1</v>
      </c>
      <c r="D3038" s="10" t="s">
        <v>1836</v>
      </c>
      <c r="E3038" s="41" t="str">
        <f t="shared" si="1"/>
        <v/>
      </c>
    </row>
    <row r="3039" ht="15.75" customHeight="1">
      <c r="A3039" s="10" t="s">
        <v>1837</v>
      </c>
      <c r="B3039" s="10" t="s">
        <v>131</v>
      </c>
      <c r="C3039" s="41">
        <f t="array" ref="C3039">IF(IFERROR(INDEX(CATALOG_POINTS,MATCH(A3039,CATALOG_TASK,0)),"")="",IF(MAX(IF(IFERROR(FIND(CATALOG_BASE,A3039),0)=1,CATALOG_POINTS,0))=0,DAILY_POST_POINTS,MAX(IF(IFERROR(FIND(CATALOG_BASE,A3039),0)=1,CATALOG_POINTS,0))),IFERROR(INDEX(CATALOG_POINTS,MATCH(A3039,CATALOG_TASK,0)),""))</f>
        <v>1</v>
      </c>
      <c r="D3039" s="10" t="s">
        <v>1837</v>
      </c>
      <c r="E3039" s="41" t="str">
        <f t="shared" si="1"/>
        <v>PROX3</v>
      </c>
    </row>
    <row r="3040" ht="15.75" customHeight="1">
      <c r="A3040" s="10" t="s">
        <v>1838</v>
      </c>
      <c r="B3040" s="10" t="s">
        <v>136</v>
      </c>
      <c r="C3040" s="41">
        <f t="array" ref="C3040">IF(IFERROR(INDEX(CATALOG_POINTS,MATCH(A3040,CATALOG_TASK,0)),"")="",IF(MAX(IF(IFERROR(FIND(CATALOG_BASE,A3040),0)=1,CATALOG_POINTS,0))=0,DAILY_POST_POINTS,MAX(IF(IFERROR(FIND(CATALOG_BASE,A3040),0)=1,CATALOG_POINTS,0))),IFERROR(INDEX(CATALOG_POINTS,MATCH(A3040,CATALOG_TASK,0)),""))</f>
        <v>1</v>
      </c>
      <c r="D3040" s="10" t="s">
        <v>1839</v>
      </c>
      <c r="E3040" s="41" t="str">
        <f t="shared" si="1"/>
        <v/>
      </c>
    </row>
    <row r="3041" ht="15.75" customHeight="1">
      <c r="A3041" s="10" t="s">
        <v>1840</v>
      </c>
      <c r="B3041" s="10" t="s">
        <v>135</v>
      </c>
      <c r="C3041" s="41">
        <f t="array" ref="C3041">IF(IFERROR(INDEX(CATALOG_POINTS,MATCH(A3041,CATALOG_TASK,0)),"")="",IF(MAX(IF(IFERROR(FIND(CATALOG_BASE,A3041),0)=1,CATALOG_POINTS,0))=0,DAILY_POST_POINTS,MAX(IF(IFERROR(FIND(CATALOG_BASE,A3041),0)=1,CATALOG_POINTS,0))),IFERROR(INDEX(CATALOG_POINTS,MATCH(A3041,CATALOG_TASK,0)),""))</f>
        <v>1</v>
      </c>
      <c r="D3041" s="10" t="s">
        <v>1840</v>
      </c>
      <c r="E3041" s="41" t="str">
        <f t="shared" si="1"/>
        <v>PROX4</v>
      </c>
    </row>
    <row r="3042" ht="15.75" customHeight="1">
      <c r="A3042" s="10" t="s">
        <v>1841</v>
      </c>
      <c r="B3042" s="10" t="s">
        <v>122</v>
      </c>
      <c r="C3042" s="41">
        <f t="array" ref="C3042">IF(IFERROR(INDEX(CATALOG_POINTS,MATCH(A3042,CATALOG_TASK,0)),"")="",IF(MAX(IF(IFERROR(FIND(CATALOG_BASE,A3042),0)=1,CATALOG_POINTS,0))=0,DAILY_POST_POINTS,MAX(IF(IFERROR(FIND(CATALOG_BASE,A3042),0)=1,CATALOG_POINTS,0))),IFERROR(INDEX(CATALOG_POINTS,MATCH(A3042,CATALOG_TASK,0)),""))</f>
        <v>1</v>
      </c>
      <c r="D3042" s="10" t="s">
        <v>1841</v>
      </c>
      <c r="E3042" s="41" t="str">
        <f t="shared" si="1"/>
        <v/>
      </c>
    </row>
    <row r="3043" ht="15.75" customHeight="1">
      <c r="A3043" s="10" t="s">
        <v>37</v>
      </c>
      <c r="B3043" s="10" t="s">
        <v>123</v>
      </c>
      <c r="C3043" s="41">
        <f t="array" ref="C3043">IF(IFERROR(INDEX(CATALOG_POINTS,MATCH(A3043,CATALOG_TASK,0)),"")="",IF(MAX(IF(IFERROR(FIND(CATALOG_BASE,A3043),0)=1,CATALOG_POINTS,0))=0,DAILY_POST_POINTS,MAX(IF(IFERROR(FIND(CATALOG_BASE,A3043),0)=1,CATALOG_POINTS,0))),IFERROR(INDEX(CATALOG_POINTS,MATCH(A3043,CATALOG_TASK,0)),""))</f>
        <v>2</v>
      </c>
      <c r="D3043" s="10" t="s">
        <v>1842</v>
      </c>
      <c r="E3043" s="41" t="str">
        <f t="shared" si="1"/>
        <v/>
      </c>
    </row>
    <row r="3044" ht="15.75" customHeight="1">
      <c r="A3044" s="10" t="s">
        <v>37</v>
      </c>
      <c r="B3044" s="10" t="s">
        <v>123</v>
      </c>
      <c r="C3044" s="41">
        <f t="array" ref="C3044">IF(IFERROR(INDEX(CATALOG_POINTS,MATCH(A3044,CATALOG_TASK,0)),"")="",IF(MAX(IF(IFERROR(FIND(CATALOG_BASE,A3044),0)=1,CATALOG_POINTS,0))=0,DAILY_POST_POINTS,MAX(IF(IFERROR(FIND(CATALOG_BASE,A3044),0)=1,CATALOG_POINTS,0))),IFERROR(INDEX(CATALOG_POINTS,MATCH(A3044,CATALOG_TASK,0)),""))</f>
        <v>2</v>
      </c>
      <c r="D3044" s="10" t="s">
        <v>1842</v>
      </c>
      <c r="E3044" s="41" t="str">
        <f t="shared" si="1"/>
        <v/>
      </c>
    </row>
    <row r="3045" ht="15.75" customHeight="1">
      <c r="A3045" s="10" t="s">
        <v>1843</v>
      </c>
      <c r="B3045" s="10" t="s">
        <v>123</v>
      </c>
      <c r="C3045" s="41">
        <f t="array" ref="C3045">IF(IFERROR(INDEX(CATALOG_POINTS,MATCH(A3045,CATALOG_TASK,0)),"")="",IF(MAX(IF(IFERROR(FIND(CATALOG_BASE,A3045),0)=1,CATALOG_POINTS,0))=0,DAILY_POST_POINTS,MAX(IF(IFERROR(FIND(CATALOG_BASE,A3045),0)=1,CATALOG_POINTS,0))),IFERROR(INDEX(CATALOG_POINTS,MATCH(A3045,CATALOG_TASK,0)),""))</f>
        <v>1</v>
      </c>
      <c r="D3045" s="10" t="s">
        <v>1843</v>
      </c>
      <c r="E3045" s="41" t="str">
        <f t="shared" si="1"/>
        <v>E0</v>
      </c>
    </row>
    <row r="3046" ht="15.75" customHeight="1">
      <c r="A3046" s="10" t="s">
        <v>1844</v>
      </c>
      <c r="B3046" s="10" t="s">
        <v>135</v>
      </c>
      <c r="C3046" s="41">
        <f t="array" ref="C3046">IF(IFERROR(INDEX(CATALOG_POINTS,MATCH(A3046,CATALOG_TASK,0)),"")="",IF(MAX(IF(IFERROR(FIND(CATALOG_BASE,A3046),0)=1,CATALOG_POINTS,0))=0,DAILY_POST_POINTS,MAX(IF(IFERROR(FIND(CATALOG_BASE,A3046),0)=1,CATALOG_POINTS,0))),IFERROR(INDEX(CATALOG_POINTS,MATCH(A3046,CATALOG_TASK,0)),""))</f>
        <v>1</v>
      </c>
      <c r="D3046" s="10" t="s">
        <v>1844</v>
      </c>
      <c r="E3046" s="41" t="str">
        <f t="shared" si="1"/>
        <v>PROX3</v>
      </c>
    </row>
    <row r="3047" ht="15.75" customHeight="1">
      <c r="A3047" s="10" t="s">
        <v>34</v>
      </c>
      <c r="B3047" s="10" t="s">
        <v>127</v>
      </c>
      <c r="C3047" s="41">
        <f t="array" ref="C3047">IF(IFERROR(INDEX(CATALOG_POINTS,MATCH(A3047,CATALOG_TASK,0)),"")="",IF(MAX(IF(IFERROR(FIND(CATALOG_BASE,A3047),0)=1,CATALOG_POINTS,0))=0,DAILY_POST_POINTS,MAX(IF(IFERROR(FIND(CATALOG_BASE,A3047),0)=1,CATALOG_POINTS,0))),IFERROR(INDEX(CATALOG_POINTS,MATCH(A3047,CATALOG_TASK,0)),""))</f>
        <v>2</v>
      </c>
      <c r="D3047" s="10" t="s">
        <v>1845</v>
      </c>
      <c r="E3047" s="41" t="str">
        <f t="shared" si="1"/>
        <v>PROX3</v>
      </c>
    </row>
    <row r="3048" ht="15.75" customHeight="1">
      <c r="A3048" s="10" t="s">
        <v>650</v>
      </c>
      <c r="B3048" s="10" t="s">
        <v>119</v>
      </c>
      <c r="C3048" s="41">
        <f t="array" ref="C3048">IF(IFERROR(INDEX(CATALOG_POINTS,MATCH(A3048,CATALOG_TASK,0)),"")="",IF(MAX(IF(IFERROR(FIND(CATALOG_BASE,A3048),0)=1,CATALOG_POINTS,0))=0,DAILY_POST_POINTS,MAX(IF(IFERROR(FIND(CATALOG_BASE,A3048),0)=1,CATALOG_POINTS,0))),IFERROR(INDEX(CATALOG_POINTS,MATCH(A3048,CATALOG_TASK,0)),""))</f>
        <v>1</v>
      </c>
      <c r="D3048" s="10" t="s">
        <v>1845</v>
      </c>
      <c r="E3048" s="41" t="str">
        <f t="shared" si="1"/>
        <v>PROX3</v>
      </c>
    </row>
    <row r="3049" ht="15.75" customHeight="1">
      <c r="A3049" s="10" t="s">
        <v>1845</v>
      </c>
      <c r="B3049" s="10" t="s">
        <v>123</v>
      </c>
      <c r="C3049" s="41">
        <f t="array" ref="C3049">IF(IFERROR(INDEX(CATALOG_POINTS,MATCH(A3049,CATALOG_TASK,0)),"")="",IF(MAX(IF(IFERROR(FIND(CATALOG_BASE,A3049),0)=1,CATALOG_POINTS,0))=0,DAILY_POST_POINTS,MAX(IF(IFERROR(FIND(CATALOG_BASE,A3049),0)=1,CATALOG_POINTS,0))),IFERROR(INDEX(CATALOG_POINTS,MATCH(A3049,CATALOG_TASK,0)),""))</f>
        <v>1</v>
      </c>
      <c r="D3049" s="10" t="s">
        <v>1845</v>
      </c>
      <c r="E3049" s="41" t="str">
        <f t="shared" si="1"/>
        <v>PROX3</v>
      </c>
    </row>
    <row r="3050" ht="15.75" customHeight="1">
      <c r="A3050" s="10" t="s">
        <v>178</v>
      </c>
      <c r="B3050" s="10" t="s">
        <v>127</v>
      </c>
      <c r="C3050" s="41">
        <f t="array" ref="C3050">IF(IFERROR(INDEX(CATALOG_POINTS,MATCH(A3050,CATALOG_TASK,0)),"")="",IF(MAX(IF(IFERROR(FIND(CATALOG_BASE,A3050),0)=1,CATALOG_POINTS,0))=0,DAILY_POST_POINTS,MAX(IF(IFERROR(FIND(CATALOG_BASE,A3050),0)=1,CATALOG_POINTS,0))),IFERROR(INDEX(CATALOG_POINTS,MATCH(A3050,CATALOG_TASK,0)),""))</f>
        <v>1</v>
      </c>
      <c r="D3050" s="10" t="s">
        <v>1845</v>
      </c>
      <c r="E3050" s="41" t="str">
        <f t="shared" si="1"/>
        <v>PROX3</v>
      </c>
    </row>
    <row r="3051" ht="15.75" customHeight="1">
      <c r="A3051" s="10" t="s">
        <v>168</v>
      </c>
      <c r="B3051" s="10" t="s">
        <v>119</v>
      </c>
      <c r="C3051" s="41">
        <f t="array" ref="C3051">IF(IFERROR(INDEX(CATALOG_POINTS,MATCH(A3051,CATALOG_TASK,0)),"")="",IF(MAX(IF(IFERROR(FIND(CATALOG_BASE,A3051),0)=1,CATALOG_POINTS,0))=0,DAILY_POST_POINTS,MAX(IF(IFERROR(FIND(CATALOG_BASE,A3051),0)=1,CATALOG_POINTS,0))),IFERROR(INDEX(CATALOG_POINTS,MATCH(A3051,CATALOG_TASK,0)),""))</f>
        <v>1</v>
      </c>
      <c r="D3051" s="10" t="s">
        <v>1846</v>
      </c>
      <c r="E3051" s="41" t="str">
        <f t="shared" si="1"/>
        <v>PROX3</v>
      </c>
    </row>
    <row r="3052" ht="15.75" customHeight="1">
      <c r="A3052" s="10" t="s">
        <v>1847</v>
      </c>
      <c r="B3052" s="10" t="s">
        <v>137</v>
      </c>
      <c r="C3052" s="41">
        <f t="array" ref="C3052">IF(IFERROR(INDEX(CATALOG_POINTS,MATCH(A3052,CATALOG_TASK,0)),"")="",IF(MAX(IF(IFERROR(FIND(CATALOG_BASE,A3052),0)=1,CATALOG_POINTS,0))=0,DAILY_POST_POINTS,MAX(IF(IFERROR(FIND(CATALOG_BASE,A3052),0)=1,CATALOG_POINTS,0))),IFERROR(INDEX(CATALOG_POINTS,MATCH(A3052,CATALOG_TASK,0)),""))</f>
        <v>1</v>
      </c>
      <c r="D3052" s="10" t="s">
        <v>1846</v>
      </c>
      <c r="E3052" s="41" t="str">
        <f t="shared" si="1"/>
        <v>PROX3</v>
      </c>
    </row>
    <row r="3053" ht="15.75" customHeight="1">
      <c r="A3053" s="10" t="s">
        <v>890</v>
      </c>
      <c r="B3053" s="10" t="s">
        <v>119</v>
      </c>
      <c r="C3053" s="41">
        <f t="array" ref="C3053">IF(IFERROR(INDEX(CATALOG_POINTS,MATCH(A3053,CATALOG_TASK,0)),"")="",IF(MAX(IF(IFERROR(FIND(CATALOG_BASE,A3053),0)=1,CATALOG_POINTS,0))=0,DAILY_POST_POINTS,MAX(IF(IFERROR(FIND(CATALOG_BASE,A3053),0)=1,CATALOG_POINTS,0))),IFERROR(INDEX(CATALOG_POINTS,MATCH(A3053,CATALOG_TASK,0)),""))</f>
        <v>1</v>
      </c>
      <c r="D3053" s="10" t="s">
        <v>1846</v>
      </c>
      <c r="E3053" s="41" t="str">
        <f t="shared" si="1"/>
        <v>PROX3</v>
      </c>
    </row>
    <row r="3054" ht="15.75" customHeight="1">
      <c r="A3054" s="10" t="s">
        <v>37</v>
      </c>
      <c r="B3054" s="10" t="s">
        <v>120</v>
      </c>
      <c r="C3054" s="41">
        <f t="array" ref="C3054">IF(IFERROR(INDEX(CATALOG_POINTS,MATCH(A3054,CATALOG_TASK,0)),"")="",IF(MAX(IF(IFERROR(FIND(CATALOG_BASE,A3054),0)=1,CATALOG_POINTS,0))=0,DAILY_POST_POINTS,MAX(IF(IFERROR(FIND(CATALOG_BASE,A3054),0)=1,CATALOG_POINTS,0))),IFERROR(INDEX(CATALOG_POINTS,MATCH(A3054,CATALOG_TASK,0)),""))</f>
        <v>2</v>
      </c>
      <c r="D3054" s="10" t="s">
        <v>1846</v>
      </c>
      <c r="E3054" s="41" t="str">
        <f t="shared" si="1"/>
        <v>PROX3</v>
      </c>
    </row>
    <row r="3055" ht="15.75" customHeight="1">
      <c r="A3055" s="10" t="s">
        <v>37</v>
      </c>
      <c r="B3055" s="10" t="s">
        <v>122</v>
      </c>
      <c r="C3055" s="41">
        <f t="array" ref="C3055">IF(IFERROR(INDEX(CATALOG_POINTS,MATCH(A3055,CATALOG_TASK,0)),"")="",IF(MAX(IF(IFERROR(FIND(CATALOG_BASE,A3055),0)=1,CATALOG_POINTS,0))=0,DAILY_POST_POINTS,MAX(IF(IFERROR(FIND(CATALOG_BASE,A3055),0)=1,CATALOG_POINTS,0))),IFERROR(INDEX(CATALOG_POINTS,MATCH(A3055,CATALOG_TASK,0)),""))</f>
        <v>2</v>
      </c>
      <c r="D3055" s="10" t="s">
        <v>1846</v>
      </c>
      <c r="E3055" s="41" t="str">
        <f t="shared" si="1"/>
        <v>PROX3</v>
      </c>
    </row>
    <row r="3056" ht="15.75" customHeight="1">
      <c r="A3056" s="10" t="s">
        <v>168</v>
      </c>
      <c r="B3056" s="10" t="s">
        <v>119</v>
      </c>
      <c r="C3056" s="41">
        <f t="array" ref="C3056">IF(IFERROR(INDEX(CATALOG_POINTS,MATCH(A3056,CATALOG_TASK,0)),"")="",IF(MAX(IF(IFERROR(FIND(CATALOG_BASE,A3056),0)=1,CATALOG_POINTS,0))=0,DAILY_POST_POINTS,MAX(IF(IFERROR(FIND(CATALOG_BASE,A3056),0)=1,CATALOG_POINTS,0))),IFERROR(INDEX(CATALOG_POINTS,MATCH(A3056,CATALOG_TASK,0)),""))</f>
        <v>1</v>
      </c>
      <c r="D3056" s="10" t="s">
        <v>1846</v>
      </c>
      <c r="E3056" s="41" t="str">
        <f t="shared" si="1"/>
        <v>PROX3</v>
      </c>
    </row>
    <row r="3057" ht="15.75" customHeight="1">
      <c r="A3057" s="10" t="s">
        <v>37</v>
      </c>
      <c r="B3057" s="10" t="s">
        <v>117</v>
      </c>
      <c r="C3057" s="41">
        <f t="array" ref="C3057">IF(IFERROR(INDEX(CATALOG_POINTS,MATCH(A3057,CATALOG_TASK,0)),"")="",IF(MAX(IF(IFERROR(FIND(CATALOG_BASE,A3057),0)=1,CATALOG_POINTS,0))=0,DAILY_POST_POINTS,MAX(IF(IFERROR(FIND(CATALOG_BASE,A3057),0)=1,CATALOG_POINTS,0))),IFERROR(INDEX(CATALOG_POINTS,MATCH(A3057,CATALOG_TASK,0)),""))</f>
        <v>2</v>
      </c>
      <c r="D3057" s="10" t="s">
        <v>1848</v>
      </c>
      <c r="E3057" s="41" t="str">
        <f t="shared" si="1"/>
        <v>PROX3</v>
      </c>
    </row>
    <row r="3058" ht="15.75" customHeight="1">
      <c r="A3058" s="10" t="s">
        <v>1848</v>
      </c>
      <c r="B3058" s="10" t="s">
        <v>129</v>
      </c>
      <c r="C3058" s="41">
        <f t="array" ref="C3058">IF(IFERROR(INDEX(CATALOG_POINTS,MATCH(A3058,CATALOG_TASK,0)),"")="",IF(MAX(IF(IFERROR(FIND(CATALOG_BASE,A3058),0)=1,CATALOG_POINTS,0))=0,DAILY_POST_POINTS,MAX(IF(IFERROR(FIND(CATALOG_BASE,A3058),0)=1,CATALOG_POINTS,0))),IFERROR(INDEX(CATALOG_POINTS,MATCH(A3058,CATALOG_TASK,0)),""))</f>
        <v>1</v>
      </c>
      <c r="D3058" s="10" t="s">
        <v>1848</v>
      </c>
      <c r="E3058" s="41" t="str">
        <f t="shared" si="1"/>
        <v>PROX3</v>
      </c>
    </row>
    <row r="3059" ht="15.75" customHeight="1">
      <c r="A3059" s="10" t="s">
        <v>37</v>
      </c>
      <c r="B3059" s="10" t="s">
        <v>123</v>
      </c>
      <c r="C3059" s="41">
        <f t="array" ref="C3059">IF(IFERROR(INDEX(CATALOG_POINTS,MATCH(A3059,CATALOG_TASK,0)),"")="",IF(MAX(IF(IFERROR(FIND(CATALOG_BASE,A3059),0)=1,CATALOG_POINTS,0))=0,DAILY_POST_POINTS,MAX(IF(IFERROR(FIND(CATALOG_BASE,A3059),0)=1,CATALOG_POINTS,0))),IFERROR(INDEX(CATALOG_POINTS,MATCH(A3059,CATALOG_TASK,0)),""))</f>
        <v>2</v>
      </c>
      <c r="D3059" s="10" t="s">
        <v>1849</v>
      </c>
      <c r="E3059" s="41" t="str">
        <f t="shared" si="1"/>
        <v>PROX3</v>
      </c>
    </row>
    <row r="3060" ht="15.75" customHeight="1">
      <c r="A3060" s="10" t="s">
        <v>1849</v>
      </c>
      <c r="B3060" s="10" t="s">
        <v>125</v>
      </c>
      <c r="C3060" s="41">
        <f t="array" ref="C3060">IF(IFERROR(INDEX(CATALOG_POINTS,MATCH(A3060,CATALOG_TASK,0)),"")="",IF(MAX(IF(IFERROR(FIND(CATALOG_BASE,A3060),0)=1,CATALOG_POINTS,0))=0,DAILY_POST_POINTS,MAX(IF(IFERROR(FIND(CATALOG_BASE,A3060),0)=1,CATALOG_POINTS,0))),IFERROR(INDEX(CATALOG_POINTS,MATCH(A3060,CATALOG_TASK,0)),""))</f>
        <v>1</v>
      </c>
      <c r="D3060" s="10" t="s">
        <v>1849</v>
      </c>
      <c r="E3060" s="41" t="str">
        <f t="shared" si="1"/>
        <v>PROX3</v>
      </c>
    </row>
    <row r="3061" ht="15.75" customHeight="1">
      <c r="A3061" s="10" t="s">
        <v>37</v>
      </c>
      <c r="B3061" s="10" t="s">
        <v>121</v>
      </c>
      <c r="C3061" s="41">
        <f t="array" ref="C3061">IF(IFERROR(INDEX(CATALOG_POINTS,MATCH(A3061,CATALOG_TASK,0)),"")="",IF(MAX(IF(IFERROR(FIND(CATALOG_BASE,A3061),0)=1,CATALOG_POINTS,0))=0,DAILY_POST_POINTS,MAX(IF(IFERROR(FIND(CATALOG_BASE,A3061),0)=1,CATALOG_POINTS,0))),IFERROR(INDEX(CATALOG_POINTS,MATCH(A3061,CATALOG_TASK,0)),""))</f>
        <v>2</v>
      </c>
      <c r="D3061" s="10" t="s">
        <v>1849</v>
      </c>
      <c r="E3061" s="41" t="str">
        <f t="shared" si="1"/>
        <v>PROX3</v>
      </c>
    </row>
    <row r="3062" ht="15.75" customHeight="1">
      <c r="A3062" s="10" t="s">
        <v>37</v>
      </c>
      <c r="B3062" s="10" t="s">
        <v>123</v>
      </c>
      <c r="C3062" s="41">
        <f t="array" ref="C3062">IF(IFERROR(INDEX(CATALOG_POINTS,MATCH(A3062,CATALOG_TASK,0)),"")="",IF(MAX(IF(IFERROR(FIND(CATALOG_BASE,A3062),0)=1,CATALOG_POINTS,0))=0,DAILY_POST_POINTS,MAX(IF(IFERROR(FIND(CATALOG_BASE,A3062),0)=1,CATALOG_POINTS,0))),IFERROR(INDEX(CATALOG_POINTS,MATCH(A3062,CATALOG_TASK,0)),""))</f>
        <v>2</v>
      </c>
      <c r="D3062" s="10" t="s">
        <v>1849</v>
      </c>
      <c r="E3062" s="41" t="str">
        <f t="shared" si="1"/>
        <v>PROX3</v>
      </c>
    </row>
    <row r="3063" ht="15.75" customHeight="1">
      <c r="A3063" s="10" t="s">
        <v>37</v>
      </c>
      <c r="B3063" s="10" t="s">
        <v>123</v>
      </c>
      <c r="C3063" s="41">
        <f t="array" ref="C3063">IF(IFERROR(INDEX(CATALOG_POINTS,MATCH(A3063,CATALOG_TASK,0)),"")="",IF(MAX(IF(IFERROR(FIND(CATALOG_BASE,A3063),0)=1,CATALOG_POINTS,0))=0,DAILY_POST_POINTS,MAX(IF(IFERROR(FIND(CATALOG_BASE,A3063),0)=1,CATALOG_POINTS,0))),IFERROR(INDEX(CATALOG_POINTS,MATCH(A3063,CATALOG_TASK,0)),""))</f>
        <v>2</v>
      </c>
      <c r="D3063" s="10" t="s">
        <v>1849</v>
      </c>
      <c r="E3063" s="41" t="str">
        <f t="shared" si="1"/>
        <v>PROX3</v>
      </c>
    </row>
    <row r="3064" ht="15.75" customHeight="1">
      <c r="A3064" s="10" t="s">
        <v>1850</v>
      </c>
      <c r="B3064" s="10" t="s">
        <v>120</v>
      </c>
      <c r="C3064" s="41">
        <f t="array" ref="C3064">IF(IFERROR(INDEX(CATALOG_POINTS,MATCH(A3064,CATALOG_TASK,0)),"")="",IF(MAX(IF(IFERROR(FIND(CATALOG_BASE,A3064),0)=1,CATALOG_POINTS,0))=0,DAILY_POST_POINTS,MAX(IF(IFERROR(FIND(CATALOG_BASE,A3064),0)=1,CATALOG_POINTS,0))),IFERROR(INDEX(CATALOG_POINTS,MATCH(A3064,CATALOG_TASK,0)),""))</f>
        <v>1</v>
      </c>
      <c r="D3064" s="10" t="s">
        <v>1850</v>
      </c>
      <c r="E3064" s="41" t="str">
        <f t="shared" si="1"/>
        <v>E0</v>
      </c>
    </row>
    <row r="3065" ht="15.75" customHeight="1">
      <c r="A3065" s="10" t="s">
        <v>168</v>
      </c>
      <c r="B3065" s="10" t="s">
        <v>124</v>
      </c>
      <c r="C3065" s="41">
        <f t="array" ref="C3065">IF(IFERROR(INDEX(CATALOG_POINTS,MATCH(A3065,CATALOG_TASK,0)),"")="",IF(MAX(IF(IFERROR(FIND(CATALOG_BASE,A3065),0)=1,CATALOG_POINTS,0))=0,DAILY_POST_POINTS,MAX(IF(IFERROR(FIND(CATALOG_BASE,A3065),0)=1,CATALOG_POINTS,0))),IFERROR(INDEX(CATALOG_POINTS,MATCH(A3065,CATALOG_TASK,0)),""))</f>
        <v>1</v>
      </c>
      <c r="D3065" s="10" t="s">
        <v>1850</v>
      </c>
      <c r="E3065" s="41" t="str">
        <f t="shared" si="1"/>
        <v>E0</v>
      </c>
    </row>
    <row r="3066" ht="15.75" customHeight="1">
      <c r="A3066" s="10" t="s">
        <v>168</v>
      </c>
      <c r="B3066" s="10" t="s">
        <v>125</v>
      </c>
      <c r="C3066" s="41">
        <f t="array" ref="C3066">IF(IFERROR(INDEX(CATALOG_POINTS,MATCH(A3066,CATALOG_TASK,0)),"")="",IF(MAX(IF(IFERROR(FIND(CATALOG_BASE,A3066),0)=1,CATALOG_POINTS,0))=0,DAILY_POST_POINTS,MAX(IF(IFERROR(FIND(CATALOG_BASE,A3066),0)=1,CATALOG_POINTS,0))),IFERROR(INDEX(CATALOG_POINTS,MATCH(A3066,CATALOG_TASK,0)),""))</f>
        <v>1</v>
      </c>
      <c r="D3066" s="10" t="s">
        <v>1850</v>
      </c>
      <c r="E3066" s="41" t="str">
        <f t="shared" si="1"/>
        <v>E0</v>
      </c>
    </row>
    <row r="3067" ht="15.75" customHeight="1">
      <c r="A3067" s="10" t="s">
        <v>37</v>
      </c>
      <c r="B3067" s="10" t="s">
        <v>119</v>
      </c>
      <c r="C3067" s="41">
        <f t="array" ref="C3067">IF(IFERROR(INDEX(CATALOG_POINTS,MATCH(A3067,CATALOG_TASK,0)),"")="",IF(MAX(IF(IFERROR(FIND(CATALOG_BASE,A3067),0)=1,CATALOG_POINTS,0))=0,DAILY_POST_POINTS,MAX(IF(IFERROR(FIND(CATALOG_BASE,A3067),0)=1,CATALOG_POINTS,0))),IFERROR(INDEX(CATALOG_POINTS,MATCH(A3067,CATALOG_TASK,0)),""))</f>
        <v>2</v>
      </c>
      <c r="D3067" s="10" t="s">
        <v>1850</v>
      </c>
      <c r="E3067" s="41" t="str">
        <f t="shared" si="1"/>
        <v>E0</v>
      </c>
    </row>
    <row r="3068" ht="15.75" customHeight="1">
      <c r="A3068" s="10" t="s">
        <v>37</v>
      </c>
      <c r="B3068" s="10" t="s">
        <v>126</v>
      </c>
      <c r="C3068" s="41">
        <f t="array" ref="C3068">IF(IFERROR(INDEX(CATALOG_POINTS,MATCH(A3068,CATALOG_TASK,0)),"")="",IF(MAX(IF(IFERROR(FIND(CATALOG_BASE,A3068),0)=1,CATALOG_POINTS,0))=0,DAILY_POST_POINTS,MAX(IF(IFERROR(FIND(CATALOG_BASE,A3068),0)=1,CATALOG_POINTS,0))),IFERROR(INDEX(CATALOG_POINTS,MATCH(A3068,CATALOG_TASK,0)),""))</f>
        <v>2</v>
      </c>
      <c r="D3068" s="10" t="s">
        <v>1850</v>
      </c>
      <c r="E3068" s="41" t="str">
        <f t="shared" si="1"/>
        <v>E0</v>
      </c>
    </row>
    <row r="3069" ht="15.75" customHeight="1">
      <c r="A3069" s="10" t="s">
        <v>37</v>
      </c>
      <c r="B3069" s="10" t="s">
        <v>124</v>
      </c>
      <c r="C3069" s="41">
        <f t="array" ref="C3069">IF(IFERROR(INDEX(CATALOG_POINTS,MATCH(A3069,CATALOG_TASK,0)),"")="",IF(MAX(IF(IFERROR(FIND(CATALOG_BASE,A3069),0)=1,CATALOG_POINTS,0))=0,DAILY_POST_POINTS,MAX(IF(IFERROR(FIND(CATALOG_BASE,A3069),0)=1,CATALOG_POINTS,0))),IFERROR(INDEX(CATALOG_POINTS,MATCH(A3069,CATALOG_TASK,0)),""))</f>
        <v>2</v>
      </c>
      <c r="D3069" s="10" t="s">
        <v>1850</v>
      </c>
      <c r="E3069" s="41" t="str">
        <f t="shared" si="1"/>
        <v>E0</v>
      </c>
    </row>
    <row r="3070" ht="15.75" customHeight="1">
      <c r="A3070" s="10" t="s">
        <v>37</v>
      </c>
      <c r="B3070" s="10" t="s">
        <v>124</v>
      </c>
      <c r="C3070" s="41">
        <f t="array" ref="C3070">IF(IFERROR(INDEX(CATALOG_POINTS,MATCH(A3070,CATALOG_TASK,0)),"")="",IF(MAX(IF(IFERROR(FIND(CATALOG_BASE,A3070),0)=1,CATALOG_POINTS,0))=0,DAILY_POST_POINTS,MAX(IF(IFERROR(FIND(CATALOG_BASE,A3070),0)=1,CATALOG_POINTS,0))),IFERROR(INDEX(CATALOG_POINTS,MATCH(A3070,CATALOG_TASK,0)),""))</f>
        <v>2</v>
      </c>
      <c r="D3070" s="10" t="s">
        <v>1850</v>
      </c>
      <c r="E3070" s="41" t="str">
        <f t="shared" si="1"/>
        <v>E0</v>
      </c>
    </row>
    <row r="3071" ht="15.75" customHeight="1">
      <c r="A3071" s="10" t="s">
        <v>37</v>
      </c>
      <c r="B3071" s="10" t="s">
        <v>126</v>
      </c>
      <c r="C3071" s="41">
        <f t="array" ref="C3071">IF(IFERROR(INDEX(CATALOG_POINTS,MATCH(A3071,CATALOG_TASK,0)),"")="",IF(MAX(IF(IFERROR(FIND(CATALOG_BASE,A3071),0)=1,CATALOG_POINTS,0))=0,DAILY_POST_POINTS,MAX(IF(IFERROR(FIND(CATALOG_BASE,A3071),0)=1,CATALOG_POINTS,0))),IFERROR(INDEX(CATALOG_POINTS,MATCH(A3071,CATALOG_TASK,0)),""))</f>
        <v>2</v>
      </c>
      <c r="D3071" s="10" t="s">
        <v>1850</v>
      </c>
      <c r="E3071" s="41" t="str">
        <f t="shared" si="1"/>
        <v>E0</v>
      </c>
    </row>
    <row r="3072" ht="15.75" customHeight="1">
      <c r="A3072" s="10" t="s">
        <v>168</v>
      </c>
      <c r="B3072" s="10" t="s">
        <v>124</v>
      </c>
      <c r="C3072" s="41">
        <f t="array" ref="C3072">IF(IFERROR(INDEX(CATALOG_POINTS,MATCH(A3072,CATALOG_TASK,0)),"")="",IF(MAX(IF(IFERROR(FIND(CATALOG_BASE,A3072),0)=1,CATALOG_POINTS,0))=0,DAILY_POST_POINTS,MAX(IF(IFERROR(FIND(CATALOG_BASE,A3072),0)=1,CATALOG_POINTS,0))),IFERROR(INDEX(CATALOG_POINTS,MATCH(A3072,CATALOG_TASK,0)),""))</f>
        <v>1</v>
      </c>
      <c r="D3072" s="10" t="s">
        <v>1850</v>
      </c>
      <c r="E3072" s="41" t="str">
        <f t="shared" si="1"/>
        <v>E0</v>
      </c>
    </row>
    <row r="3073" ht="15.75" customHeight="1">
      <c r="A3073" s="10" t="s">
        <v>37</v>
      </c>
      <c r="B3073" s="10" t="s">
        <v>125</v>
      </c>
      <c r="C3073" s="41">
        <f t="array" ref="C3073">IF(IFERROR(INDEX(CATALOG_POINTS,MATCH(A3073,CATALOG_TASK,0)),"")="",IF(MAX(IF(IFERROR(FIND(CATALOG_BASE,A3073),0)=1,CATALOG_POINTS,0))=0,DAILY_POST_POINTS,MAX(IF(IFERROR(FIND(CATALOG_BASE,A3073),0)=1,CATALOG_POINTS,0))),IFERROR(INDEX(CATALOG_POINTS,MATCH(A3073,CATALOG_TASK,0)),""))</f>
        <v>2</v>
      </c>
      <c r="D3073" s="10" t="s">
        <v>1850</v>
      </c>
      <c r="E3073" s="41" t="str">
        <f t="shared" si="1"/>
        <v>E0</v>
      </c>
    </row>
    <row r="3074" ht="15.75" customHeight="1">
      <c r="A3074" s="10" t="s">
        <v>178</v>
      </c>
      <c r="B3074" s="10" t="s">
        <v>124</v>
      </c>
      <c r="C3074" s="41">
        <f t="array" ref="C3074">IF(IFERROR(INDEX(CATALOG_POINTS,MATCH(A3074,CATALOG_TASK,0)),"")="",IF(MAX(IF(IFERROR(FIND(CATALOG_BASE,A3074),0)=1,CATALOG_POINTS,0))=0,DAILY_POST_POINTS,MAX(IF(IFERROR(FIND(CATALOG_BASE,A3074),0)=1,CATALOG_POINTS,0))),IFERROR(INDEX(CATALOG_POINTS,MATCH(A3074,CATALOG_TASK,0)),""))</f>
        <v>1</v>
      </c>
      <c r="D3074" s="10" t="s">
        <v>1850</v>
      </c>
      <c r="E3074" s="41" t="str">
        <f t="shared" si="1"/>
        <v>E0</v>
      </c>
    </row>
    <row r="3075" ht="15.75" customHeight="1">
      <c r="A3075" s="10" t="s">
        <v>1851</v>
      </c>
      <c r="B3075" s="10" t="s">
        <v>134</v>
      </c>
      <c r="C3075" s="41">
        <f t="array" ref="C3075">IF(IFERROR(INDEX(CATALOG_POINTS,MATCH(A3075,CATALOG_TASK,0)),"")="",IF(MAX(IF(IFERROR(FIND(CATALOG_BASE,A3075),0)=1,CATALOG_POINTS,0))=0,DAILY_POST_POINTS,MAX(IF(IFERROR(FIND(CATALOG_BASE,A3075),0)=1,CATALOG_POINTS,0))),IFERROR(INDEX(CATALOG_POINTS,MATCH(A3075,CATALOG_TASK,0)),""))</f>
        <v>1</v>
      </c>
      <c r="D3075" s="10" t="s">
        <v>1851</v>
      </c>
      <c r="E3075" s="41" t="str">
        <f t="shared" si="1"/>
        <v>PROX3</v>
      </c>
    </row>
    <row r="3076" ht="15.75" customHeight="1">
      <c r="A3076" s="10" t="s">
        <v>1852</v>
      </c>
      <c r="B3076" s="10" t="s">
        <v>132</v>
      </c>
      <c r="C3076" s="41">
        <f t="array" ref="C3076">IF(IFERROR(INDEX(CATALOG_POINTS,MATCH(A3076,CATALOG_TASK,0)),"")="",IF(MAX(IF(IFERROR(FIND(CATALOG_BASE,A3076),0)=1,CATALOG_POINTS,0))=0,DAILY_POST_POINTS,MAX(IF(IFERROR(FIND(CATALOG_BASE,A3076),0)=1,CATALOG_POINTS,0))),IFERROR(INDEX(CATALOG_POINTS,MATCH(A3076,CATALOG_TASK,0)),""))</f>
        <v>1</v>
      </c>
      <c r="D3076" s="10" t="s">
        <v>1852</v>
      </c>
      <c r="E3076" s="41" t="str">
        <f t="shared" si="1"/>
        <v/>
      </c>
    </row>
    <row r="3077" ht="15.75" customHeight="1">
      <c r="A3077" s="10" t="s">
        <v>1853</v>
      </c>
      <c r="B3077" s="10" t="s">
        <v>119</v>
      </c>
      <c r="C3077" s="41">
        <f t="array" ref="C3077">IF(IFERROR(INDEX(CATALOG_POINTS,MATCH(A3077,CATALOG_TASK,0)),"")="",IF(MAX(IF(IFERROR(FIND(CATALOG_BASE,A3077),0)=1,CATALOG_POINTS,0))=0,DAILY_POST_POINTS,MAX(IF(IFERROR(FIND(CATALOG_BASE,A3077),0)=1,CATALOG_POINTS,0))),IFERROR(INDEX(CATALOG_POINTS,MATCH(A3077,CATALOG_TASK,0)),""))</f>
        <v>1</v>
      </c>
      <c r="D3077" s="10" t="s">
        <v>1853</v>
      </c>
      <c r="E3077" s="41" t="str">
        <f t="shared" si="1"/>
        <v>PROX3</v>
      </c>
    </row>
    <row r="3078" ht="15.75" customHeight="1">
      <c r="A3078" s="10" t="s">
        <v>1854</v>
      </c>
      <c r="B3078" s="10" t="s">
        <v>124</v>
      </c>
      <c r="C3078" s="41">
        <f t="array" ref="C3078">IF(IFERROR(INDEX(CATALOG_POINTS,MATCH(A3078,CATALOG_TASK,0)),"")="",IF(MAX(IF(IFERROR(FIND(CATALOG_BASE,A3078),0)=1,CATALOG_POINTS,0))=0,DAILY_POST_POINTS,MAX(IF(IFERROR(FIND(CATALOG_BASE,A3078),0)=1,CATALOG_POINTS,0))),IFERROR(INDEX(CATALOG_POINTS,MATCH(A3078,CATALOG_TASK,0)),""))</f>
        <v>1</v>
      </c>
      <c r="D3078" s="10" t="s">
        <v>1854</v>
      </c>
      <c r="E3078" s="41" t="str">
        <f t="shared" si="1"/>
        <v>E0</v>
      </c>
    </row>
    <row r="3079" ht="15.75" customHeight="1">
      <c r="A3079" s="10" t="s">
        <v>1855</v>
      </c>
      <c r="B3079" s="10" t="s">
        <v>122</v>
      </c>
      <c r="C3079" s="41">
        <f t="array" ref="C3079">IF(IFERROR(INDEX(CATALOG_POINTS,MATCH(A3079,CATALOG_TASK,0)),"")="",IF(MAX(IF(IFERROR(FIND(CATALOG_BASE,A3079),0)=1,CATALOG_POINTS,0))=0,DAILY_POST_POINTS,MAX(IF(IFERROR(FIND(CATALOG_BASE,A3079),0)=1,CATALOG_POINTS,0))),IFERROR(INDEX(CATALOG_POINTS,MATCH(A3079,CATALOG_TASK,0)),""))</f>
        <v>1</v>
      </c>
      <c r="D3079" s="10" t="s">
        <v>1855</v>
      </c>
      <c r="E3079" s="41" t="str">
        <f t="shared" si="1"/>
        <v>PROX3</v>
      </c>
    </row>
    <row r="3080" ht="15.75" customHeight="1">
      <c r="A3080" s="10" t="s">
        <v>1856</v>
      </c>
      <c r="B3080" s="10" t="s">
        <v>124</v>
      </c>
      <c r="C3080" s="41">
        <f t="array" ref="C3080">IF(IFERROR(INDEX(CATALOG_POINTS,MATCH(A3080,CATALOG_TASK,0)),"")="",IF(MAX(IF(IFERROR(FIND(CATALOG_BASE,A3080),0)=1,CATALOG_POINTS,0))=0,DAILY_POST_POINTS,MAX(IF(IFERROR(FIND(CATALOG_BASE,A3080),0)=1,CATALOG_POINTS,0))),IFERROR(INDEX(CATALOG_POINTS,MATCH(A3080,CATALOG_TASK,0)),""))</f>
        <v>1</v>
      </c>
      <c r="D3080" s="10" t="s">
        <v>1856</v>
      </c>
      <c r="E3080" s="41" t="str">
        <f t="shared" si="1"/>
        <v>SE1</v>
      </c>
    </row>
    <row r="3081" ht="15.75" customHeight="1">
      <c r="A3081" s="10" t="s">
        <v>37</v>
      </c>
      <c r="B3081" s="10" t="s">
        <v>117</v>
      </c>
      <c r="C3081" s="41">
        <f t="array" ref="C3081">IF(IFERROR(INDEX(CATALOG_POINTS,MATCH(A3081,CATALOG_TASK,0)),"")="",IF(MAX(IF(IFERROR(FIND(CATALOG_BASE,A3081),0)=1,CATALOG_POINTS,0))=0,DAILY_POST_POINTS,MAX(IF(IFERROR(FIND(CATALOG_BASE,A3081),0)=1,CATALOG_POINTS,0))),IFERROR(INDEX(CATALOG_POINTS,MATCH(A3081,CATALOG_TASK,0)),""))</f>
        <v>2</v>
      </c>
      <c r="D3081" s="10" t="s">
        <v>1857</v>
      </c>
      <c r="E3081" s="41" t="str">
        <f t="shared" si="1"/>
        <v>PROX3</v>
      </c>
    </row>
    <row r="3082" ht="15.75" customHeight="1">
      <c r="A3082" s="10" t="s">
        <v>1857</v>
      </c>
      <c r="B3082" s="10" t="s">
        <v>135</v>
      </c>
      <c r="C3082" s="41">
        <f t="array" ref="C3082">IF(IFERROR(INDEX(CATALOG_POINTS,MATCH(A3082,CATALOG_TASK,0)),"")="",IF(MAX(IF(IFERROR(FIND(CATALOG_BASE,A3082),0)=1,CATALOG_POINTS,0))=0,DAILY_POST_POINTS,MAX(IF(IFERROR(FIND(CATALOG_BASE,A3082),0)=1,CATALOG_POINTS,0))),IFERROR(INDEX(CATALOG_POINTS,MATCH(A3082,CATALOG_TASK,0)),""))</f>
        <v>1</v>
      </c>
      <c r="D3082" s="10" t="s">
        <v>1857</v>
      </c>
      <c r="E3082" s="41" t="str">
        <f t="shared" si="1"/>
        <v>PROX3</v>
      </c>
    </row>
    <row r="3083" ht="15.75" customHeight="1">
      <c r="A3083" s="10" t="s">
        <v>1858</v>
      </c>
      <c r="B3083" s="10" t="s">
        <v>120</v>
      </c>
      <c r="C3083" s="41">
        <f t="array" ref="C3083">IF(IFERROR(INDEX(CATALOG_POINTS,MATCH(A3083,CATALOG_TASK,0)),"")="",IF(MAX(IF(IFERROR(FIND(CATALOG_BASE,A3083),0)=1,CATALOG_POINTS,0))=0,DAILY_POST_POINTS,MAX(IF(IFERROR(FIND(CATALOG_BASE,A3083),0)=1,CATALOG_POINTS,0))),IFERROR(INDEX(CATALOG_POINTS,MATCH(A3083,CATALOG_TASK,0)),""))</f>
        <v>1</v>
      </c>
      <c r="D3083" s="10" t="s">
        <v>1858</v>
      </c>
      <c r="E3083" s="41" t="str">
        <f t="shared" si="1"/>
        <v>E0</v>
      </c>
    </row>
    <row r="3084" ht="15.75" customHeight="1">
      <c r="A3084" s="10" t="s">
        <v>1859</v>
      </c>
      <c r="B3084" s="10" t="s">
        <v>125</v>
      </c>
      <c r="C3084" s="41">
        <f t="array" ref="C3084">IF(IFERROR(INDEX(CATALOG_POINTS,MATCH(A3084,CATALOG_TASK,0)),"")="",IF(MAX(IF(IFERROR(FIND(CATALOG_BASE,A3084),0)=1,CATALOG_POINTS,0))=0,DAILY_POST_POINTS,MAX(IF(IFERROR(FIND(CATALOG_BASE,A3084),0)=1,CATALOG_POINTS,0))),IFERROR(INDEX(CATALOG_POINTS,MATCH(A3084,CATALOG_TASK,0)),""))</f>
        <v>1</v>
      </c>
      <c r="D3084" s="10" t="s">
        <v>1859</v>
      </c>
      <c r="E3084" s="41" t="str">
        <f t="shared" si="1"/>
        <v>PROX3</v>
      </c>
    </row>
    <row r="3085" ht="15.75" customHeight="1">
      <c r="A3085" s="10" t="s">
        <v>1860</v>
      </c>
      <c r="B3085" s="10" t="s">
        <v>123</v>
      </c>
      <c r="C3085" s="41">
        <f t="array" ref="C3085">IF(IFERROR(INDEX(CATALOG_POINTS,MATCH(A3085,CATALOG_TASK,0)),"")="",IF(MAX(IF(IFERROR(FIND(CATALOG_BASE,A3085),0)=1,CATALOG_POINTS,0))=0,DAILY_POST_POINTS,MAX(IF(IFERROR(FIND(CATALOG_BASE,A3085),0)=1,CATALOG_POINTS,0))),IFERROR(INDEX(CATALOG_POINTS,MATCH(A3085,CATALOG_TASK,0)),""))</f>
        <v>1</v>
      </c>
      <c r="D3085" s="10" t="s">
        <v>1860</v>
      </c>
      <c r="E3085" s="41" t="str">
        <f t="shared" si="1"/>
        <v>E0</v>
      </c>
    </row>
    <row r="3086" ht="15.75" customHeight="1">
      <c r="A3086" s="10" t="s">
        <v>1861</v>
      </c>
      <c r="B3086" s="10" t="s">
        <v>134</v>
      </c>
      <c r="C3086" s="41">
        <f t="array" ref="C3086">IF(IFERROR(INDEX(CATALOG_POINTS,MATCH(A3086,CATALOG_TASK,0)),"")="",IF(MAX(IF(IFERROR(FIND(CATALOG_BASE,A3086),0)=1,CATALOG_POINTS,0))=0,DAILY_POST_POINTS,MAX(IF(IFERROR(FIND(CATALOG_BASE,A3086),0)=1,CATALOG_POINTS,0))),IFERROR(INDEX(CATALOG_POINTS,MATCH(A3086,CATALOG_TASK,0)),""))</f>
        <v>1</v>
      </c>
      <c r="D3086" s="10" t="s">
        <v>1861</v>
      </c>
      <c r="E3086" s="41" t="str">
        <f t="shared" si="1"/>
        <v>PROX3</v>
      </c>
    </row>
    <row r="3087" ht="15.75" customHeight="1">
      <c r="A3087" s="10" t="s">
        <v>1862</v>
      </c>
      <c r="B3087" s="10" t="s">
        <v>126</v>
      </c>
      <c r="C3087" s="41">
        <f t="array" ref="C3087">IF(IFERROR(INDEX(CATALOG_POINTS,MATCH(A3087,CATALOG_TASK,0)),"")="",IF(MAX(IF(IFERROR(FIND(CATALOG_BASE,A3087),0)=1,CATALOG_POINTS,0))=0,DAILY_POST_POINTS,MAX(IF(IFERROR(FIND(CATALOG_BASE,A3087),0)=1,CATALOG_POINTS,0))),IFERROR(INDEX(CATALOG_POINTS,MATCH(A3087,CATALOG_TASK,0)),""))</f>
        <v>1</v>
      </c>
      <c r="D3087" s="10" t="s">
        <v>1862</v>
      </c>
      <c r="E3087" s="41" t="str">
        <f t="shared" si="1"/>
        <v>PROX3</v>
      </c>
    </row>
    <row r="3088" ht="15.75" customHeight="1">
      <c r="A3088" s="10" t="s">
        <v>37</v>
      </c>
      <c r="B3088" s="10" t="s">
        <v>117</v>
      </c>
      <c r="C3088" s="41">
        <f t="array" ref="C3088">IF(IFERROR(INDEX(CATALOG_POINTS,MATCH(A3088,CATALOG_TASK,0)),"")="",IF(MAX(IF(IFERROR(FIND(CATALOG_BASE,A3088),0)=1,CATALOG_POINTS,0))=0,DAILY_POST_POINTS,MAX(IF(IFERROR(FIND(CATALOG_BASE,A3088),0)=1,CATALOG_POINTS,0))),IFERROR(INDEX(CATALOG_POINTS,MATCH(A3088,CATALOG_TASK,0)),""))</f>
        <v>2</v>
      </c>
      <c r="D3088" s="10" t="s">
        <v>1862</v>
      </c>
      <c r="E3088" s="41" t="str">
        <f t="shared" si="1"/>
        <v>PROX3</v>
      </c>
    </row>
    <row r="3089" ht="15.75" customHeight="1">
      <c r="A3089" s="10" t="s">
        <v>37</v>
      </c>
      <c r="B3089" s="10" t="s">
        <v>125</v>
      </c>
      <c r="C3089" s="41">
        <f t="array" ref="C3089">IF(IFERROR(INDEX(CATALOG_POINTS,MATCH(A3089,CATALOG_TASK,0)),"")="",IF(MAX(IF(IFERROR(FIND(CATALOG_BASE,A3089),0)=1,CATALOG_POINTS,0))=0,DAILY_POST_POINTS,MAX(IF(IFERROR(FIND(CATALOG_BASE,A3089),0)=1,CATALOG_POINTS,0))),IFERROR(INDEX(CATALOG_POINTS,MATCH(A3089,CATALOG_TASK,0)),""))</f>
        <v>2</v>
      </c>
      <c r="D3089" s="10" t="s">
        <v>1862</v>
      </c>
      <c r="E3089" s="41" t="str">
        <f t="shared" si="1"/>
        <v>PROX3</v>
      </c>
    </row>
    <row r="3090" ht="15.75" customHeight="1">
      <c r="A3090" s="10" t="s">
        <v>1863</v>
      </c>
      <c r="B3090" s="10" t="s">
        <v>126</v>
      </c>
      <c r="C3090" s="41">
        <f t="array" ref="C3090">IF(IFERROR(INDEX(CATALOG_POINTS,MATCH(A3090,CATALOG_TASK,0)),"")="",IF(MAX(IF(IFERROR(FIND(CATALOG_BASE,A3090),0)=1,CATALOG_POINTS,0))=0,DAILY_POST_POINTS,MAX(IF(IFERROR(FIND(CATALOG_BASE,A3090),0)=1,CATALOG_POINTS,0))),IFERROR(INDEX(CATALOG_POINTS,MATCH(A3090,CATALOG_TASK,0)),""))</f>
        <v>1</v>
      </c>
      <c r="D3090" s="10" t="s">
        <v>1863</v>
      </c>
      <c r="E3090" s="41" t="str">
        <f t="shared" si="1"/>
        <v>PROX3</v>
      </c>
    </row>
    <row r="3091" ht="15.75" customHeight="1">
      <c r="A3091" s="10" t="s">
        <v>37</v>
      </c>
      <c r="B3091" s="10" t="s">
        <v>125</v>
      </c>
      <c r="C3091" s="41">
        <f t="array" ref="C3091">IF(IFERROR(INDEX(CATALOG_POINTS,MATCH(A3091,CATALOG_TASK,0)),"")="",IF(MAX(IF(IFERROR(FIND(CATALOG_BASE,A3091),0)=1,CATALOG_POINTS,0))=0,DAILY_POST_POINTS,MAX(IF(IFERROR(FIND(CATALOG_BASE,A3091),0)=1,CATALOG_POINTS,0))),IFERROR(INDEX(CATALOG_POINTS,MATCH(A3091,CATALOG_TASK,0)),""))</f>
        <v>2</v>
      </c>
      <c r="D3091" s="10" t="s">
        <v>1864</v>
      </c>
      <c r="E3091" s="41" t="str">
        <f t="shared" si="1"/>
        <v>PROX3</v>
      </c>
    </row>
    <row r="3092" ht="15.75" customHeight="1">
      <c r="A3092" s="10" t="s">
        <v>1864</v>
      </c>
      <c r="B3092" s="10" t="s">
        <v>121</v>
      </c>
      <c r="C3092" s="41">
        <f t="array" ref="C3092">IF(IFERROR(INDEX(CATALOG_POINTS,MATCH(A3092,CATALOG_TASK,0)),"")="",IF(MAX(IF(IFERROR(FIND(CATALOG_BASE,A3092),0)=1,CATALOG_POINTS,0))=0,DAILY_POST_POINTS,MAX(IF(IFERROR(FIND(CATALOG_BASE,A3092),0)=1,CATALOG_POINTS,0))),IFERROR(INDEX(CATALOG_POINTS,MATCH(A3092,CATALOG_TASK,0)),""))</f>
        <v>1</v>
      </c>
      <c r="D3092" s="10" t="s">
        <v>1864</v>
      </c>
      <c r="E3092" s="41" t="str">
        <f t="shared" si="1"/>
        <v>PROX3</v>
      </c>
    </row>
    <row r="3093" ht="15.75" customHeight="1">
      <c r="A3093" s="10" t="s">
        <v>37</v>
      </c>
      <c r="B3093" s="10" t="s">
        <v>119</v>
      </c>
      <c r="C3093" s="41">
        <f t="array" ref="C3093">IF(IFERROR(INDEX(CATALOG_POINTS,MATCH(A3093,CATALOG_TASK,0)),"")="",IF(MAX(IF(IFERROR(FIND(CATALOG_BASE,A3093),0)=1,CATALOG_POINTS,0))=0,DAILY_POST_POINTS,MAX(IF(IFERROR(FIND(CATALOG_BASE,A3093),0)=1,CATALOG_POINTS,0))),IFERROR(INDEX(CATALOG_POINTS,MATCH(A3093,CATALOG_TASK,0)),""))</f>
        <v>2</v>
      </c>
      <c r="D3093" s="10" t="s">
        <v>1864</v>
      </c>
      <c r="E3093" s="41" t="str">
        <f t="shared" si="1"/>
        <v>PROX3</v>
      </c>
    </row>
    <row r="3094" ht="15.75" customHeight="1">
      <c r="A3094" s="10" t="s">
        <v>37</v>
      </c>
      <c r="B3094" s="10" t="s">
        <v>122</v>
      </c>
      <c r="C3094" s="41">
        <f t="array" ref="C3094">IF(IFERROR(INDEX(CATALOG_POINTS,MATCH(A3094,CATALOG_TASK,0)),"")="",IF(MAX(IF(IFERROR(FIND(CATALOG_BASE,A3094),0)=1,CATALOG_POINTS,0))=0,DAILY_POST_POINTS,MAX(IF(IFERROR(FIND(CATALOG_BASE,A3094),0)=1,CATALOG_POINTS,0))),IFERROR(INDEX(CATALOG_POINTS,MATCH(A3094,CATALOG_TASK,0)),""))</f>
        <v>2</v>
      </c>
      <c r="D3094" s="10" t="s">
        <v>1865</v>
      </c>
      <c r="E3094" s="41" t="str">
        <f t="shared" si="1"/>
        <v>PROX3</v>
      </c>
    </row>
    <row r="3095" ht="15.75" customHeight="1">
      <c r="A3095" s="10" t="s">
        <v>1865</v>
      </c>
      <c r="B3095" s="10" t="s">
        <v>117</v>
      </c>
      <c r="C3095" s="41">
        <f t="array" ref="C3095">IF(IFERROR(INDEX(CATALOG_POINTS,MATCH(A3095,CATALOG_TASK,0)),"")="",IF(MAX(IF(IFERROR(FIND(CATALOG_BASE,A3095),0)=1,CATALOG_POINTS,0))=0,DAILY_POST_POINTS,MAX(IF(IFERROR(FIND(CATALOG_BASE,A3095),0)=1,CATALOG_POINTS,0))),IFERROR(INDEX(CATALOG_POINTS,MATCH(A3095,CATALOG_TASK,0)),""))</f>
        <v>1</v>
      </c>
      <c r="D3095" s="10" t="s">
        <v>1865</v>
      </c>
      <c r="E3095" s="41" t="str">
        <f t="shared" si="1"/>
        <v>PROX3</v>
      </c>
    </row>
    <row r="3096" ht="15.75" customHeight="1">
      <c r="A3096" s="10" t="s">
        <v>37</v>
      </c>
      <c r="B3096" s="10" t="s">
        <v>117</v>
      </c>
      <c r="C3096" s="41">
        <f t="array" ref="C3096">IF(IFERROR(INDEX(CATALOG_POINTS,MATCH(A3096,CATALOG_TASK,0)),"")="",IF(MAX(IF(IFERROR(FIND(CATALOG_BASE,A3096),0)=1,CATALOG_POINTS,0))=0,DAILY_POST_POINTS,MAX(IF(IFERROR(FIND(CATALOG_BASE,A3096),0)=1,CATALOG_POINTS,0))),IFERROR(INDEX(CATALOG_POINTS,MATCH(A3096,CATALOG_TASK,0)),""))</f>
        <v>2</v>
      </c>
      <c r="D3096" s="10" t="s">
        <v>1866</v>
      </c>
      <c r="E3096" s="41" t="str">
        <f t="shared" si="1"/>
        <v>PROX3</v>
      </c>
    </row>
    <row r="3097" ht="15.75" customHeight="1">
      <c r="A3097" s="10" t="s">
        <v>178</v>
      </c>
      <c r="B3097" s="10" t="s">
        <v>123</v>
      </c>
      <c r="C3097" s="41">
        <f t="array" ref="C3097">IF(IFERROR(INDEX(CATALOG_POINTS,MATCH(A3097,CATALOG_TASK,0)),"")="",IF(MAX(IF(IFERROR(FIND(CATALOG_BASE,A3097),0)=1,CATALOG_POINTS,0))=0,DAILY_POST_POINTS,MAX(IF(IFERROR(FIND(CATALOG_BASE,A3097),0)=1,CATALOG_POINTS,0))),IFERROR(INDEX(CATALOG_POINTS,MATCH(A3097,CATALOG_TASK,0)),""))</f>
        <v>1</v>
      </c>
      <c r="D3097" s="10" t="s">
        <v>1866</v>
      </c>
      <c r="E3097" s="41" t="str">
        <f t="shared" si="1"/>
        <v>PROX3</v>
      </c>
    </row>
    <row r="3098" ht="15.75" customHeight="1">
      <c r="A3098" s="10" t="s">
        <v>1866</v>
      </c>
      <c r="B3098" s="10" t="s">
        <v>123</v>
      </c>
      <c r="C3098" s="41">
        <f t="array" ref="C3098">IF(IFERROR(INDEX(CATALOG_POINTS,MATCH(A3098,CATALOG_TASK,0)),"")="",IF(MAX(IF(IFERROR(FIND(CATALOG_BASE,A3098),0)=1,CATALOG_POINTS,0))=0,DAILY_POST_POINTS,MAX(IF(IFERROR(FIND(CATALOG_BASE,A3098),0)=1,CATALOG_POINTS,0))),IFERROR(INDEX(CATALOG_POINTS,MATCH(A3098,CATALOG_TASK,0)),""))</f>
        <v>1</v>
      </c>
      <c r="D3098" s="10" t="s">
        <v>1866</v>
      </c>
      <c r="E3098" s="41" t="str">
        <f t="shared" si="1"/>
        <v>PROX3</v>
      </c>
    </row>
    <row r="3099" ht="15.75" customHeight="1">
      <c r="A3099" s="10" t="s">
        <v>168</v>
      </c>
      <c r="B3099" s="10" t="s">
        <v>117</v>
      </c>
      <c r="C3099" s="41">
        <f t="array" ref="C3099">IF(IFERROR(INDEX(CATALOG_POINTS,MATCH(A3099,CATALOG_TASK,0)),"")="",IF(MAX(IF(IFERROR(FIND(CATALOG_BASE,A3099),0)=1,CATALOG_POINTS,0))=0,DAILY_POST_POINTS,MAX(IF(IFERROR(FIND(CATALOG_BASE,A3099),0)=1,CATALOG_POINTS,0))),IFERROR(INDEX(CATALOG_POINTS,MATCH(A3099,CATALOG_TASK,0)),""))</f>
        <v>1</v>
      </c>
      <c r="D3099" s="10" t="s">
        <v>1866</v>
      </c>
      <c r="E3099" s="41" t="str">
        <f t="shared" si="1"/>
        <v>PROX3</v>
      </c>
    </row>
    <row r="3100" ht="15.75" customHeight="1">
      <c r="A3100" s="10" t="s">
        <v>1867</v>
      </c>
      <c r="B3100" s="10" t="s">
        <v>125</v>
      </c>
      <c r="C3100" s="41">
        <f t="array" ref="C3100">IF(IFERROR(INDEX(CATALOG_POINTS,MATCH(A3100,CATALOG_TASK,0)),"")="",IF(MAX(IF(IFERROR(FIND(CATALOG_BASE,A3100),0)=1,CATALOG_POINTS,0))=0,DAILY_POST_POINTS,MAX(IF(IFERROR(FIND(CATALOG_BASE,A3100),0)=1,CATALOG_POINTS,0))),IFERROR(INDEX(CATALOG_POINTS,MATCH(A3100,CATALOG_TASK,0)),""))</f>
        <v>1</v>
      </c>
      <c r="D3100" s="10" t="s">
        <v>1867</v>
      </c>
      <c r="E3100" s="41" t="str">
        <f t="shared" si="1"/>
        <v>PROX3</v>
      </c>
    </row>
    <row r="3101" ht="15.75" customHeight="1">
      <c r="A3101" s="10" t="s">
        <v>1868</v>
      </c>
      <c r="B3101" s="10" t="s">
        <v>124</v>
      </c>
      <c r="C3101" s="41">
        <f t="array" ref="C3101">IF(IFERROR(INDEX(CATALOG_POINTS,MATCH(A3101,CATALOG_TASK,0)),"")="",IF(MAX(IF(IFERROR(FIND(CATALOG_BASE,A3101),0)=1,CATALOG_POINTS,0))=0,DAILY_POST_POINTS,MAX(IF(IFERROR(FIND(CATALOG_BASE,A3101),0)=1,CATALOG_POINTS,0))),IFERROR(INDEX(CATALOG_POINTS,MATCH(A3101,CATALOG_TASK,0)),""))</f>
        <v>1</v>
      </c>
      <c r="D3101" s="10" t="s">
        <v>1868</v>
      </c>
      <c r="E3101" s="41" t="str">
        <f t="shared" si="1"/>
        <v>PROX4</v>
      </c>
    </row>
    <row r="3102" ht="15.75" customHeight="1">
      <c r="A3102" s="10" t="s">
        <v>37</v>
      </c>
      <c r="B3102" s="10" t="s">
        <v>119</v>
      </c>
      <c r="C3102" s="41">
        <f t="array" ref="C3102">IF(IFERROR(INDEX(CATALOG_POINTS,MATCH(A3102,CATALOG_TASK,0)),"")="",IF(MAX(IF(IFERROR(FIND(CATALOG_BASE,A3102),0)=1,CATALOG_POINTS,0))=0,DAILY_POST_POINTS,MAX(IF(IFERROR(FIND(CATALOG_BASE,A3102),0)=1,CATALOG_POINTS,0))),IFERROR(INDEX(CATALOG_POINTS,MATCH(A3102,CATALOG_TASK,0)),""))</f>
        <v>2</v>
      </c>
      <c r="D3102" s="10" t="s">
        <v>1868</v>
      </c>
      <c r="E3102" s="41" t="str">
        <f t="shared" si="1"/>
        <v>PROX4</v>
      </c>
    </row>
    <row r="3103" ht="15.75" customHeight="1">
      <c r="A3103" s="10" t="s">
        <v>1869</v>
      </c>
      <c r="B3103" s="10" t="s">
        <v>129</v>
      </c>
      <c r="C3103" s="41">
        <f t="array" ref="C3103">IF(IFERROR(INDEX(CATALOG_POINTS,MATCH(A3103,CATALOG_TASK,0)),"")="",IF(MAX(IF(IFERROR(FIND(CATALOG_BASE,A3103),0)=1,CATALOG_POINTS,0))=0,DAILY_POST_POINTS,MAX(IF(IFERROR(FIND(CATALOG_BASE,A3103),0)=1,CATALOG_POINTS,0))),IFERROR(INDEX(CATALOG_POINTS,MATCH(A3103,CATALOG_TASK,0)),""))</f>
        <v>1</v>
      </c>
      <c r="D3103" s="10" t="s">
        <v>1869</v>
      </c>
      <c r="E3103" s="41" t="str">
        <f t="shared" si="1"/>
        <v/>
      </c>
    </row>
    <row r="3104" ht="15.75" customHeight="1">
      <c r="A3104" s="10" t="s">
        <v>37</v>
      </c>
      <c r="B3104" s="10" t="s">
        <v>122</v>
      </c>
      <c r="C3104" s="41">
        <f t="array" ref="C3104">IF(IFERROR(INDEX(CATALOG_POINTS,MATCH(A3104,CATALOG_TASK,0)),"")="",IF(MAX(IF(IFERROR(FIND(CATALOG_BASE,A3104),0)=1,CATALOG_POINTS,0))=0,DAILY_POST_POINTS,MAX(IF(IFERROR(FIND(CATALOG_BASE,A3104),0)=1,CATALOG_POINTS,0))),IFERROR(INDEX(CATALOG_POINTS,MATCH(A3104,CATALOG_TASK,0)),""))</f>
        <v>2</v>
      </c>
      <c r="D3104" s="10" t="s">
        <v>1870</v>
      </c>
      <c r="E3104" s="41" t="str">
        <f t="shared" si="1"/>
        <v>PROX3</v>
      </c>
    </row>
    <row r="3105" ht="15.75" customHeight="1">
      <c r="A3105" s="10" t="s">
        <v>168</v>
      </c>
      <c r="B3105" s="10" t="s">
        <v>126</v>
      </c>
      <c r="C3105" s="41">
        <f t="array" ref="C3105">IF(IFERROR(INDEX(CATALOG_POINTS,MATCH(A3105,CATALOG_TASK,0)),"")="",IF(MAX(IF(IFERROR(FIND(CATALOG_BASE,A3105),0)=1,CATALOG_POINTS,0))=0,DAILY_POST_POINTS,MAX(IF(IFERROR(FIND(CATALOG_BASE,A3105),0)=1,CATALOG_POINTS,0))),IFERROR(INDEX(CATALOG_POINTS,MATCH(A3105,CATALOG_TASK,0)),""))</f>
        <v>1</v>
      </c>
      <c r="D3105" s="10" t="s">
        <v>1870</v>
      </c>
      <c r="E3105" s="41" t="str">
        <f t="shared" si="1"/>
        <v>PROX3</v>
      </c>
    </row>
    <row r="3106" ht="15.75" customHeight="1">
      <c r="A3106" s="10" t="s">
        <v>1870</v>
      </c>
      <c r="B3106" s="10" t="s">
        <v>124</v>
      </c>
      <c r="C3106" s="41">
        <f t="array" ref="C3106">IF(IFERROR(INDEX(CATALOG_POINTS,MATCH(A3106,CATALOG_TASK,0)),"")="",IF(MAX(IF(IFERROR(FIND(CATALOG_BASE,A3106),0)=1,CATALOG_POINTS,0))=0,DAILY_POST_POINTS,MAX(IF(IFERROR(FIND(CATALOG_BASE,A3106),0)=1,CATALOG_POINTS,0))),IFERROR(INDEX(CATALOG_POINTS,MATCH(A3106,CATALOG_TASK,0)),""))</f>
        <v>1</v>
      </c>
      <c r="D3106" s="10" t="s">
        <v>1870</v>
      </c>
      <c r="E3106" s="41" t="str">
        <f t="shared" si="1"/>
        <v>PROX3</v>
      </c>
    </row>
    <row r="3107" ht="15.75" customHeight="1">
      <c r="A3107" s="10" t="s">
        <v>37</v>
      </c>
      <c r="B3107" s="10" t="s">
        <v>119</v>
      </c>
      <c r="C3107" s="41">
        <f t="array" ref="C3107">IF(IFERROR(INDEX(CATALOG_POINTS,MATCH(A3107,CATALOG_TASK,0)),"")="",IF(MAX(IF(IFERROR(FIND(CATALOG_BASE,A3107),0)=1,CATALOG_POINTS,0))=0,DAILY_POST_POINTS,MAX(IF(IFERROR(FIND(CATALOG_BASE,A3107),0)=1,CATALOG_POINTS,0))),IFERROR(INDEX(CATALOG_POINTS,MATCH(A3107,CATALOG_TASK,0)),""))</f>
        <v>2</v>
      </c>
      <c r="D3107" s="10" t="s">
        <v>1870</v>
      </c>
      <c r="E3107" s="41" t="str">
        <f t="shared" si="1"/>
        <v>PROX3</v>
      </c>
    </row>
    <row r="3108" ht="15.75" customHeight="1">
      <c r="A3108" s="10" t="s">
        <v>37</v>
      </c>
      <c r="B3108" s="10" t="s">
        <v>125</v>
      </c>
      <c r="C3108" s="41">
        <f t="array" ref="C3108">IF(IFERROR(INDEX(CATALOG_POINTS,MATCH(A3108,CATALOG_TASK,0)),"")="",IF(MAX(IF(IFERROR(FIND(CATALOG_BASE,A3108),0)=1,CATALOG_POINTS,0))=0,DAILY_POST_POINTS,MAX(IF(IFERROR(FIND(CATALOG_BASE,A3108),0)=1,CATALOG_POINTS,0))),IFERROR(INDEX(CATALOG_POINTS,MATCH(A3108,CATALOG_TASK,0)),""))</f>
        <v>2</v>
      </c>
      <c r="D3108" s="10" t="s">
        <v>1870</v>
      </c>
      <c r="E3108" s="41" t="str">
        <f t="shared" si="1"/>
        <v>PROX3</v>
      </c>
    </row>
    <row r="3109" ht="15.75" customHeight="1">
      <c r="A3109" s="10" t="s">
        <v>37</v>
      </c>
      <c r="B3109" s="10" t="s">
        <v>126</v>
      </c>
      <c r="C3109" s="41">
        <f t="array" ref="C3109">IF(IFERROR(INDEX(CATALOG_POINTS,MATCH(A3109,CATALOG_TASK,0)),"")="",IF(MAX(IF(IFERROR(FIND(CATALOG_BASE,A3109),0)=1,CATALOG_POINTS,0))=0,DAILY_POST_POINTS,MAX(IF(IFERROR(FIND(CATALOG_BASE,A3109),0)=1,CATALOG_POINTS,0))),IFERROR(INDEX(CATALOG_POINTS,MATCH(A3109,CATALOG_TASK,0)),""))</f>
        <v>2</v>
      </c>
      <c r="D3109" s="10" t="s">
        <v>1870</v>
      </c>
      <c r="E3109" s="41" t="str">
        <f t="shared" si="1"/>
        <v>PROX3</v>
      </c>
    </row>
    <row r="3110" ht="15.75" customHeight="1">
      <c r="A3110" s="10" t="s">
        <v>1871</v>
      </c>
      <c r="B3110" s="10" t="s">
        <v>121</v>
      </c>
      <c r="C3110" s="41">
        <f t="array" ref="C3110">IF(IFERROR(INDEX(CATALOG_POINTS,MATCH(A3110,CATALOG_TASK,0)),"")="",IF(MAX(IF(IFERROR(FIND(CATALOG_BASE,A3110),0)=1,CATALOG_POINTS,0))=0,DAILY_POST_POINTS,MAX(IF(IFERROR(FIND(CATALOG_BASE,A3110),0)=1,CATALOG_POINTS,0))),IFERROR(INDEX(CATALOG_POINTS,MATCH(A3110,CATALOG_TASK,0)),""))</f>
        <v>1</v>
      </c>
      <c r="D3110" s="10" t="s">
        <v>1871</v>
      </c>
      <c r="E3110" s="41" t="str">
        <f t="shared" si="1"/>
        <v>PROX3</v>
      </c>
    </row>
    <row r="3111" ht="15.75" customHeight="1">
      <c r="A3111" s="10" t="s">
        <v>37</v>
      </c>
      <c r="B3111" s="10" t="s">
        <v>121</v>
      </c>
      <c r="C3111" s="41">
        <f t="array" ref="C3111">IF(IFERROR(INDEX(CATALOG_POINTS,MATCH(A3111,CATALOG_TASK,0)),"")="",IF(MAX(IF(IFERROR(FIND(CATALOG_BASE,A3111),0)=1,CATALOG_POINTS,0))=0,DAILY_POST_POINTS,MAX(IF(IFERROR(FIND(CATALOG_BASE,A3111),0)=1,CATALOG_POINTS,0))),IFERROR(INDEX(CATALOG_POINTS,MATCH(A3111,CATALOG_TASK,0)),""))</f>
        <v>2</v>
      </c>
      <c r="D3111" s="10" t="s">
        <v>1871</v>
      </c>
      <c r="E3111" s="41" t="str">
        <f t="shared" si="1"/>
        <v>PROX3</v>
      </c>
    </row>
    <row r="3112" ht="15.75" customHeight="1">
      <c r="A3112" s="10" t="s">
        <v>1872</v>
      </c>
      <c r="B3112" s="10" t="s">
        <v>131</v>
      </c>
      <c r="C3112" s="41">
        <f t="array" ref="C3112">IF(IFERROR(INDEX(CATALOG_POINTS,MATCH(A3112,CATALOG_TASK,0)),"")="",IF(MAX(IF(IFERROR(FIND(CATALOG_BASE,A3112),0)=1,CATALOG_POINTS,0))=0,DAILY_POST_POINTS,MAX(IF(IFERROR(FIND(CATALOG_BASE,A3112),0)=1,CATALOG_POINTS,0))),IFERROR(INDEX(CATALOG_POINTS,MATCH(A3112,CATALOG_TASK,0)),""))</f>
        <v>1</v>
      </c>
      <c r="D3112" s="10" t="s">
        <v>1872</v>
      </c>
      <c r="E3112" s="41" t="str">
        <f t="shared" si="1"/>
        <v>PROX3</v>
      </c>
    </row>
    <row r="3113" ht="15.75" customHeight="1">
      <c r="A3113" s="10" t="s">
        <v>1873</v>
      </c>
      <c r="B3113" s="10" t="s">
        <v>137</v>
      </c>
      <c r="C3113" s="41">
        <f t="array" ref="C3113">IF(IFERROR(INDEX(CATALOG_POINTS,MATCH(A3113,CATALOG_TASK,0)),"")="",IF(MAX(IF(IFERROR(FIND(CATALOG_BASE,A3113),0)=1,CATALOG_POINTS,0))=0,DAILY_POST_POINTS,MAX(IF(IFERROR(FIND(CATALOG_BASE,A3113),0)=1,CATALOG_POINTS,0))),IFERROR(INDEX(CATALOG_POINTS,MATCH(A3113,CATALOG_TASK,0)),""))</f>
        <v>1</v>
      </c>
      <c r="D3113" s="10" t="s">
        <v>1873</v>
      </c>
      <c r="E3113" s="41" t="str">
        <f t="shared" si="1"/>
        <v>PROX3</v>
      </c>
    </row>
    <row r="3114" ht="15.75" customHeight="1">
      <c r="A3114" s="10" t="s">
        <v>1874</v>
      </c>
      <c r="B3114" s="10" t="s">
        <v>119</v>
      </c>
      <c r="C3114" s="41">
        <f t="array" ref="C3114">IF(IFERROR(INDEX(CATALOG_POINTS,MATCH(A3114,CATALOG_TASK,0)),"")="",IF(MAX(IF(IFERROR(FIND(CATALOG_BASE,A3114),0)=1,CATALOG_POINTS,0))=0,DAILY_POST_POINTS,MAX(IF(IFERROR(FIND(CATALOG_BASE,A3114),0)=1,CATALOG_POINTS,0))),IFERROR(INDEX(CATALOG_POINTS,MATCH(A3114,CATALOG_TASK,0)),""))</f>
        <v>1</v>
      </c>
      <c r="D3114" s="10" t="s">
        <v>1874</v>
      </c>
      <c r="E3114" s="41" t="str">
        <f t="shared" si="1"/>
        <v>PROX3</v>
      </c>
    </row>
    <row r="3115" ht="15.75" customHeight="1">
      <c r="A3115" s="10" t="s">
        <v>37</v>
      </c>
      <c r="B3115" s="10" t="s">
        <v>126</v>
      </c>
      <c r="C3115" s="41">
        <f t="array" ref="C3115">IF(IFERROR(INDEX(CATALOG_POINTS,MATCH(A3115,CATALOG_TASK,0)),"")="",IF(MAX(IF(IFERROR(FIND(CATALOG_BASE,A3115),0)=1,CATALOG_POINTS,0))=0,DAILY_POST_POINTS,MAX(IF(IFERROR(FIND(CATALOG_BASE,A3115),0)=1,CATALOG_POINTS,0))),IFERROR(INDEX(CATALOG_POINTS,MATCH(A3115,CATALOG_TASK,0)),""))</f>
        <v>2</v>
      </c>
      <c r="D3115" s="10" t="s">
        <v>1874</v>
      </c>
      <c r="E3115" s="41" t="str">
        <f t="shared" si="1"/>
        <v>PROX3</v>
      </c>
    </row>
    <row r="3116" ht="15.75" customHeight="1">
      <c r="A3116" s="10" t="s">
        <v>1875</v>
      </c>
      <c r="B3116" s="10" t="s">
        <v>125</v>
      </c>
      <c r="C3116" s="41">
        <f t="array" ref="C3116">IF(IFERROR(INDEX(CATALOG_POINTS,MATCH(A3116,CATALOG_TASK,0)),"")="",IF(MAX(IF(IFERROR(FIND(CATALOG_BASE,A3116),0)=1,CATALOG_POINTS,0))=0,DAILY_POST_POINTS,MAX(IF(IFERROR(FIND(CATALOG_BASE,A3116),0)=1,CATALOG_POINTS,0))),IFERROR(INDEX(CATALOG_POINTS,MATCH(A3116,CATALOG_TASK,0)),""))</f>
        <v>1</v>
      </c>
      <c r="D3116" s="10" t="s">
        <v>1875</v>
      </c>
      <c r="E3116" s="41" t="str">
        <f t="shared" si="1"/>
        <v>PROX3</v>
      </c>
    </row>
    <row r="3117" ht="15.75" customHeight="1">
      <c r="A3117" s="10" t="s">
        <v>1876</v>
      </c>
      <c r="B3117" s="10" t="s">
        <v>120</v>
      </c>
      <c r="C3117" s="41">
        <f t="array" ref="C3117">IF(IFERROR(INDEX(CATALOG_POINTS,MATCH(A3117,CATALOG_TASK,0)),"")="",IF(MAX(IF(IFERROR(FIND(CATALOG_BASE,A3117),0)=1,CATALOG_POINTS,0))=0,DAILY_POST_POINTS,MAX(IF(IFERROR(FIND(CATALOG_BASE,A3117),0)=1,CATALOG_POINTS,0))),IFERROR(INDEX(CATALOG_POINTS,MATCH(A3117,CATALOG_TASK,0)),""))</f>
        <v>1</v>
      </c>
      <c r="D3117" s="10" t="s">
        <v>1876</v>
      </c>
      <c r="E3117" s="41" t="str">
        <f t="shared" si="1"/>
        <v>PROX3</v>
      </c>
    </row>
    <row r="3118" ht="15.75" customHeight="1">
      <c r="A3118" s="10" t="s">
        <v>180</v>
      </c>
      <c r="B3118" s="10" t="s">
        <v>138</v>
      </c>
      <c r="C3118" s="41">
        <f t="array" ref="C3118">IF(IFERROR(INDEX(CATALOG_POINTS,MATCH(A3118,CATALOG_TASK,0)),"")="",IF(MAX(IF(IFERROR(FIND(CATALOG_BASE,A3118),0)=1,CATALOG_POINTS,0))=0,DAILY_POST_POINTS,MAX(IF(IFERROR(FIND(CATALOG_BASE,A3118),0)=1,CATALOG_POINTS,0))),IFERROR(INDEX(CATALOG_POINTS,MATCH(A3118,CATALOG_TASK,0)),""))</f>
        <v>1</v>
      </c>
      <c r="D3118" s="10" t="s">
        <v>1876</v>
      </c>
      <c r="E3118" s="41" t="str">
        <f t="shared" si="1"/>
        <v>PROX3</v>
      </c>
    </row>
    <row r="3119" ht="15.75" customHeight="1">
      <c r="A3119" s="10" t="s">
        <v>1877</v>
      </c>
      <c r="B3119" s="10" t="s">
        <v>135</v>
      </c>
      <c r="C3119" s="41">
        <f t="array" ref="C3119">IF(IFERROR(INDEX(CATALOG_POINTS,MATCH(A3119,CATALOG_TASK,0)),"")="",IF(MAX(IF(IFERROR(FIND(CATALOG_BASE,A3119),0)=1,CATALOG_POINTS,0))=0,DAILY_POST_POINTS,MAX(IF(IFERROR(FIND(CATALOG_BASE,A3119),0)=1,CATALOG_POINTS,0))),IFERROR(INDEX(CATALOG_POINTS,MATCH(A3119,CATALOG_TASK,0)),""))</f>
        <v>1</v>
      </c>
      <c r="D3119" s="10" t="s">
        <v>1877</v>
      </c>
      <c r="E3119" s="41" t="str">
        <f t="shared" si="1"/>
        <v>PROX4</v>
      </c>
    </row>
    <row r="3120" ht="15.75" customHeight="1">
      <c r="A3120" s="10" t="s">
        <v>380</v>
      </c>
      <c r="B3120" s="10" t="s">
        <v>141</v>
      </c>
      <c r="C3120" s="41">
        <f t="array" ref="C3120">IF(IFERROR(INDEX(CATALOG_POINTS,MATCH(A3120,CATALOG_TASK,0)),"")="",IF(MAX(IF(IFERROR(FIND(CATALOG_BASE,A3120),0)=1,CATALOG_POINTS,0))=0,DAILY_POST_POINTS,MAX(IF(IFERROR(FIND(CATALOG_BASE,A3120),0)=1,CATALOG_POINTS,0))),IFERROR(INDEX(CATALOG_POINTS,MATCH(A3120,CATALOG_TASK,0)),""))</f>
        <v>1</v>
      </c>
      <c r="D3120" s="10" t="s">
        <v>1877</v>
      </c>
      <c r="E3120" s="41" t="str">
        <f t="shared" si="1"/>
        <v>PROX4</v>
      </c>
    </row>
    <row r="3121" ht="15.75" customHeight="1">
      <c r="A3121" s="10" t="s">
        <v>37</v>
      </c>
      <c r="B3121" s="10" t="s">
        <v>122</v>
      </c>
      <c r="C3121" s="41">
        <f t="array" ref="C3121">IF(IFERROR(INDEX(CATALOG_POINTS,MATCH(A3121,CATALOG_TASK,0)),"")="",IF(MAX(IF(IFERROR(FIND(CATALOG_BASE,A3121),0)=1,CATALOG_POINTS,0))=0,DAILY_POST_POINTS,MAX(IF(IFERROR(FIND(CATALOG_BASE,A3121),0)=1,CATALOG_POINTS,0))),IFERROR(INDEX(CATALOG_POINTS,MATCH(A3121,CATALOG_TASK,0)),""))</f>
        <v>2</v>
      </c>
      <c r="D3121" s="10" t="s">
        <v>1877</v>
      </c>
      <c r="E3121" s="41" t="str">
        <f t="shared" si="1"/>
        <v>PROX4</v>
      </c>
    </row>
    <row r="3122" ht="15.75" customHeight="1">
      <c r="A3122" s="10" t="s">
        <v>37</v>
      </c>
      <c r="B3122" s="10" t="s">
        <v>122</v>
      </c>
      <c r="C3122" s="41">
        <f t="array" ref="C3122">IF(IFERROR(INDEX(CATALOG_POINTS,MATCH(A3122,CATALOG_TASK,0)),"")="",IF(MAX(IF(IFERROR(FIND(CATALOG_BASE,A3122),0)=1,CATALOG_POINTS,0))=0,DAILY_POST_POINTS,MAX(IF(IFERROR(FIND(CATALOG_BASE,A3122),0)=1,CATALOG_POINTS,0))),IFERROR(INDEX(CATALOG_POINTS,MATCH(A3122,CATALOG_TASK,0)),""))</f>
        <v>2</v>
      </c>
      <c r="D3122" s="10" t="s">
        <v>1877</v>
      </c>
      <c r="E3122" s="41" t="str">
        <f t="shared" si="1"/>
        <v>PROX4</v>
      </c>
    </row>
    <row r="3123" ht="15.75" customHeight="1">
      <c r="A3123" s="10" t="s">
        <v>177</v>
      </c>
      <c r="B3123" s="10" t="s">
        <v>141</v>
      </c>
      <c r="C3123" s="41">
        <f t="array" ref="C3123">IF(IFERROR(INDEX(CATALOG_POINTS,MATCH(A3123,CATALOG_TASK,0)),"")="",IF(MAX(IF(IFERROR(FIND(CATALOG_BASE,A3123),0)=1,CATALOG_POINTS,0))=0,DAILY_POST_POINTS,MAX(IF(IFERROR(FIND(CATALOG_BASE,A3123),0)=1,CATALOG_POINTS,0))),IFERROR(INDEX(CATALOG_POINTS,MATCH(A3123,CATALOG_TASK,0)),""))</f>
        <v>6</v>
      </c>
      <c r="D3123" s="10" t="s">
        <v>1877</v>
      </c>
      <c r="E3123" s="41" t="str">
        <f t="shared" si="1"/>
        <v>PROX4</v>
      </c>
    </row>
    <row r="3124" ht="15.75" customHeight="1">
      <c r="A3124" s="10" t="s">
        <v>174</v>
      </c>
      <c r="B3124" s="10" t="s">
        <v>126</v>
      </c>
      <c r="C3124" s="41">
        <f t="array" ref="C3124">IF(IFERROR(INDEX(CATALOG_POINTS,MATCH(A3124,CATALOG_TASK,0)),"")="",IF(MAX(IF(IFERROR(FIND(CATALOG_BASE,A3124),0)=1,CATALOG_POINTS,0))=0,DAILY_POST_POINTS,MAX(IF(IFERROR(FIND(CATALOG_BASE,A3124),0)=1,CATALOG_POINTS,0))),IFERROR(INDEX(CATALOG_POINTS,MATCH(A3124,CATALOG_TASK,0)),""))</f>
        <v>1</v>
      </c>
      <c r="D3124" s="10" t="s">
        <v>1878</v>
      </c>
      <c r="E3124" s="41" t="str">
        <f t="shared" si="1"/>
        <v>PROX3</v>
      </c>
    </row>
    <row r="3125" ht="15.75" customHeight="1">
      <c r="A3125" s="10" t="s">
        <v>170</v>
      </c>
      <c r="B3125" s="10" t="s">
        <v>120</v>
      </c>
      <c r="C3125" s="41">
        <f t="array" ref="C3125">IF(IFERROR(INDEX(CATALOG_POINTS,MATCH(A3125,CATALOG_TASK,0)),"")="",IF(MAX(IF(IFERROR(FIND(CATALOG_BASE,A3125),0)=1,CATALOG_POINTS,0))=0,DAILY_POST_POINTS,MAX(IF(IFERROR(FIND(CATALOG_BASE,A3125),0)=1,CATALOG_POINTS,0))),IFERROR(INDEX(CATALOG_POINTS,MATCH(A3125,CATALOG_TASK,0)),""))</f>
        <v>1</v>
      </c>
      <c r="D3125" s="10" t="s">
        <v>1878</v>
      </c>
      <c r="E3125" s="41" t="str">
        <f t="shared" si="1"/>
        <v>PROX3</v>
      </c>
    </row>
    <row r="3126" ht="15.75" customHeight="1">
      <c r="A3126" s="10" t="s">
        <v>178</v>
      </c>
      <c r="B3126" s="10" t="s">
        <v>125</v>
      </c>
      <c r="C3126" s="41">
        <f t="array" ref="C3126">IF(IFERROR(INDEX(CATALOG_POINTS,MATCH(A3126,CATALOG_TASK,0)),"")="",IF(MAX(IF(IFERROR(FIND(CATALOG_BASE,A3126),0)=1,CATALOG_POINTS,0))=0,DAILY_POST_POINTS,MAX(IF(IFERROR(FIND(CATALOG_BASE,A3126),0)=1,CATALOG_POINTS,0))),IFERROR(INDEX(CATALOG_POINTS,MATCH(A3126,CATALOG_TASK,0)),""))</f>
        <v>1</v>
      </c>
      <c r="D3126" s="10" t="s">
        <v>1878</v>
      </c>
      <c r="E3126" s="41" t="str">
        <f t="shared" si="1"/>
        <v>PROX3</v>
      </c>
    </row>
    <row r="3127" ht="15.75" customHeight="1">
      <c r="A3127" s="10" t="s">
        <v>174</v>
      </c>
      <c r="B3127" s="10" t="s">
        <v>123</v>
      </c>
      <c r="C3127" s="41">
        <f t="array" ref="C3127">IF(IFERROR(INDEX(CATALOG_POINTS,MATCH(A3127,CATALOG_TASK,0)),"")="",IF(MAX(IF(IFERROR(FIND(CATALOG_BASE,A3127),0)=1,CATALOG_POINTS,0))=0,DAILY_POST_POINTS,MAX(IF(IFERROR(FIND(CATALOG_BASE,A3127),0)=1,CATALOG_POINTS,0))),IFERROR(INDEX(CATALOG_POINTS,MATCH(A3127,CATALOG_TASK,0)),""))</f>
        <v>1</v>
      </c>
      <c r="D3127" s="10" t="s">
        <v>1879</v>
      </c>
      <c r="E3127" s="41" t="str">
        <f t="shared" si="1"/>
        <v>PROX3</v>
      </c>
    </row>
    <row r="3128" ht="15.75" customHeight="1">
      <c r="A3128" s="10" t="s">
        <v>24</v>
      </c>
      <c r="B3128" s="10" t="s">
        <v>117</v>
      </c>
      <c r="C3128" s="41">
        <f t="array" ref="C3128">IF(IFERROR(INDEX(CATALOG_POINTS,MATCH(A3128,CATALOG_TASK,0)),"")="",IF(MAX(IF(IFERROR(FIND(CATALOG_BASE,A3128),0)=1,CATALOG_POINTS,0))=0,DAILY_POST_POINTS,MAX(IF(IFERROR(FIND(CATALOG_BASE,A3128),0)=1,CATALOG_POINTS,0))),IFERROR(INDEX(CATALOG_POINTS,MATCH(A3128,CATALOG_TASK,0)),""))</f>
        <v>2</v>
      </c>
      <c r="D3128" s="10" t="s">
        <v>1879</v>
      </c>
      <c r="E3128" s="41" t="str">
        <f t="shared" si="1"/>
        <v>PROX3</v>
      </c>
    </row>
    <row r="3129" ht="15.75" customHeight="1">
      <c r="A3129" s="10" t="s">
        <v>180</v>
      </c>
      <c r="B3129" s="10" t="s">
        <v>138</v>
      </c>
      <c r="C3129" s="41">
        <f t="array" ref="C3129">IF(IFERROR(INDEX(CATALOG_POINTS,MATCH(A3129,CATALOG_TASK,0)),"")="",IF(MAX(IF(IFERROR(FIND(CATALOG_BASE,A3129),0)=1,CATALOG_POINTS,0))=0,DAILY_POST_POINTS,MAX(IF(IFERROR(FIND(CATALOG_BASE,A3129),0)=1,CATALOG_POINTS,0))),IFERROR(INDEX(CATALOG_POINTS,MATCH(A3129,CATALOG_TASK,0)),""))</f>
        <v>1</v>
      </c>
      <c r="D3129" s="10" t="s">
        <v>1879</v>
      </c>
      <c r="E3129" s="41" t="str">
        <f t="shared" si="1"/>
        <v>PROX3</v>
      </c>
    </row>
    <row r="3130" ht="15.75" customHeight="1">
      <c r="A3130" s="10" t="s">
        <v>1880</v>
      </c>
      <c r="B3130" s="10" t="s">
        <v>124</v>
      </c>
      <c r="C3130" s="41">
        <f t="array" ref="C3130">IF(IFERROR(INDEX(CATALOG_POINTS,MATCH(A3130,CATALOG_TASK,0)),"")="",IF(MAX(IF(IFERROR(FIND(CATALOG_BASE,A3130),0)=1,CATALOG_POINTS,0))=0,DAILY_POST_POINTS,MAX(IF(IFERROR(FIND(CATALOG_BASE,A3130),0)=1,CATALOG_POINTS,0))),IFERROR(INDEX(CATALOG_POINTS,MATCH(A3130,CATALOG_TASK,0)),""))</f>
        <v>1</v>
      </c>
      <c r="D3130" s="10" t="s">
        <v>1880</v>
      </c>
      <c r="E3130" s="41" t="str">
        <f t="shared" si="1"/>
        <v>PROX3</v>
      </c>
    </row>
    <row r="3131" ht="15.75" customHeight="1">
      <c r="A3131" s="10" t="s">
        <v>37</v>
      </c>
      <c r="B3131" s="10" t="s">
        <v>122</v>
      </c>
      <c r="C3131" s="41">
        <f t="array" ref="C3131">IF(IFERROR(INDEX(CATALOG_POINTS,MATCH(A3131,CATALOG_TASK,0)),"")="",IF(MAX(IF(IFERROR(FIND(CATALOG_BASE,A3131),0)=1,CATALOG_POINTS,0))=0,DAILY_POST_POINTS,MAX(IF(IFERROR(FIND(CATALOG_BASE,A3131),0)=1,CATALOG_POINTS,0))),IFERROR(INDEX(CATALOG_POINTS,MATCH(A3131,CATALOG_TASK,0)),""))</f>
        <v>2</v>
      </c>
      <c r="D3131" s="10" t="s">
        <v>1881</v>
      </c>
      <c r="E3131" s="41" t="str">
        <f t="shared" si="1"/>
        <v>PROX3</v>
      </c>
    </row>
    <row r="3132" ht="15.75" customHeight="1">
      <c r="A3132" s="10" t="s">
        <v>1881</v>
      </c>
      <c r="B3132" s="10" t="s">
        <v>121</v>
      </c>
      <c r="C3132" s="41">
        <f t="array" ref="C3132">IF(IFERROR(INDEX(CATALOG_POINTS,MATCH(A3132,CATALOG_TASK,0)),"")="",IF(MAX(IF(IFERROR(FIND(CATALOG_BASE,A3132),0)=1,CATALOG_POINTS,0))=0,DAILY_POST_POINTS,MAX(IF(IFERROR(FIND(CATALOG_BASE,A3132),0)=1,CATALOG_POINTS,0))),IFERROR(INDEX(CATALOG_POINTS,MATCH(A3132,CATALOG_TASK,0)),""))</f>
        <v>1</v>
      </c>
      <c r="D3132" s="10" t="s">
        <v>1881</v>
      </c>
      <c r="E3132" s="41" t="str">
        <f t="shared" si="1"/>
        <v>PROX3</v>
      </c>
    </row>
    <row r="3133" ht="15.75" customHeight="1">
      <c r="A3133" s="10" t="s">
        <v>1882</v>
      </c>
      <c r="B3133" s="10" t="s">
        <v>121</v>
      </c>
      <c r="C3133" s="41">
        <f t="array" ref="C3133">IF(IFERROR(INDEX(CATALOG_POINTS,MATCH(A3133,CATALOG_TASK,0)),"")="",IF(MAX(IF(IFERROR(FIND(CATALOG_BASE,A3133),0)=1,CATALOG_POINTS,0))=0,DAILY_POST_POINTS,MAX(IF(IFERROR(FIND(CATALOG_BASE,A3133),0)=1,CATALOG_POINTS,0))),IFERROR(INDEX(CATALOG_POINTS,MATCH(A3133,CATALOG_TASK,0)),""))</f>
        <v>1</v>
      </c>
      <c r="D3133" s="10" t="s">
        <v>1882</v>
      </c>
      <c r="E3133" s="41" t="str">
        <f t="shared" si="1"/>
        <v>PROX4</v>
      </c>
    </row>
    <row r="3134" ht="15.75" customHeight="1">
      <c r="A3134" s="10" t="s">
        <v>178</v>
      </c>
      <c r="B3134" s="10" t="s">
        <v>127</v>
      </c>
      <c r="C3134" s="41">
        <f t="array" ref="C3134">IF(IFERROR(INDEX(CATALOG_POINTS,MATCH(A3134,CATALOG_TASK,0)),"")="",IF(MAX(IF(IFERROR(FIND(CATALOG_BASE,A3134),0)=1,CATALOG_POINTS,0))=0,DAILY_POST_POINTS,MAX(IF(IFERROR(FIND(CATALOG_BASE,A3134),0)=1,CATALOG_POINTS,0))),IFERROR(INDEX(CATALOG_POINTS,MATCH(A3134,CATALOG_TASK,0)),""))</f>
        <v>1</v>
      </c>
      <c r="D3134" s="10" t="s">
        <v>1883</v>
      </c>
      <c r="E3134" s="41" t="str">
        <f t="shared" si="1"/>
        <v>PROX4</v>
      </c>
    </row>
    <row r="3135" ht="15.75" customHeight="1">
      <c r="A3135" s="10" t="s">
        <v>174</v>
      </c>
      <c r="B3135" s="10" t="s">
        <v>128</v>
      </c>
      <c r="C3135" s="41">
        <f t="array" ref="C3135">IF(IFERROR(INDEX(CATALOG_POINTS,MATCH(A3135,CATALOG_TASK,0)),"")="",IF(MAX(IF(IFERROR(FIND(CATALOG_BASE,A3135),0)=1,CATALOG_POINTS,0))=0,DAILY_POST_POINTS,MAX(IF(IFERROR(FIND(CATALOG_BASE,A3135),0)=1,CATALOG_POINTS,0))),IFERROR(INDEX(CATALOG_POINTS,MATCH(A3135,CATALOG_TASK,0)),""))</f>
        <v>1</v>
      </c>
      <c r="D3135" s="10" t="s">
        <v>1883</v>
      </c>
      <c r="E3135" s="41" t="str">
        <f t="shared" si="1"/>
        <v>PROX4</v>
      </c>
    </row>
    <row r="3136" ht="15.75" customHeight="1">
      <c r="A3136" s="10" t="s">
        <v>37</v>
      </c>
      <c r="B3136" s="10" t="s">
        <v>117</v>
      </c>
      <c r="C3136" s="41">
        <f t="array" ref="C3136">IF(IFERROR(INDEX(CATALOG_POINTS,MATCH(A3136,CATALOG_TASK,0)),"")="",IF(MAX(IF(IFERROR(FIND(CATALOG_BASE,A3136),0)=1,CATALOG_POINTS,0))=0,DAILY_POST_POINTS,MAX(IF(IFERROR(FIND(CATALOG_BASE,A3136),0)=1,CATALOG_POINTS,0))),IFERROR(INDEX(CATALOG_POINTS,MATCH(A3136,CATALOG_TASK,0)),""))</f>
        <v>2</v>
      </c>
      <c r="D3136" s="10" t="s">
        <v>1883</v>
      </c>
      <c r="E3136" s="41" t="str">
        <f t="shared" si="1"/>
        <v>PROX4</v>
      </c>
    </row>
    <row r="3137" ht="15.75" customHeight="1">
      <c r="A3137" s="10" t="s">
        <v>168</v>
      </c>
      <c r="B3137" s="10" t="s">
        <v>117</v>
      </c>
      <c r="C3137" s="41">
        <f t="array" ref="C3137">IF(IFERROR(INDEX(CATALOG_POINTS,MATCH(A3137,CATALOG_TASK,0)),"")="",IF(MAX(IF(IFERROR(FIND(CATALOG_BASE,A3137),0)=1,CATALOG_POINTS,0))=0,DAILY_POST_POINTS,MAX(IF(IFERROR(FIND(CATALOG_BASE,A3137),0)=1,CATALOG_POINTS,0))),IFERROR(INDEX(CATALOG_POINTS,MATCH(A3137,CATALOG_TASK,0)),""))</f>
        <v>1</v>
      </c>
      <c r="D3137" s="10" t="s">
        <v>1883</v>
      </c>
      <c r="E3137" s="41" t="str">
        <f t="shared" si="1"/>
        <v>PROX4</v>
      </c>
    </row>
    <row r="3138" ht="15.75" customHeight="1">
      <c r="A3138" s="10" t="s">
        <v>168</v>
      </c>
      <c r="B3138" s="10" t="s">
        <v>128</v>
      </c>
      <c r="C3138" s="41">
        <f t="array" ref="C3138">IF(IFERROR(INDEX(CATALOG_POINTS,MATCH(A3138,CATALOG_TASK,0)),"")="",IF(MAX(IF(IFERROR(FIND(CATALOG_BASE,A3138),0)=1,CATALOG_POINTS,0))=0,DAILY_POST_POINTS,MAX(IF(IFERROR(FIND(CATALOG_BASE,A3138),0)=1,CATALOG_POINTS,0))),IFERROR(INDEX(CATALOG_POINTS,MATCH(A3138,CATALOG_TASK,0)),""))</f>
        <v>1</v>
      </c>
      <c r="D3138" s="10" t="s">
        <v>1883</v>
      </c>
      <c r="E3138" s="41" t="str">
        <f t="shared" si="1"/>
        <v>PROX4</v>
      </c>
    </row>
    <row r="3139" ht="15.75" customHeight="1">
      <c r="A3139" s="10" t="s">
        <v>179</v>
      </c>
      <c r="B3139" s="10" t="s">
        <v>140</v>
      </c>
      <c r="C3139" s="41">
        <f t="array" ref="C3139">IF(IFERROR(INDEX(CATALOG_POINTS,MATCH(A3139,CATALOG_TASK,0)),"")="",IF(MAX(IF(IFERROR(FIND(CATALOG_BASE,A3139),0)=1,CATALOG_POINTS,0))=0,DAILY_POST_POINTS,MAX(IF(IFERROR(FIND(CATALOG_BASE,A3139),0)=1,CATALOG_POINTS,0))),IFERROR(INDEX(CATALOG_POINTS,MATCH(A3139,CATALOG_TASK,0)),""))</f>
        <v>1</v>
      </c>
      <c r="D3139" s="10" t="s">
        <v>1883</v>
      </c>
      <c r="E3139" s="41" t="str">
        <f t="shared" si="1"/>
        <v>PROX4</v>
      </c>
    </row>
    <row r="3140" ht="15.75" customHeight="1">
      <c r="A3140" s="10" t="s">
        <v>1883</v>
      </c>
      <c r="B3140" s="10" t="s">
        <v>124</v>
      </c>
      <c r="C3140" s="41">
        <f t="array" ref="C3140">IF(IFERROR(INDEX(CATALOG_POINTS,MATCH(A3140,CATALOG_TASK,0)),"")="",IF(MAX(IF(IFERROR(FIND(CATALOG_BASE,A3140),0)=1,CATALOG_POINTS,0))=0,DAILY_POST_POINTS,MAX(IF(IFERROR(FIND(CATALOG_BASE,A3140),0)=1,CATALOG_POINTS,0))),IFERROR(INDEX(CATALOG_POINTS,MATCH(A3140,CATALOG_TASK,0)),""))</f>
        <v>1</v>
      </c>
      <c r="D3140" s="10" t="s">
        <v>1883</v>
      </c>
      <c r="E3140" s="41" t="str">
        <f t="shared" si="1"/>
        <v>PROX4</v>
      </c>
    </row>
    <row r="3141" ht="15.75" customHeight="1">
      <c r="A3141" s="10" t="s">
        <v>1884</v>
      </c>
      <c r="B3141" s="10" t="s">
        <v>131</v>
      </c>
      <c r="C3141" s="41">
        <f t="array" ref="C3141">IF(IFERROR(INDEX(CATALOG_POINTS,MATCH(A3141,CATALOG_TASK,0)),"")="",IF(MAX(IF(IFERROR(FIND(CATALOG_BASE,A3141),0)=1,CATALOG_POINTS,0))=0,DAILY_POST_POINTS,MAX(IF(IFERROR(FIND(CATALOG_BASE,A3141),0)=1,CATALOG_POINTS,0))),IFERROR(INDEX(CATALOG_POINTS,MATCH(A3141,CATALOG_TASK,0)),""))</f>
        <v>1</v>
      </c>
      <c r="D3141" s="10" t="s">
        <v>1884</v>
      </c>
      <c r="E3141" s="41" t="str">
        <f t="shared" si="1"/>
        <v/>
      </c>
    </row>
    <row r="3142" ht="15.75" customHeight="1">
      <c r="A3142" s="10" t="s">
        <v>1885</v>
      </c>
      <c r="B3142" s="10" t="s">
        <v>119</v>
      </c>
      <c r="C3142" s="41">
        <f t="array" ref="C3142">IF(IFERROR(INDEX(CATALOG_POINTS,MATCH(A3142,CATALOG_TASK,0)),"")="",IF(MAX(IF(IFERROR(FIND(CATALOG_BASE,A3142),0)=1,CATALOG_POINTS,0))=0,DAILY_POST_POINTS,MAX(IF(IFERROR(FIND(CATALOG_BASE,A3142),0)=1,CATALOG_POINTS,0))),IFERROR(INDEX(CATALOG_POINTS,MATCH(A3142,CATALOG_TASK,0)),""))</f>
        <v>1</v>
      </c>
      <c r="D3142" s="10" t="s">
        <v>1885</v>
      </c>
      <c r="E3142" s="41" t="str">
        <f t="shared" si="1"/>
        <v>PROX3</v>
      </c>
    </row>
    <row r="3143" ht="15.75" customHeight="1">
      <c r="A3143" s="10" t="s">
        <v>1886</v>
      </c>
      <c r="B3143" s="10" t="s">
        <v>128</v>
      </c>
      <c r="C3143" s="41">
        <f t="array" ref="C3143">IF(IFERROR(INDEX(CATALOG_POINTS,MATCH(A3143,CATALOG_TASK,0)),"")="",IF(MAX(IF(IFERROR(FIND(CATALOG_BASE,A3143),0)=1,CATALOG_POINTS,0))=0,DAILY_POST_POINTS,MAX(IF(IFERROR(FIND(CATALOG_BASE,A3143),0)=1,CATALOG_POINTS,0))),IFERROR(INDEX(CATALOG_POINTS,MATCH(A3143,CATALOG_TASK,0)),""))</f>
        <v>1</v>
      </c>
      <c r="D3143" s="10" t="s">
        <v>1886</v>
      </c>
      <c r="E3143" s="41" t="str">
        <f t="shared" si="1"/>
        <v>PROX3</v>
      </c>
    </row>
    <row r="3144" ht="15.75" customHeight="1">
      <c r="A3144" s="10" t="s">
        <v>1887</v>
      </c>
      <c r="B3144" s="10" t="s">
        <v>134</v>
      </c>
      <c r="C3144" s="41">
        <f t="array" ref="C3144">IF(IFERROR(INDEX(CATALOG_POINTS,MATCH(A3144,CATALOG_TASK,0)),"")="",IF(MAX(IF(IFERROR(FIND(CATALOG_BASE,A3144),0)=1,CATALOG_POINTS,0))=0,DAILY_POST_POINTS,MAX(IF(IFERROR(FIND(CATALOG_BASE,A3144),0)=1,CATALOG_POINTS,0))),IFERROR(INDEX(CATALOG_POINTS,MATCH(A3144,CATALOG_TASK,0)),""))</f>
        <v>1</v>
      </c>
      <c r="D3144" s="10" t="s">
        <v>1887</v>
      </c>
      <c r="E3144" s="41" t="str">
        <f t="shared" si="1"/>
        <v>PROX3</v>
      </c>
    </row>
    <row r="3145" ht="15.75" customHeight="1">
      <c r="A3145" s="10" t="s">
        <v>170</v>
      </c>
      <c r="B3145" s="10" t="s">
        <v>121</v>
      </c>
      <c r="C3145" s="41">
        <f t="array" ref="C3145">IF(IFERROR(INDEX(CATALOG_POINTS,MATCH(A3145,CATALOG_TASK,0)),"")="",IF(MAX(IF(IFERROR(FIND(CATALOG_BASE,A3145),0)=1,CATALOG_POINTS,0))=0,DAILY_POST_POINTS,MAX(IF(IFERROR(FIND(CATALOG_BASE,A3145),0)=1,CATALOG_POINTS,0))),IFERROR(INDEX(CATALOG_POINTS,MATCH(A3145,CATALOG_TASK,0)),""))</f>
        <v>1</v>
      </c>
      <c r="D3145" s="10" t="s">
        <v>1888</v>
      </c>
      <c r="E3145" s="41" t="str">
        <f t="shared" si="1"/>
        <v>PROX3</v>
      </c>
    </row>
    <row r="3146" ht="15.75" customHeight="1">
      <c r="A3146" s="10" t="s">
        <v>170</v>
      </c>
      <c r="B3146" s="10" t="s">
        <v>128</v>
      </c>
      <c r="C3146" s="41">
        <f t="array" ref="C3146">IF(IFERROR(INDEX(CATALOG_POINTS,MATCH(A3146,CATALOG_TASK,0)),"")="",IF(MAX(IF(IFERROR(FIND(CATALOG_BASE,A3146),0)=1,CATALOG_POINTS,0))=0,DAILY_POST_POINTS,MAX(IF(IFERROR(FIND(CATALOG_BASE,A3146),0)=1,CATALOG_POINTS,0))),IFERROR(INDEX(CATALOG_POINTS,MATCH(A3146,CATALOG_TASK,0)),""))</f>
        <v>1</v>
      </c>
      <c r="D3146" s="10" t="s">
        <v>1888</v>
      </c>
      <c r="E3146" s="41" t="str">
        <f t="shared" si="1"/>
        <v>PROX3</v>
      </c>
    </row>
    <row r="3147" ht="15.75" customHeight="1">
      <c r="A3147" s="10" t="s">
        <v>1888</v>
      </c>
      <c r="B3147" s="10" t="s">
        <v>128</v>
      </c>
      <c r="C3147" s="41">
        <f t="array" ref="C3147">IF(IFERROR(INDEX(CATALOG_POINTS,MATCH(A3147,CATALOG_TASK,0)),"")="",IF(MAX(IF(IFERROR(FIND(CATALOG_BASE,A3147),0)=1,CATALOG_POINTS,0))=0,DAILY_POST_POINTS,MAX(IF(IFERROR(FIND(CATALOG_BASE,A3147),0)=1,CATALOG_POINTS,0))),IFERROR(INDEX(CATALOG_POINTS,MATCH(A3147,CATALOG_TASK,0)),""))</f>
        <v>1</v>
      </c>
      <c r="D3147" s="10" t="s">
        <v>1888</v>
      </c>
      <c r="E3147" s="41" t="str">
        <f t="shared" si="1"/>
        <v>PROX3</v>
      </c>
    </row>
    <row r="3148" ht="15.75" customHeight="1">
      <c r="A3148" s="10" t="s">
        <v>1889</v>
      </c>
      <c r="B3148" s="10" t="s">
        <v>128</v>
      </c>
      <c r="C3148" s="41">
        <f t="array" ref="C3148">IF(IFERROR(INDEX(CATALOG_POINTS,MATCH(A3148,CATALOG_TASK,0)),"")="",IF(MAX(IF(IFERROR(FIND(CATALOG_BASE,A3148),0)=1,CATALOG_POINTS,0))=0,DAILY_POST_POINTS,MAX(IF(IFERROR(FIND(CATALOG_BASE,A3148),0)=1,CATALOG_POINTS,0))),IFERROR(INDEX(CATALOG_POINTS,MATCH(A3148,CATALOG_TASK,0)),""))</f>
        <v>1</v>
      </c>
      <c r="D3148" s="10" t="s">
        <v>1889</v>
      </c>
      <c r="E3148" s="41" t="str">
        <f t="shared" si="1"/>
        <v>PROX4</v>
      </c>
    </row>
    <row r="3149" ht="15.75" customHeight="1">
      <c r="A3149" s="10" t="s">
        <v>1890</v>
      </c>
      <c r="B3149" s="10" t="s">
        <v>137</v>
      </c>
      <c r="C3149" s="41">
        <f t="array" ref="C3149">IF(IFERROR(INDEX(CATALOG_POINTS,MATCH(A3149,CATALOG_TASK,0)),"")="",IF(MAX(IF(IFERROR(FIND(CATALOG_BASE,A3149),0)=1,CATALOG_POINTS,0))=0,DAILY_POST_POINTS,MAX(IF(IFERROR(FIND(CATALOG_BASE,A3149),0)=1,CATALOG_POINTS,0))),IFERROR(INDEX(CATALOG_POINTS,MATCH(A3149,CATALOG_TASK,0)),""))</f>
        <v>1</v>
      </c>
      <c r="D3149" s="10" t="s">
        <v>1890</v>
      </c>
      <c r="E3149" s="41" t="str">
        <f t="shared" si="1"/>
        <v>PROX3</v>
      </c>
    </row>
    <row r="3150" ht="15.75" customHeight="1">
      <c r="A3150" s="10" t="s">
        <v>1891</v>
      </c>
      <c r="B3150" s="10" t="s">
        <v>127</v>
      </c>
      <c r="C3150" s="41">
        <f t="array" ref="C3150">IF(IFERROR(INDEX(CATALOG_POINTS,MATCH(A3150,CATALOG_TASK,0)),"")="",IF(MAX(IF(IFERROR(FIND(CATALOG_BASE,A3150),0)=1,CATALOG_POINTS,0))=0,DAILY_POST_POINTS,MAX(IF(IFERROR(FIND(CATALOG_BASE,A3150),0)=1,CATALOG_POINTS,0))),IFERROR(INDEX(CATALOG_POINTS,MATCH(A3150,CATALOG_TASK,0)),""))</f>
        <v>1</v>
      </c>
      <c r="D3150" s="10" t="s">
        <v>1891</v>
      </c>
      <c r="E3150" s="41" t="str">
        <f t="shared" si="1"/>
        <v>PROX3</v>
      </c>
    </row>
    <row r="3151" ht="15.75" customHeight="1">
      <c r="A3151" s="10" t="s">
        <v>37</v>
      </c>
      <c r="B3151" s="10" t="s">
        <v>120</v>
      </c>
      <c r="C3151" s="41">
        <f t="array" ref="C3151">IF(IFERROR(INDEX(CATALOG_POINTS,MATCH(A3151,CATALOG_TASK,0)),"")="",IF(MAX(IF(IFERROR(FIND(CATALOG_BASE,A3151),0)=1,CATALOG_POINTS,0))=0,DAILY_POST_POINTS,MAX(IF(IFERROR(FIND(CATALOG_BASE,A3151),0)=1,CATALOG_POINTS,0))),IFERROR(INDEX(CATALOG_POINTS,MATCH(A3151,CATALOG_TASK,0)),""))</f>
        <v>2</v>
      </c>
      <c r="D3151" s="10" t="s">
        <v>1891</v>
      </c>
      <c r="E3151" s="41" t="str">
        <f t="shared" si="1"/>
        <v>PROX3</v>
      </c>
    </row>
    <row r="3152" ht="15.75" customHeight="1">
      <c r="A3152" s="10" t="s">
        <v>1892</v>
      </c>
      <c r="B3152" s="10" t="s">
        <v>120</v>
      </c>
      <c r="C3152" s="41">
        <f t="array" ref="C3152">IF(IFERROR(INDEX(CATALOG_POINTS,MATCH(A3152,CATALOG_TASK,0)),"")="",IF(MAX(IF(IFERROR(FIND(CATALOG_BASE,A3152),0)=1,CATALOG_POINTS,0))=0,DAILY_POST_POINTS,MAX(IF(IFERROR(FIND(CATALOG_BASE,A3152),0)=1,CATALOG_POINTS,0))),IFERROR(INDEX(CATALOG_POINTS,MATCH(A3152,CATALOG_TASK,0)),""))</f>
        <v>1</v>
      </c>
      <c r="D3152" s="10" t="s">
        <v>1892</v>
      </c>
      <c r="E3152" s="41" t="str">
        <f t="shared" si="1"/>
        <v>PROX3</v>
      </c>
    </row>
    <row r="3153" ht="15.75" customHeight="1">
      <c r="A3153" s="10" t="s">
        <v>34</v>
      </c>
      <c r="B3153" s="10" t="s">
        <v>119</v>
      </c>
      <c r="C3153" s="41">
        <f t="array" ref="C3153">IF(IFERROR(INDEX(CATALOG_POINTS,MATCH(A3153,CATALOG_TASK,0)),"")="",IF(MAX(IF(IFERROR(FIND(CATALOG_BASE,A3153),0)=1,CATALOG_POINTS,0))=0,DAILY_POST_POINTS,MAX(IF(IFERROR(FIND(CATALOG_BASE,A3153),0)=1,CATALOG_POINTS,0))),IFERROR(INDEX(CATALOG_POINTS,MATCH(A3153,CATALOG_TASK,0)),""))</f>
        <v>2</v>
      </c>
      <c r="D3153" s="10" t="s">
        <v>1892</v>
      </c>
      <c r="E3153" s="41" t="str">
        <f t="shared" si="1"/>
        <v>PROX3</v>
      </c>
    </row>
    <row r="3154" ht="15.75" customHeight="1">
      <c r="A3154" s="10" t="s">
        <v>174</v>
      </c>
      <c r="B3154" s="10" t="s">
        <v>125</v>
      </c>
      <c r="C3154" s="41">
        <f t="array" ref="C3154">IF(IFERROR(INDEX(CATALOG_POINTS,MATCH(A3154,CATALOG_TASK,0)),"")="",IF(MAX(IF(IFERROR(FIND(CATALOG_BASE,A3154),0)=1,CATALOG_POINTS,0))=0,DAILY_POST_POINTS,MAX(IF(IFERROR(FIND(CATALOG_BASE,A3154),0)=1,CATALOG_POINTS,0))),IFERROR(INDEX(CATALOG_POINTS,MATCH(A3154,CATALOG_TASK,0)),""))</f>
        <v>1</v>
      </c>
      <c r="D3154" s="10" t="s">
        <v>1893</v>
      </c>
      <c r="E3154" s="41" t="str">
        <f t="shared" si="1"/>
        <v>PROX3</v>
      </c>
    </row>
    <row r="3155" ht="15.75" customHeight="1">
      <c r="A3155" s="10" t="s">
        <v>178</v>
      </c>
      <c r="B3155" s="10" t="s">
        <v>119</v>
      </c>
      <c r="C3155" s="41">
        <f t="array" ref="C3155">IF(IFERROR(INDEX(CATALOG_POINTS,MATCH(A3155,CATALOG_TASK,0)),"")="",IF(MAX(IF(IFERROR(FIND(CATALOG_BASE,A3155),0)=1,CATALOG_POINTS,0))=0,DAILY_POST_POINTS,MAX(IF(IFERROR(FIND(CATALOG_BASE,A3155),0)=1,CATALOG_POINTS,0))),IFERROR(INDEX(CATALOG_POINTS,MATCH(A3155,CATALOG_TASK,0)),""))</f>
        <v>1</v>
      </c>
      <c r="D3155" s="10" t="s">
        <v>1893</v>
      </c>
      <c r="E3155" s="41" t="str">
        <f t="shared" si="1"/>
        <v>PROX3</v>
      </c>
    </row>
    <row r="3156" ht="15.75" customHeight="1">
      <c r="A3156" s="10" t="s">
        <v>174</v>
      </c>
      <c r="B3156" s="10" t="s">
        <v>119</v>
      </c>
      <c r="C3156" s="41">
        <f t="array" ref="C3156">IF(IFERROR(INDEX(CATALOG_POINTS,MATCH(A3156,CATALOG_TASK,0)),"")="",IF(MAX(IF(IFERROR(FIND(CATALOG_BASE,A3156),0)=1,CATALOG_POINTS,0))=0,DAILY_POST_POINTS,MAX(IF(IFERROR(FIND(CATALOG_BASE,A3156),0)=1,CATALOG_POINTS,0))),IFERROR(INDEX(CATALOG_POINTS,MATCH(A3156,CATALOG_TASK,0)),""))</f>
        <v>1</v>
      </c>
      <c r="D3156" s="10" t="s">
        <v>1894</v>
      </c>
      <c r="E3156" s="41" t="str">
        <f t="shared" si="1"/>
        <v>PROX3</v>
      </c>
    </row>
    <row r="3157" ht="15.75" customHeight="1">
      <c r="A3157" s="10" t="s">
        <v>178</v>
      </c>
      <c r="B3157" s="10" t="s">
        <v>149</v>
      </c>
      <c r="C3157" s="41">
        <f t="array" ref="C3157">IF(IFERROR(INDEX(CATALOG_POINTS,MATCH(A3157,CATALOG_TASK,0)),"")="",IF(MAX(IF(IFERROR(FIND(CATALOG_BASE,A3157),0)=1,CATALOG_POINTS,0))=0,DAILY_POST_POINTS,MAX(IF(IFERROR(FIND(CATALOG_BASE,A3157),0)=1,CATALOG_POINTS,0))),IFERROR(INDEX(CATALOG_POINTS,MATCH(A3157,CATALOG_TASK,0)),""))</f>
        <v>1</v>
      </c>
      <c r="D3157" s="10" t="s">
        <v>1894</v>
      </c>
      <c r="E3157" s="41" t="str">
        <f t="shared" si="1"/>
        <v>PROX3</v>
      </c>
    </row>
    <row r="3158" ht="15.75" customHeight="1">
      <c r="A3158" s="10" t="s">
        <v>1895</v>
      </c>
      <c r="B3158" s="10" t="s">
        <v>133</v>
      </c>
      <c r="C3158" s="41">
        <f t="array" ref="C3158">IF(IFERROR(INDEX(CATALOG_POINTS,MATCH(A3158,CATALOG_TASK,0)),"")="",IF(MAX(IF(IFERROR(FIND(CATALOG_BASE,A3158),0)=1,CATALOG_POINTS,0))=0,DAILY_POST_POINTS,MAX(IF(IFERROR(FIND(CATALOG_BASE,A3158),0)=1,CATALOG_POINTS,0))),IFERROR(INDEX(CATALOG_POINTS,MATCH(A3158,CATALOG_TASK,0)),""))</f>
        <v>1</v>
      </c>
      <c r="D3158" s="10" t="s">
        <v>1895</v>
      </c>
      <c r="E3158" s="41" t="str">
        <f t="shared" si="1"/>
        <v>PROX3</v>
      </c>
    </row>
    <row r="3159" ht="15.75" customHeight="1">
      <c r="A3159" s="10" t="s">
        <v>1896</v>
      </c>
      <c r="B3159" s="10" t="s">
        <v>136</v>
      </c>
      <c r="C3159" s="41">
        <f t="array" ref="C3159">IF(IFERROR(INDEX(CATALOG_POINTS,MATCH(A3159,CATALOG_TASK,0)),"")="",IF(MAX(IF(IFERROR(FIND(CATALOG_BASE,A3159),0)=1,CATALOG_POINTS,0))=0,DAILY_POST_POINTS,MAX(IF(IFERROR(FIND(CATALOG_BASE,A3159),0)=1,CATALOG_POINTS,0))),IFERROR(INDEX(CATALOG_POINTS,MATCH(A3159,CATALOG_TASK,0)),""))</f>
        <v>1</v>
      </c>
      <c r="D3159" s="10" t="s">
        <v>1896</v>
      </c>
      <c r="E3159" s="41" t="str">
        <f t="shared" si="1"/>
        <v>PROX3</v>
      </c>
    </row>
    <row r="3160" ht="15.75" customHeight="1">
      <c r="A3160" s="10" t="s">
        <v>1897</v>
      </c>
      <c r="B3160" s="10" t="s">
        <v>132</v>
      </c>
      <c r="C3160" s="41">
        <f t="array" ref="C3160">IF(IFERROR(INDEX(CATALOG_POINTS,MATCH(A3160,CATALOG_TASK,0)),"")="",IF(MAX(IF(IFERROR(FIND(CATALOG_BASE,A3160),0)=1,CATALOG_POINTS,0))=0,DAILY_POST_POINTS,MAX(IF(IFERROR(FIND(CATALOG_BASE,A3160),0)=1,CATALOG_POINTS,0))),IFERROR(INDEX(CATALOG_POINTS,MATCH(A3160,CATALOG_TASK,0)),""))</f>
        <v>1</v>
      </c>
      <c r="D3160" s="10" t="s">
        <v>1897</v>
      </c>
      <c r="E3160" s="41" t="str">
        <f t="shared" si="1"/>
        <v>PROX3</v>
      </c>
    </row>
    <row r="3161" ht="15.75" customHeight="1">
      <c r="A3161" s="10" t="s">
        <v>1898</v>
      </c>
      <c r="B3161" s="10" t="s">
        <v>132</v>
      </c>
      <c r="C3161" s="41">
        <f t="array" ref="C3161">IF(IFERROR(INDEX(CATALOG_POINTS,MATCH(A3161,CATALOG_TASK,0)),"")="",IF(MAX(IF(IFERROR(FIND(CATALOG_BASE,A3161),0)=1,CATALOG_POINTS,0))=0,DAILY_POST_POINTS,MAX(IF(IFERROR(FIND(CATALOG_BASE,A3161),0)=1,CATALOG_POINTS,0))),IFERROR(INDEX(CATALOG_POINTS,MATCH(A3161,CATALOG_TASK,0)),""))</f>
        <v>1</v>
      </c>
      <c r="D3161" s="10" t="s">
        <v>1898</v>
      </c>
      <c r="E3161" s="41" t="str">
        <f t="shared" si="1"/>
        <v>PROX4</v>
      </c>
    </row>
    <row r="3162" ht="15.75" customHeight="1">
      <c r="A3162" s="10" t="s">
        <v>1899</v>
      </c>
      <c r="B3162" s="10" t="s">
        <v>129</v>
      </c>
      <c r="C3162" s="41">
        <f t="array" ref="C3162">IF(IFERROR(INDEX(CATALOG_POINTS,MATCH(A3162,CATALOG_TASK,0)),"")="",IF(MAX(IF(IFERROR(FIND(CATALOG_BASE,A3162),0)=1,CATALOG_POINTS,0))=0,DAILY_POST_POINTS,MAX(IF(IFERROR(FIND(CATALOG_BASE,A3162),0)=1,CATALOG_POINTS,0))),IFERROR(INDEX(CATALOG_POINTS,MATCH(A3162,CATALOG_TASK,0)),""))</f>
        <v>1</v>
      </c>
      <c r="D3162" s="10" t="s">
        <v>1899</v>
      </c>
      <c r="E3162" s="41" t="str">
        <f t="shared" si="1"/>
        <v/>
      </c>
    </row>
    <row r="3163" ht="15.75" customHeight="1">
      <c r="A3163" s="10" t="s">
        <v>1900</v>
      </c>
      <c r="B3163" s="10" t="s">
        <v>127</v>
      </c>
      <c r="C3163" s="41">
        <f t="array" ref="C3163">IF(IFERROR(INDEX(CATALOG_POINTS,MATCH(A3163,CATALOG_TASK,0)),"")="",IF(MAX(IF(IFERROR(FIND(CATALOG_BASE,A3163),0)=1,CATALOG_POINTS,0))=0,DAILY_POST_POINTS,MAX(IF(IFERROR(FIND(CATALOG_BASE,A3163),0)=1,CATALOG_POINTS,0))),IFERROR(INDEX(CATALOG_POINTS,MATCH(A3163,CATALOG_TASK,0)),""))</f>
        <v>1</v>
      </c>
      <c r="D3163" s="10" t="s">
        <v>1900</v>
      </c>
      <c r="E3163" s="41" t="str">
        <f t="shared" si="1"/>
        <v>PROX3</v>
      </c>
    </row>
    <row r="3164" ht="15.75" customHeight="1">
      <c r="A3164" s="10" t="s">
        <v>1901</v>
      </c>
      <c r="B3164" s="10" t="s">
        <v>132</v>
      </c>
      <c r="C3164" s="41">
        <f t="array" ref="C3164">IF(IFERROR(INDEX(CATALOG_POINTS,MATCH(A3164,CATALOG_TASK,0)),"")="",IF(MAX(IF(IFERROR(FIND(CATALOG_BASE,A3164),0)=1,CATALOG_POINTS,0))=0,DAILY_POST_POINTS,MAX(IF(IFERROR(FIND(CATALOG_BASE,A3164),0)=1,CATALOG_POINTS,0))),IFERROR(INDEX(CATALOG_POINTS,MATCH(A3164,CATALOG_TASK,0)),""))</f>
        <v>1</v>
      </c>
      <c r="D3164" s="10" t="s">
        <v>1901</v>
      </c>
      <c r="E3164" s="41" t="str">
        <f t="shared" si="1"/>
        <v>PROX3</v>
      </c>
    </row>
    <row r="3165" ht="15.75" customHeight="1">
      <c r="A3165" s="10" t="s">
        <v>1902</v>
      </c>
      <c r="B3165" s="10" t="s">
        <v>120</v>
      </c>
      <c r="C3165" s="41">
        <f t="array" ref="C3165">IF(IFERROR(INDEX(CATALOG_POINTS,MATCH(A3165,CATALOG_TASK,0)),"")="",IF(MAX(IF(IFERROR(FIND(CATALOG_BASE,A3165),0)=1,CATALOG_POINTS,0))=0,DAILY_POST_POINTS,MAX(IF(IFERROR(FIND(CATALOG_BASE,A3165),0)=1,CATALOG_POINTS,0))),IFERROR(INDEX(CATALOG_POINTS,MATCH(A3165,CATALOG_TASK,0)),""))</f>
        <v>1</v>
      </c>
      <c r="D3165" s="10" t="s">
        <v>1902</v>
      </c>
      <c r="E3165" s="41" t="str">
        <f t="shared" si="1"/>
        <v>PROX3</v>
      </c>
    </row>
    <row r="3166" ht="15.75" customHeight="1">
      <c r="A3166" s="10" t="s">
        <v>1903</v>
      </c>
      <c r="B3166" s="10" t="s">
        <v>122</v>
      </c>
      <c r="C3166" s="41">
        <f t="array" ref="C3166">IF(IFERROR(INDEX(CATALOG_POINTS,MATCH(A3166,CATALOG_TASK,0)),"")="",IF(MAX(IF(IFERROR(FIND(CATALOG_BASE,A3166),0)=1,CATALOG_POINTS,0))=0,DAILY_POST_POINTS,MAX(IF(IFERROR(FIND(CATALOG_BASE,A3166),0)=1,CATALOG_POINTS,0))),IFERROR(INDEX(CATALOG_POINTS,MATCH(A3166,CATALOG_TASK,0)),""))</f>
        <v>1</v>
      </c>
      <c r="D3166" s="10" t="s">
        <v>1903</v>
      </c>
      <c r="E3166" s="41" t="str">
        <f t="shared" si="1"/>
        <v>PROX3</v>
      </c>
    </row>
    <row r="3167" ht="15.75" customHeight="1">
      <c r="A3167" s="10" t="s">
        <v>178</v>
      </c>
      <c r="B3167" s="10" t="s">
        <v>119</v>
      </c>
      <c r="C3167" s="41">
        <f t="array" ref="C3167">IF(IFERROR(INDEX(CATALOG_POINTS,MATCH(A3167,CATALOG_TASK,0)),"")="",IF(MAX(IF(IFERROR(FIND(CATALOG_BASE,A3167),0)=1,CATALOG_POINTS,0))=0,DAILY_POST_POINTS,MAX(IF(IFERROR(FIND(CATALOG_BASE,A3167),0)=1,CATALOG_POINTS,0))),IFERROR(INDEX(CATALOG_POINTS,MATCH(A3167,CATALOG_TASK,0)),""))</f>
        <v>1</v>
      </c>
      <c r="D3167" s="10" t="s">
        <v>1903</v>
      </c>
      <c r="E3167" s="41" t="str">
        <f t="shared" si="1"/>
        <v>PROX3</v>
      </c>
    </row>
    <row r="3168" ht="15.75" customHeight="1">
      <c r="A3168" s="10" t="s">
        <v>1904</v>
      </c>
      <c r="B3168" s="10" t="s">
        <v>125</v>
      </c>
      <c r="C3168" s="41">
        <f t="array" ref="C3168">IF(IFERROR(INDEX(CATALOG_POINTS,MATCH(A3168,CATALOG_TASK,0)),"")="",IF(MAX(IF(IFERROR(FIND(CATALOG_BASE,A3168),0)=1,CATALOG_POINTS,0))=0,DAILY_POST_POINTS,MAX(IF(IFERROR(FIND(CATALOG_BASE,A3168),0)=1,CATALOG_POINTS,0))),IFERROR(INDEX(CATALOG_POINTS,MATCH(A3168,CATALOG_TASK,0)),""))</f>
        <v>1</v>
      </c>
      <c r="D3168" s="10" t="s">
        <v>1904</v>
      </c>
      <c r="E3168" s="41" t="str">
        <f t="shared" si="1"/>
        <v>PROX3</v>
      </c>
    </row>
    <row r="3169" ht="15.75" customHeight="1">
      <c r="A3169" s="10" t="s">
        <v>1905</v>
      </c>
      <c r="B3169" s="10" t="s">
        <v>122</v>
      </c>
      <c r="C3169" s="41">
        <f t="array" ref="C3169">IF(IFERROR(INDEX(CATALOG_POINTS,MATCH(A3169,CATALOG_TASK,0)),"")="",IF(MAX(IF(IFERROR(FIND(CATALOG_BASE,A3169),0)=1,CATALOG_POINTS,0))=0,DAILY_POST_POINTS,MAX(IF(IFERROR(FIND(CATALOG_BASE,A3169),0)=1,CATALOG_POINTS,0))),IFERROR(INDEX(CATALOG_POINTS,MATCH(A3169,CATALOG_TASK,0)),""))</f>
        <v>1</v>
      </c>
      <c r="D3169" s="10" t="s">
        <v>1905</v>
      </c>
      <c r="E3169" s="41" t="str">
        <f t="shared" si="1"/>
        <v>PROX3</v>
      </c>
    </row>
    <row r="3170" ht="15.75" customHeight="1">
      <c r="A3170" s="10" t="s">
        <v>1906</v>
      </c>
      <c r="B3170" s="10" t="s">
        <v>136</v>
      </c>
      <c r="C3170" s="41">
        <f t="array" ref="C3170">IF(IFERROR(INDEX(CATALOG_POINTS,MATCH(A3170,CATALOG_TASK,0)),"")="",IF(MAX(IF(IFERROR(FIND(CATALOG_BASE,A3170),0)=1,CATALOG_POINTS,0))=0,DAILY_POST_POINTS,MAX(IF(IFERROR(FIND(CATALOG_BASE,A3170),0)=1,CATALOG_POINTS,0))),IFERROR(INDEX(CATALOG_POINTS,MATCH(A3170,CATALOG_TASK,0)),""))</f>
        <v>1</v>
      </c>
      <c r="D3170" s="10" t="s">
        <v>1906</v>
      </c>
      <c r="E3170" s="41" t="str">
        <f t="shared" si="1"/>
        <v>PROX3</v>
      </c>
    </row>
    <row r="3171" ht="15.75" customHeight="1">
      <c r="A3171" s="10" t="s">
        <v>1907</v>
      </c>
      <c r="B3171" s="10" t="s">
        <v>135</v>
      </c>
      <c r="C3171" s="41">
        <f t="array" ref="C3171">IF(IFERROR(INDEX(CATALOG_POINTS,MATCH(A3171,CATALOG_TASK,0)),"")="",IF(MAX(IF(IFERROR(FIND(CATALOG_BASE,A3171),0)=1,CATALOG_POINTS,0))=0,DAILY_POST_POINTS,MAX(IF(IFERROR(FIND(CATALOG_BASE,A3171),0)=1,CATALOG_POINTS,0))),IFERROR(INDEX(CATALOG_POINTS,MATCH(A3171,CATALOG_TASK,0)),""))</f>
        <v>1</v>
      </c>
      <c r="D3171" s="10" t="s">
        <v>1908</v>
      </c>
      <c r="E3171" s="41" t="str">
        <f t="shared" si="1"/>
        <v/>
      </c>
    </row>
    <row r="3172" ht="15.75" customHeight="1">
      <c r="A3172" s="10" t="s">
        <v>1909</v>
      </c>
      <c r="B3172" s="10" t="s">
        <v>120</v>
      </c>
      <c r="C3172" s="41">
        <f t="array" ref="C3172">IF(IFERROR(INDEX(CATALOG_POINTS,MATCH(A3172,CATALOG_TASK,0)),"")="",IF(MAX(IF(IFERROR(FIND(CATALOG_BASE,A3172),0)=1,CATALOG_POINTS,0))=0,DAILY_POST_POINTS,MAX(IF(IFERROR(FIND(CATALOG_BASE,A3172),0)=1,CATALOG_POINTS,0))),IFERROR(INDEX(CATALOG_POINTS,MATCH(A3172,CATALOG_TASK,0)),""))</f>
        <v>1</v>
      </c>
      <c r="D3172" s="10" t="s">
        <v>1909</v>
      </c>
      <c r="E3172" s="41" t="str">
        <f t="shared" si="1"/>
        <v>PROX3</v>
      </c>
    </row>
    <row r="3173" ht="15.75" customHeight="1">
      <c r="A3173" s="10" t="s">
        <v>1910</v>
      </c>
      <c r="B3173" s="10" t="s">
        <v>122</v>
      </c>
      <c r="C3173" s="41">
        <f t="array" ref="C3173">IF(IFERROR(INDEX(CATALOG_POINTS,MATCH(A3173,CATALOG_TASK,0)),"")="",IF(MAX(IF(IFERROR(FIND(CATALOG_BASE,A3173),0)=1,CATALOG_POINTS,0))=0,DAILY_POST_POINTS,MAX(IF(IFERROR(FIND(CATALOG_BASE,A3173),0)=1,CATALOG_POINTS,0))),IFERROR(INDEX(CATALOG_POINTS,MATCH(A3173,CATALOG_TASK,0)),""))</f>
        <v>1</v>
      </c>
      <c r="D3173" s="10" t="s">
        <v>1910</v>
      </c>
      <c r="E3173" s="41" t="str">
        <f t="shared" si="1"/>
        <v>PROX3</v>
      </c>
    </row>
    <row r="3174" ht="15.75" customHeight="1">
      <c r="A3174" s="10" t="s">
        <v>1911</v>
      </c>
      <c r="B3174" s="10" t="s">
        <v>129</v>
      </c>
      <c r="C3174" s="41">
        <f t="array" ref="C3174">IF(IFERROR(INDEX(CATALOG_POINTS,MATCH(A3174,CATALOG_TASK,0)),"")="",IF(MAX(IF(IFERROR(FIND(CATALOG_BASE,A3174),0)=1,CATALOG_POINTS,0))=0,DAILY_POST_POINTS,MAX(IF(IFERROR(FIND(CATALOG_BASE,A3174),0)=1,CATALOG_POINTS,0))),IFERROR(INDEX(CATALOG_POINTS,MATCH(A3174,CATALOG_TASK,0)),""))</f>
        <v>1</v>
      </c>
      <c r="D3174" s="10" t="s">
        <v>1911</v>
      </c>
      <c r="E3174" s="41" t="str">
        <f t="shared" si="1"/>
        <v>PROX4</v>
      </c>
    </row>
    <row r="3175" ht="15.75" customHeight="1">
      <c r="A3175" s="10" t="s">
        <v>1912</v>
      </c>
      <c r="B3175" s="10" t="s">
        <v>129</v>
      </c>
      <c r="C3175" s="41">
        <f t="array" ref="C3175">IF(IFERROR(INDEX(CATALOG_POINTS,MATCH(A3175,CATALOG_TASK,0)),"")="",IF(MAX(IF(IFERROR(FIND(CATALOG_BASE,A3175),0)=1,CATALOG_POINTS,0))=0,DAILY_POST_POINTS,MAX(IF(IFERROR(FIND(CATALOG_BASE,A3175),0)=1,CATALOG_POINTS,0))),IFERROR(INDEX(CATALOG_POINTS,MATCH(A3175,CATALOG_TASK,0)),""))</f>
        <v>1</v>
      </c>
      <c r="D3175" s="10" t="s">
        <v>1912</v>
      </c>
      <c r="E3175" s="41" t="str">
        <f t="shared" si="1"/>
        <v>PROX4</v>
      </c>
    </row>
    <row r="3176" ht="15.75" customHeight="1">
      <c r="A3176" s="10" t="s">
        <v>1913</v>
      </c>
      <c r="B3176" s="10" t="s">
        <v>129</v>
      </c>
      <c r="C3176" s="41">
        <f t="array" ref="C3176">IF(IFERROR(INDEX(CATALOG_POINTS,MATCH(A3176,CATALOG_TASK,0)),"")="",IF(MAX(IF(IFERROR(FIND(CATALOG_BASE,A3176),0)=1,CATALOG_POINTS,0))=0,DAILY_POST_POINTS,MAX(IF(IFERROR(FIND(CATALOG_BASE,A3176),0)=1,CATALOG_POINTS,0))),IFERROR(INDEX(CATALOG_POINTS,MATCH(A3176,CATALOG_TASK,0)),""))</f>
        <v>1</v>
      </c>
      <c r="D3176" s="10" t="s">
        <v>1913</v>
      </c>
      <c r="E3176" s="41" t="str">
        <f t="shared" si="1"/>
        <v>PROX4</v>
      </c>
    </row>
    <row r="3177" ht="15.75" customHeight="1">
      <c r="A3177" s="10" t="s">
        <v>1914</v>
      </c>
      <c r="B3177" s="10" t="s">
        <v>124</v>
      </c>
      <c r="C3177" s="41">
        <f t="array" ref="C3177">IF(IFERROR(INDEX(CATALOG_POINTS,MATCH(A3177,CATALOG_TASK,0)),"")="",IF(MAX(IF(IFERROR(FIND(CATALOG_BASE,A3177),0)=1,CATALOG_POINTS,0))=0,DAILY_POST_POINTS,MAX(IF(IFERROR(FIND(CATALOG_BASE,A3177),0)=1,CATALOG_POINTS,0))),IFERROR(INDEX(CATALOG_POINTS,MATCH(A3177,CATALOG_TASK,0)),""))</f>
        <v>1</v>
      </c>
      <c r="D3177" s="10" t="s">
        <v>1914</v>
      </c>
      <c r="E3177" s="41" t="str">
        <f t="shared" si="1"/>
        <v>SE1</v>
      </c>
    </row>
    <row r="3178" ht="15.75" customHeight="1"/>
    <row r="3179" ht="42.75" customHeight="1">
      <c r="A3179" s="36" t="s">
        <v>1915</v>
      </c>
    </row>
  </sheetData>
  <mergeCells count="1">
    <mergeCell ref="A3179:E3179"/>
  </mergeCells>
  <printOptions/>
  <pageMargins bottom="1.0" footer="0.0" header="0.0" left="0.75" right="0.75" top="1.0"/>
  <pageSetup paperSize="9" orientation="portrait"/>
  <drawing r:id="rId1"/>
</worksheet>
</file>